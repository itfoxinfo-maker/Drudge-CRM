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rudge\Downloads\"/>
    </mc:Choice>
  </mc:AlternateContent>
  <bookViews>
    <workbookView xWindow="0" yWindow="0" windowWidth="25200" windowHeight="11880"/>
  </bookViews>
  <sheets>
    <sheet name="Client Tracker" sheetId="1" r:id="rId1"/>
    <sheet name="Site Dashboard" sheetId="2" r:id="rId2"/>
    <sheet name="How to Use" sheetId="3" r:id="rId3"/>
  </sheets>
  <definedNames>
    <definedName name="_xlnm._FilterDatabase" localSheetId="0" hidden="1">'Client Tracker'!$B$1:$B$605</definedName>
  </definedNames>
  <calcPr calcId="162913"/>
  <extLst>
    <ext uri="GoogleSheetsCustomDataVersion2">
      <go:sheetsCustomData xmlns:go="http://customooxmlschemas.google.com/" r:id="rId7" roundtripDataChecksum="MQP3oNIwMeXjDZUJMivdhZvicgYXgGcRXWuizv7eBHM="/>
    </ext>
  </extLst>
</workbook>
</file>

<file path=xl/calcChain.xml><?xml version="1.0" encoding="utf-8"?>
<calcChain xmlns="http://schemas.openxmlformats.org/spreadsheetml/2006/main">
  <c r="A130" i="1" l="1"/>
  <c r="M130" i="1"/>
  <c r="N130" i="1"/>
  <c r="FO130" i="1"/>
  <c r="FP130" i="1"/>
  <c r="FQ130" i="1"/>
  <c r="FR130" i="1"/>
  <c r="FS130" i="1"/>
  <c r="FT130" i="1"/>
  <c r="FU130" i="1"/>
  <c r="FV130" i="1"/>
  <c r="FX130" i="1"/>
  <c r="FV605" i="1"/>
  <c r="FU605" i="1"/>
  <c r="FT605" i="1"/>
  <c r="FS605" i="1"/>
  <c r="FR605" i="1"/>
  <c r="FQ605" i="1"/>
  <c r="FP605" i="1"/>
  <c r="FO605" i="1"/>
  <c r="N605" i="1"/>
  <c r="FX605" i="1" s="1"/>
  <c r="A605" i="1"/>
  <c r="FV604" i="1"/>
  <c r="FU604" i="1"/>
  <c r="FT604" i="1"/>
  <c r="FS604" i="1"/>
  <c r="FR604" i="1"/>
  <c r="FQ604" i="1"/>
  <c r="FP604" i="1"/>
  <c r="FO604" i="1"/>
  <c r="N604" i="1"/>
  <c r="M604" i="1" s="1"/>
  <c r="A604" i="1"/>
  <c r="FV603" i="1"/>
  <c r="FU603" i="1"/>
  <c r="FT603" i="1"/>
  <c r="FS603" i="1"/>
  <c r="FR603" i="1"/>
  <c r="FQ603" i="1"/>
  <c r="FP603" i="1"/>
  <c r="FO603" i="1"/>
  <c r="N603" i="1"/>
  <c r="M603" i="1" s="1"/>
  <c r="A603" i="1"/>
  <c r="FV602" i="1"/>
  <c r="FU602" i="1"/>
  <c r="FT602" i="1"/>
  <c r="FS602" i="1"/>
  <c r="FR602" i="1"/>
  <c r="FQ602" i="1"/>
  <c r="FP602" i="1"/>
  <c r="FO602" i="1"/>
  <c r="N602" i="1"/>
  <c r="M602" i="1" s="1"/>
  <c r="A602" i="1"/>
  <c r="FV601" i="1"/>
  <c r="FU601" i="1"/>
  <c r="FT601" i="1"/>
  <c r="FS601" i="1"/>
  <c r="FR601" i="1"/>
  <c r="FQ601" i="1"/>
  <c r="FP601" i="1"/>
  <c r="FO601" i="1"/>
  <c r="N601" i="1"/>
  <c r="M601" i="1" s="1"/>
  <c r="A601" i="1"/>
  <c r="FV600" i="1"/>
  <c r="FU600" i="1"/>
  <c r="FT600" i="1"/>
  <c r="FS600" i="1"/>
  <c r="FR600" i="1"/>
  <c r="FQ600" i="1"/>
  <c r="FP600" i="1"/>
  <c r="FO600" i="1"/>
  <c r="N600" i="1"/>
  <c r="M600" i="1" s="1"/>
  <c r="A600" i="1"/>
  <c r="FV599" i="1"/>
  <c r="FU599" i="1"/>
  <c r="FT599" i="1"/>
  <c r="FS599" i="1"/>
  <c r="FR599" i="1"/>
  <c r="FQ599" i="1"/>
  <c r="FP599" i="1"/>
  <c r="FO599" i="1"/>
  <c r="N599" i="1"/>
  <c r="M599" i="1" s="1"/>
  <c r="A599" i="1"/>
  <c r="FV598" i="1"/>
  <c r="FU598" i="1"/>
  <c r="FT598" i="1"/>
  <c r="FS598" i="1"/>
  <c r="FR598" i="1"/>
  <c r="FQ598" i="1"/>
  <c r="FP598" i="1"/>
  <c r="FO598" i="1"/>
  <c r="N598" i="1"/>
  <c r="M598" i="1" s="1"/>
  <c r="A598" i="1"/>
  <c r="FV597" i="1"/>
  <c r="FU597" i="1"/>
  <c r="FT597" i="1"/>
  <c r="FS597" i="1"/>
  <c r="FR597" i="1"/>
  <c r="FQ597" i="1"/>
  <c r="FP597" i="1"/>
  <c r="FO597" i="1"/>
  <c r="N597" i="1"/>
  <c r="M597" i="1" s="1"/>
  <c r="A597" i="1"/>
  <c r="FV596" i="1"/>
  <c r="FU596" i="1"/>
  <c r="FT596" i="1"/>
  <c r="FS596" i="1"/>
  <c r="FR596" i="1"/>
  <c r="FQ596" i="1"/>
  <c r="FP596" i="1"/>
  <c r="FO596" i="1"/>
  <c r="N596" i="1"/>
  <c r="M596" i="1" s="1"/>
  <c r="A596" i="1"/>
  <c r="FV595" i="1"/>
  <c r="FU595" i="1"/>
  <c r="FT595" i="1"/>
  <c r="FS595" i="1"/>
  <c r="FR595" i="1"/>
  <c r="FQ595" i="1"/>
  <c r="FP595" i="1"/>
  <c r="FO595" i="1"/>
  <c r="N595" i="1"/>
  <c r="M595" i="1" s="1"/>
  <c r="A595" i="1"/>
  <c r="FV594" i="1"/>
  <c r="FU594" i="1"/>
  <c r="FT594" i="1"/>
  <c r="FS594" i="1"/>
  <c r="FR594" i="1"/>
  <c r="FQ594" i="1"/>
  <c r="FP594" i="1"/>
  <c r="FO594" i="1"/>
  <c r="N594" i="1"/>
  <c r="M594" i="1" s="1"/>
  <c r="A594" i="1"/>
  <c r="FV593" i="1"/>
  <c r="FU593" i="1"/>
  <c r="FT593" i="1"/>
  <c r="FS593" i="1"/>
  <c r="FR593" i="1"/>
  <c r="FQ593" i="1"/>
  <c r="FP593" i="1"/>
  <c r="FO593" i="1"/>
  <c r="N593" i="1"/>
  <c r="M593" i="1" s="1"/>
  <c r="A593" i="1"/>
  <c r="FV592" i="1"/>
  <c r="FU592" i="1"/>
  <c r="FT592" i="1"/>
  <c r="FS592" i="1"/>
  <c r="FR592" i="1"/>
  <c r="FQ592" i="1"/>
  <c r="FP592" i="1"/>
  <c r="FO592" i="1"/>
  <c r="N592" i="1"/>
  <c r="M592" i="1" s="1"/>
  <c r="A592" i="1"/>
  <c r="FV591" i="1"/>
  <c r="FU591" i="1"/>
  <c r="FT591" i="1"/>
  <c r="FS591" i="1"/>
  <c r="FR591" i="1"/>
  <c r="FQ591" i="1"/>
  <c r="FP591" i="1"/>
  <c r="FO591" i="1"/>
  <c r="N591" i="1"/>
  <c r="M591" i="1" s="1"/>
  <c r="A591" i="1"/>
  <c r="FV590" i="1"/>
  <c r="FU590" i="1"/>
  <c r="FT590" i="1"/>
  <c r="FS590" i="1"/>
  <c r="FR590" i="1"/>
  <c r="FQ590" i="1"/>
  <c r="FP590" i="1"/>
  <c r="FO590" i="1"/>
  <c r="N590" i="1"/>
  <c r="M590" i="1" s="1"/>
  <c r="A590" i="1"/>
  <c r="FV589" i="1"/>
  <c r="FU589" i="1"/>
  <c r="FT589" i="1"/>
  <c r="FS589" i="1"/>
  <c r="FR589" i="1"/>
  <c r="FQ589" i="1"/>
  <c r="FP589" i="1"/>
  <c r="FO589" i="1"/>
  <c r="N589" i="1"/>
  <c r="M589" i="1" s="1"/>
  <c r="A589" i="1"/>
  <c r="FV588" i="1"/>
  <c r="FU588" i="1"/>
  <c r="FT588" i="1"/>
  <c r="FS588" i="1"/>
  <c r="FR588" i="1"/>
  <c r="FQ588" i="1"/>
  <c r="FP588" i="1"/>
  <c r="FO588" i="1"/>
  <c r="N588" i="1"/>
  <c r="M588" i="1" s="1"/>
  <c r="A588" i="1"/>
  <c r="FV587" i="1"/>
  <c r="FU587" i="1"/>
  <c r="FT587" i="1"/>
  <c r="FS587" i="1"/>
  <c r="FR587" i="1"/>
  <c r="FQ587" i="1"/>
  <c r="FP587" i="1"/>
  <c r="FO587" i="1"/>
  <c r="N587" i="1"/>
  <c r="M587" i="1" s="1"/>
  <c r="A587" i="1"/>
  <c r="FV586" i="1"/>
  <c r="FU586" i="1"/>
  <c r="FT586" i="1"/>
  <c r="FS586" i="1"/>
  <c r="FR586" i="1"/>
  <c r="FQ586" i="1"/>
  <c r="FP586" i="1"/>
  <c r="FO586" i="1"/>
  <c r="N586" i="1"/>
  <c r="M586" i="1" s="1"/>
  <c r="A586" i="1"/>
  <c r="FV585" i="1"/>
  <c r="FU585" i="1"/>
  <c r="FT585" i="1"/>
  <c r="FS585" i="1"/>
  <c r="FR585" i="1"/>
  <c r="FQ585" i="1"/>
  <c r="FP585" i="1"/>
  <c r="FO585" i="1"/>
  <c r="N585" i="1"/>
  <c r="M585" i="1" s="1"/>
  <c r="A585" i="1"/>
  <c r="FV584" i="1"/>
  <c r="FU584" i="1"/>
  <c r="FT584" i="1"/>
  <c r="FS584" i="1"/>
  <c r="FR584" i="1"/>
  <c r="FQ584" i="1"/>
  <c r="FP584" i="1"/>
  <c r="FO584" i="1"/>
  <c r="N584" i="1"/>
  <c r="M584" i="1" s="1"/>
  <c r="A584" i="1"/>
  <c r="FV583" i="1"/>
  <c r="FU583" i="1"/>
  <c r="FT583" i="1"/>
  <c r="FS583" i="1"/>
  <c r="FR583" i="1"/>
  <c r="FQ583" i="1"/>
  <c r="FP583" i="1"/>
  <c r="FO583" i="1"/>
  <c r="N583" i="1"/>
  <c r="M583" i="1" s="1"/>
  <c r="A583" i="1"/>
  <c r="FV582" i="1"/>
  <c r="FU582" i="1"/>
  <c r="FT582" i="1"/>
  <c r="FS582" i="1"/>
  <c r="FR582" i="1"/>
  <c r="FQ582" i="1"/>
  <c r="FP582" i="1"/>
  <c r="FO582" i="1"/>
  <c r="N582" i="1"/>
  <c r="M582" i="1" s="1"/>
  <c r="A582" i="1"/>
  <c r="FV581" i="1"/>
  <c r="FU581" i="1"/>
  <c r="FT581" i="1"/>
  <c r="FS581" i="1"/>
  <c r="FR581" i="1"/>
  <c r="FQ581" i="1"/>
  <c r="FP581" i="1"/>
  <c r="FO581" i="1"/>
  <c r="N581" i="1"/>
  <c r="M581" i="1" s="1"/>
  <c r="A581" i="1"/>
  <c r="FV580" i="1"/>
  <c r="FU580" i="1"/>
  <c r="FT580" i="1"/>
  <c r="FS580" i="1"/>
  <c r="FR580" i="1"/>
  <c r="FQ580" i="1"/>
  <c r="FP580" i="1"/>
  <c r="FO580" i="1"/>
  <c r="N580" i="1"/>
  <c r="M580" i="1" s="1"/>
  <c r="A580" i="1"/>
  <c r="FV579" i="1"/>
  <c r="FU579" i="1"/>
  <c r="FT579" i="1"/>
  <c r="FS579" i="1"/>
  <c r="FR579" i="1"/>
  <c r="FQ579" i="1"/>
  <c r="FP579" i="1"/>
  <c r="FO579" i="1"/>
  <c r="N579" i="1"/>
  <c r="M579" i="1" s="1"/>
  <c r="A579" i="1"/>
  <c r="FV578" i="1"/>
  <c r="FU578" i="1"/>
  <c r="FT578" i="1"/>
  <c r="FS578" i="1"/>
  <c r="FR578" i="1"/>
  <c r="FQ578" i="1"/>
  <c r="FP578" i="1"/>
  <c r="FO578" i="1"/>
  <c r="N578" i="1"/>
  <c r="M578" i="1" s="1"/>
  <c r="A578" i="1"/>
  <c r="FV577" i="1"/>
  <c r="FU577" i="1"/>
  <c r="FT577" i="1"/>
  <c r="FS577" i="1"/>
  <c r="FR577" i="1"/>
  <c r="FQ577" i="1"/>
  <c r="FP577" i="1"/>
  <c r="FO577" i="1"/>
  <c r="N577" i="1"/>
  <c r="M577" i="1" s="1"/>
  <c r="A577" i="1"/>
  <c r="FV576" i="1"/>
  <c r="FU576" i="1"/>
  <c r="FT576" i="1"/>
  <c r="FS576" i="1"/>
  <c r="FR576" i="1"/>
  <c r="FQ576" i="1"/>
  <c r="FP576" i="1"/>
  <c r="FO576" i="1"/>
  <c r="N576" i="1"/>
  <c r="M576" i="1" s="1"/>
  <c r="A576" i="1"/>
  <c r="FV575" i="1"/>
  <c r="FU575" i="1"/>
  <c r="FT575" i="1"/>
  <c r="FS575" i="1"/>
  <c r="FR575" i="1"/>
  <c r="FQ575" i="1"/>
  <c r="FP575" i="1"/>
  <c r="FO575" i="1"/>
  <c r="N575" i="1"/>
  <c r="M575" i="1" s="1"/>
  <c r="A575" i="1"/>
  <c r="FV574" i="1"/>
  <c r="FU574" i="1"/>
  <c r="FT574" i="1"/>
  <c r="FS574" i="1"/>
  <c r="FR574" i="1"/>
  <c r="FQ574" i="1"/>
  <c r="FP574" i="1"/>
  <c r="FO574" i="1"/>
  <c r="N574" i="1"/>
  <c r="M574" i="1" s="1"/>
  <c r="A574" i="1"/>
  <c r="FV573" i="1"/>
  <c r="FU573" i="1"/>
  <c r="FT573" i="1"/>
  <c r="FS573" i="1"/>
  <c r="FR573" i="1"/>
  <c r="FQ573" i="1"/>
  <c r="FP573" i="1"/>
  <c r="FO573" i="1"/>
  <c r="N573" i="1"/>
  <c r="M573" i="1" s="1"/>
  <c r="A573" i="1"/>
  <c r="FV572" i="1"/>
  <c r="FU572" i="1"/>
  <c r="FT572" i="1"/>
  <c r="FS572" i="1"/>
  <c r="FR572" i="1"/>
  <c r="FQ572" i="1"/>
  <c r="FP572" i="1"/>
  <c r="FO572" i="1"/>
  <c r="N572" i="1"/>
  <c r="M572" i="1" s="1"/>
  <c r="A572" i="1"/>
  <c r="FV571" i="1"/>
  <c r="FU571" i="1"/>
  <c r="FT571" i="1"/>
  <c r="FS571" i="1"/>
  <c r="FR571" i="1"/>
  <c r="FQ571" i="1"/>
  <c r="FP571" i="1"/>
  <c r="FO571" i="1"/>
  <c r="N571" i="1"/>
  <c r="M571" i="1" s="1"/>
  <c r="A571" i="1"/>
  <c r="FV570" i="1"/>
  <c r="FU570" i="1"/>
  <c r="FT570" i="1"/>
  <c r="FS570" i="1"/>
  <c r="FR570" i="1"/>
  <c r="FQ570" i="1"/>
  <c r="FP570" i="1"/>
  <c r="FO570" i="1"/>
  <c r="N570" i="1"/>
  <c r="M570" i="1" s="1"/>
  <c r="A570" i="1"/>
  <c r="FV569" i="1"/>
  <c r="FU569" i="1"/>
  <c r="FT569" i="1"/>
  <c r="FS569" i="1"/>
  <c r="FR569" i="1"/>
  <c r="FQ569" i="1"/>
  <c r="FP569" i="1"/>
  <c r="FO569" i="1"/>
  <c r="N569" i="1"/>
  <c r="M569" i="1" s="1"/>
  <c r="A569" i="1"/>
  <c r="FV568" i="1"/>
  <c r="FU568" i="1"/>
  <c r="FT568" i="1"/>
  <c r="FS568" i="1"/>
  <c r="FR568" i="1"/>
  <c r="FQ568" i="1"/>
  <c r="FP568" i="1"/>
  <c r="FO568" i="1"/>
  <c r="N568" i="1"/>
  <c r="M568" i="1" s="1"/>
  <c r="A568" i="1"/>
  <c r="FV567" i="1"/>
  <c r="FU567" i="1"/>
  <c r="FT567" i="1"/>
  <c r="FS567" i="1"/>
  <c r="FR567" i="1"/>
  <c r="FQ567" i="1"/>
  <c r="FP567" i="1"/>
  <c r="FO567" i="1"/>
  <c r="N567" i="1"/>
  <c r="M567" i="1" s="1"/>
  <c r="A567" i="1"/>
  <c r="FV566" i="1"/>
  <c r="FU566" i="1"/>
  <c r="FT566" i="1"/>
  <c r="FS566" i="1"/>
  <c r="FR566" i="1"/>
  <c r="FQ566" i="1"/>
  <c r="FP566" i="1"/>
  <c r="FO566" i="1"/>
  <c r="N566" i="1"/>
  <c r="M566" i="1" s="1"/>
  <c r="A566" i="1"/>
  <c r="FV565" i="1"/>
  <c r="FU565" i="1"/>
  <c r="FT565" i="1"/>
  <c r="FS565" i="1"/>
  <c r="FR565" i="1"/>
  <c r="FQ565" i="1"/>
  <c r="FP565" i="1"/>
  <c r="FO565" i="1"/>
  <c r="N565" i="1"/>
  <c r="M565" i="1" s="1"/>
  <c r="A565" i="1"/>
  <c r="FV564" i="1"/>
  <c r="FU564" i="1"/>
  <c r="FT564" i="1"/>
  <c r="FS564" i="1"/>
  <c r="FR564" i="1"/>
  <c r="FQ564" i="1"/>
  <c r="FP564" i="1"/>
  <c r="FO564" i="1"/>
  <c r="N564" i="1"/>
  <c r="M564" i="1" s="1"/>
  <c r="A564" i="1"/>
  <c r="FV563" i="1"/>
  <c r="FU563" i="1"/>
  <c r="FT563" i="1"/>
  <c r="FS563" i="1"/>
  <c r="FR563" i="1"/>
  <c r="FQ563" i="1"/>
  <c r="FP563" i="1"/>
  <c r="FO563" i="1"/>
  <c r="N563" i="1"/>
  <c r="M563" i="1" s="1"/>
  <c r="A563" i="1"/>
  <c r="FV562" i="1"/>
  <c r="FU562" i="1"/>
  <c r="FT562" i="1"/>
  <c r="FS562" i="1"/>
  <c r="FR562" i="1"/>
  <c r="FQ562" i="1"/>
  <c r="FP562" i="1"/>
  <c r="FO562" i="1"/>
  <c r="N562" i="1"/>
  <c r="M562" i="1" s="1"/>
  <c r="A562" i="1"/>
  <c r="FV561" i="1"/>
  <c r="FU561" i="1"/>
  <c r="FT561" i="1"/>
  <c r="FS561" i="1"/>
  <c r="FR561" i="1"/>
  <c r="FQ561" i="1"/>
  <c r="FP561" i="1"/>
  <c r="FO561" i="1"/>
  <c r="N561" i="1"/>
  <c r="FX561" i="1" s="1"/>
  <c r="A561" i="1"/>
  <c r="FV560" i="1"/>
  <c r="FU560" i="1"/>
  <c r="FT560" i="1"/>
  <c r="FS560" i="1"/>
  <c r="FR560" i="1"/>
  <c r="FQ560" i="1"/>
  <c r="FP560" i="1"/>
  <c r="FO560" i="1"/>
  <c r="N560" i="1"/>
  <c r="FX560" i="1" s="1"/>
  <c r="A560" i="1"/>
  <c r="FV559" i="1"/>
  <c r="FU559" i="1"/>
  <c r="FT559" i="1"/>
  <c r="FS559" i="1"/>
  <c r="FR559" i="1"/>
  <c r="FQ559" i="1"/>
  <c r="FP559" i="1"/>
  <c r="FO559" i="1"/>
  <c r="N559" i="1"/>
  <c r="FX559" i="1" s="1"/>
  <c r="A559" i="1"/>
  <c r="FV558" i="1"/>
  <c r="FU558" i="1"/>
  <c r="FT558" i="1"/>
  <c r="FS558" i="1"/>
  <c r="FR558" i="1"/>
  <c r="FQ558" i="1"/>
  <c r="FP558" i="1"/>
  <c r="FO558" i="1"/>
  <c r="N558" i="1"/>
  <c r="FX558" i="1" s="1"/>
  <c r="A558" i="1"/>
  <c r="FV557" i="1"/>
  <c r="FU557" i="1"/>
  <c r="FT557" i="1"/>
  <c r="FS557" i="1"/>
  <c r="FR557" i="1"/>
  <c r="FQ557" i="1"/>
  <c r="FP557" i="1"/>
  <c r="FO557" i="1"/>
  <c r="N557" i="1"/>
  <c r="FX557" i="1" s="1"/>
  <c r="A557" i="1"/>
  <c r="FV556" i="1"/>
  <c r="FU556" i="1"/>
  <c r="FT556" i="1"/>
  <c r="FS556" i="1"/>
  <c r="FR556" i="1"/>
  <c r="FQ556" i="1"/>
  <c r="FP556" i="1"/>
  <c r="FO556" i="1"/>
  <c r="N556" i="1"/>
  <c r="A556" i="1"/>
  <c r="FV555" i="1"/>
  <c r="FU555" i="1"/>
  <c r="FT555" i="1"/>
  <c r="FS555" i="1"/>
  <c r="FR555" i="1"/>
  <c r="FQ555" i="1"/>
  <c r="FP555" i="1"/>
  <c r="FO555" i="1"/>
  <c r="N555" i="1"/>
  <c r="A555" i="1"/>
  <c r="FV554" i="1"/>
  <c r="FU554" i="1"/>
  <c r="FT554" i="1"/>
  <c r="FS554" i="1"/>
  <c r="FR554" i="1"/>
  <c r="FQ554" i="1"/>
  <c r="FP554" i="1"/>
  <c r="FO554" i="1"/>
  <c r="N554" i="1"/>
  <c r="A554" i="1"/>
  <c r="FV553" i="1"/>
  <c r="FU553" i="1"/>
  <c r="FT553" i="1"/>
  <c r="FS553" i="1"/>
  <c r="FR553" i="1"/>
  <c r="FQ553" i="1"/>
  <c r="FP553" i="1"/>
  <c r="FO553" i="1"/>
  <c r="N553" i="1"/>
  <c r="A553" i="1"/>
  <c r="FV552" i="1"/>
  <c r="FU552" i="1"/>
  <c r="FT552" i="1"/>
  <c r="FS552" i="1"/>
  <c r="FR552" i="1"/>
  <c r="FQ552" i="1"/>
  <c r="FP552" i="1"/>
  <c r="FO552" i="1"/>
  <c r="N552" i="1"/>
  <c r="A552" i="1"/>
  <c r="FV551" i="1"/>
  <c r="FU551" i="1"/>
  <c r="FT551" i="1"/>
  <c r="FS551" i="1"/>
  <c r="FR551" i="1"/>
  <c r="FQ551" i="1"/>
  <c r="FP551" i="1"/>
  <c r="FO551" i="1"/>
  <c r="N551" i="1"/>
  <c r="A551" i="1"/>
  <c r="FV550" i="1"/>
  <c r="FU550" i="1"/>
  <c r="FT550" i="1"/>
  <c r="FS550" i="1"/>
  <c r="FR550" i="1"/>
  <c r="FQ550" i="1"/>
  <c r="FP550" i="1"/>
  <c r="FO550" i="1"/>
  <c r="N550" i="1"/>
  <c r="A550" i="1"/>
  <c r="FV549" i="1"/>
  <c r="FU549" i="1"/>
  <c r="FT549" i="1"/>
  <c r="FS549" i="1"/>
  <c r="FR549" i="1"/>
  <c r="FQ549" i="1"/>
  <c r="FP549" i="1"/>
  <c r="FO549" i="1"/>
  <c r="N549" i="1"/>
  <c r="A549" i="1"/>
  <c r="FV548" i="1"/>
  <c r="FU548" i="1"/>
  <c r="FT548" i="1"/>
  <c r="FS548" i="1"/>
  <c r="FR548" i="1"/>
  <c r="FQ548" i="1"/>
  <c r="FP548" i="1"/>
  <c r="FO548" i="1"/>
  <c r="N548" i="1"/>
  <c r="A548" i="1"/>
  <c r="FV547" i="1"/>
  <c r="FU547" i="1"/>
  <c r="FT547" i="1"/>
  <c r="FS547" i="1"/>
  <c r="FR547" i="1"/>
  <c r="FQ547" i="1"/>
  <c r="FP547" i="1"/>
  <c r="FO547" i="1"/>
  <c r="N547" i="1"/>
  <c r="A547" i="1"/>
  <c r="FV546" i="1"/>
  <c r="FU546" i="1"/>
  <c r="FT546" i="1"/>
  <c r="FS546" i="1"/>
  <c r="FR546" i="1"/>
  <c r="FQ546" i="1"/>
  <c r="FP546" i="1"/>
  <c r="FO546" i="1"/>
  <c r="N546" i="1"/>
  <c r="A546" i="1"/>
  <c r="FV545" i="1"/>
  <c r="FU545" i="1"/>
  <c r="FT545" i="1"/>
  <c r="FS545" i="1"/>
  <c r="FR545" i="1"/>
  <c r="FQ545" i="1"/>
  <c r="FP545" i="1"/>
  <c r="FO545" i="1"/>
  <c r="N545" i="1"/>
  <c r="A545" i="1"/>
  <c r="FV544" i="1"/>
  <c r="FU544" i="1"/>
  <c r="FT544" i="1"/>
  <c r="FS544" i="1"/>
  <c r="FR544" i="1"/>
  <c r="FQ544" i="1"/>
  <c r="FP544" i="1"/>
  <c r="FO544" i="1"/>
  <c r="N544" i="1"/>
  <c r="A544" i="1"/>
  <c r="FV543" i="1"/>
  <c r="FU543" i="1"/>
  <c r="FT543" i="1"/>
  <c r="FS543" i="1"/>
  <c r="FR543" i="1"/>
  <c r="FQ543" i="1"/>
  <c r="FP543" i="1"/>
  <c r="FO543" i="1"/>
  <c r="N543" i="1"/>
  <c r="A543" i="1"/>
  <c r="FV542" i="1"/>
  <c r="FU542" i="1"/>
  <c r="FT542" i="1"/>
  <c r="FS542" i="1"/>
  <c r="FR542" i="1"/>
  <c r="FQ542" i="1"/>
  <c r="FP542" i="1"/>
  <c r="FO542" i="1"/>
  <c r="N542" i="1"/>
  <c r="A542" i="1"/>
  <c r="FV541" i="1"/>
  <c r="FU541" i="1"/>
  <c r="FT541" i="1"/>
  <c r="FS541" i="1"/>
  <c r="FR541" i="1"/>
  <c r="FQ541" i="1"/>
  <c r="FP541" i="1"/>
  <c r="FO541" i="1"/>
  <c r="N541" i="1"/>
  <c r="A541" i="1"/>
  <c r="FV540" i="1"/>
  <c r="FU540" i="1"/>
  <c r="FT540" i="1"/>
  <c r="FS540" i="1"/>
  <c r="FR540" i="1"/>
  <c r="FQ540" i="1"/>
  <c r="FP540" i="1"/>
  <c r="FO540" i="1"/>
  <c r="N540" i="1"/>
  <c r="A540" i="1"/>
  <c r="FV539" i="1"/>
  <c r="FU539" i="1"/>
  <c r="FT539" i="1"/>
  <c r="FS539" i="1"/>
  <c r="FR539" i="1"/>
  <c r="FQ539" i="1"/>
  <c r="FP539" i="1"/>
  <c r="FO539" i="1"/>
  <c r="N539" i="1"/>
  <c r="A539" i="1"/>
  <c r="FV538" i="1"/>
  <c r="FU538" i="1"/>
  <c r="FT538" i="1"/>
  <c r="FS538" i="1"/>
  <c r="FR538" i="1"/>
  <c r="FQ538" i="1"/>
  <c r="FP538" i="1"/>
  <c r="FO538" i="1"/>
  <c r="N538" i="1"/>
  <c r="A538" i="1"/>
  <c r="FV537" i="1"/>
  <c r="FU537" i="1"/>
  <c r="FT537" i="1"/>
  <c r="FS537" i="1"/>
  <c r="FR537" i="1"/>
  <c r="FQ537" i="1"/>
  <c r="FP537" i="1"/>
  <c r="FO537" i="1"/>
  <c r="N537" i="1"/>
  <c r="A537" i="1"/>
  <c r="FV536" i="1"/>
  <c r="FU536" i="1"/>
  <c r="FT536" i="1"/>
  <c r="FS536" i="1"/>
  <c r="FR536" i="1"/>
  <c r="FQ536" i="1"/>
  <c r="FP536" i="1"/>
  <c r="FO536" i="1"/>
  <c r="N536" i="1"/>
  <c r="A536" i="1"/>
  <c r="FV535" i="1"/>
  <c r="FU535" i="1"/>
  <c r="FT535" i="1"/>
  <c r="FS535" i="1"/>
  <c r="FR535" i="1"/>
  <c r="FQ535" i="1"/>
  <c r="FP535" i="1"/>
  <c r="FO535" i="1"/>
  <c r="N535" i="1"/>
  <c r="A535" i="1"/>
  <c r="FV534" i="1"/>
  <c r="FU534" i="1"/>
  <c r="FT534" i="1"/>
  <c r="FS534" i="1"/>
  <c r="FR534" i="1"/>
  <c r="FQ534" i="1"/>
  <c r="FP534" i="1"/>
  <c r="FO534" i="1"/>
  <c r="N534" i="1"/>
  <c r="A534" i="1"/>
  <c r="FV533" i="1"/>
  <c r="FU533" i="1"/>
  <c r="FT533" i="1"/>
  <c r="FS533" i="1"/>
  <c r="FR533" i="1"/>
  <c r="FQ533" i="1"/>
  <c r="FP533" i="1"/>
  <c r="FO533" i="1"/>
  <c r="N533" i="1"/>
  <c r="A533" i="1"/>
  <c r="FV532" i="1"/>
  <c r="FU532" i="1"/>
  <c r="FT532" i="1"/>
  <c r="FS532" i="1"/>
  <c r="FR532" i="1"/>
  <c r="FQ532" i="1"/>
  <c r="FP532" i="1"/>
  <c r="FO532" i="1"/>
  <c r="N532" i="1"/>
  <c r="M532" i="1" s="1"/>
  <c r="A532" i="1"/>
  <c r="FV531" i="1"/>
  <c r="FU531" i="1"/>
  <c r="FT531" i="1"/>
  <c r="FS531" i="1"/>
  <c r="FR531" i="1"/>
  <c r="FQ531" i="1"/>
  <c r="FP531" i="1"/>
  <c r="FO531" i="1"/>
  <c r="N531" i="1"/>
  <c r="M531" i="1" s="1"/>
  <c r="A531" i="1"/>
  <c r="FV530" i="1"/>
  <c r="FU530" i="1"/>
  <c r="FT530" i="1"/>
  <c r="FS530" i="1"/>
  <c r="FR530" i="1"/>
  <c r="FQ530" i="1"/>
  <c r="FP530" i="1"/>
  <c r="FO530" i="1"/>
  <c r="N530" i="1"/>
  <c r="M530" i="1" s="1"/>
  <c r="A530" i="1"/>
  <c r="FV529" i="1"/>
  <c r="FU529" i="1"/>
  <c r="FT529" i="1"/>
  <c r="FS529" i="1"/>
  <c r="FR529" i="1"/>
  <c r="FQ529" i="1"/>
  <c r="FP529" i="1"/>
  <c r="FO529" i="1"/>
  <c r="N529" i="1"/>
  <c r="M529" i="1" s="1"/>
  <c r="A529" i="1"/>
  <c r="FV528" i="1"/>
  <c r="FU528" i="1"/>
  <c r="FT528" i="1"/>
  <c r="FS528" i="1"/>
  <c r="FR528" i="1"/>
  <c r="FQ528" i="1"/>
  <c r="FP528" i="1"/>
  <c r="FO528" i="1"/>
  <c r="N528" i="1"/>
  <c r="M528" i="1" s="1"/>
  <c r="A528" i="1"/>
  <c r="FV527" i="1"/>
  <c r="FU527" i="1"/>
  <c r="FT527" i="1"/>
  <c r="FS527" i="1"/>
  <c r="FR527" i="1"/>
  <c r="FQ527" i="1"/>
  <c r="FP527" i="1"/>
  <c r="FO527" i="1"/>
  <c r="N527" i="1"/>
  <c r="M527" i="1" s="1"/>
  <c r="A527" i="1"/>
  <c r="FV526" i="1"/>
  <c r="FU526" i="1"/>
  <c r="FT526" i="1"/>
  <c r="FS526" i="1"/>
  <c r="FR526" i="1"/>
  <c r="FQ526" i="1"/>
  <c r="FP526" i="1"/>
  <c r="FO526" i="1"/>
  <c r="N526" i="1"/>
  <c r="M526" i="1" s="1"/>
  <c r="A526" i="1"/>
  <c r="FV525" i="1"/>
  <c r="FU525" i="1"/>
  <c r="FT525" i="1"/>
  <c r="FS525" i="1"/>
  <c r="FR525" i="1"/>
  <c r="FQ525" i="1"/>
  <c r="FP525" i="1"/>
  <c r="FO525" i="1"/>
  <c r="N525" i="1"/>
  <c r="M525" i="1" s="1"/>
  <c r="A525" i="1"/>
  <c r="FV524" i="1"/>
  <c r="FU524" i="1"/>
  <c r="FT524" i="1"/>
  <c r="FS524" i="1"/>
  <c r="FR524" i="1"/>
  <c r="FQ524" i="1"/>
  <c r="FP524" i="1"/>
  <c r="FO524" i="1"/>
  <c r="N524" i="1"/>
  <c r="M524" i="1" s="1"/>
  <c r="A524" i="1"/>
  <c r="FV523" i="1"/>
  <c r="FU523" i="1"/>
  <c r="FT523" i="1"/>
  <c r="FS523" i="1"/>
  <c r="FR523" i="1"/>
  <c r="FQ523" i="1"/>
  <c r="FP523" i="1"/>
  <c r="FO523" i="1"/>
  <c r="N523" i="1"/>
  <c r="M523" i="1" s="1"/>
  <c r="A523" i="1"/>
  <c r="FV522" i="1"/>
  <c r="FU522" i="1"/>
  <c r="FT522" i="1"/>
  <c r="FS522" i="1"/>
  <c r="FR522" i="1"/>
  <c r="FQ522" i="1"/>
  <c r="FP522" i="1"/>
  <c r="FO522" i="1"/>
  <c r="N522" i="1"/>
  <c r="M522" i="1" s="1"/>
  <c r="A522" i="1"/>
  <c r="FV521" i="1"/>
  <c r="FU521" i="1"/>
  <c r="FT521" i="1"/>
  <c r="FS521" i="1"/>
  <c r="FR521" i="1"/>
  <c r="FQ521" i="1"/>
  <c r="FP521" i="1"/>
  <c r="FO521" i="1"/>
  <c r="N521" i="1"/>
  <c r="M521" i="1" s="1"/>
  <c r="A521" i="1"/>
  <c r="FV520" i="1"/>
  <c r="FU520" i="1"/>
  <c r="FT520" i="1"/>
  <c r="FS520" i="1"/>
  <c r="FR520" i="1"/>
  <c r="FQ520" i="1"/>
  <c r="FP520" i="1"/>
  <c r="FO520" i="1"/>
  <c r="N520" i="1"/>
  <c r="M520" i="1" s="1"/>
  <c r="A520" i="1"/>
  <c r="FV519" i="1"/>
  <c r="FU519" i="1"/>
  <c r="FT519" i="1"/>
  <c r="FS519" i="1"/>
  <c r="FR519" i="1"/>
  <c r="FQ519" i="1"/>
  <c r="FP519" i="1"/>
  <c r="FO519" i="1"/>
  <c r="N519" i="1"/>
  <c r="M519" i="1" s="1"/>
  <c r="A519" i="1"/>
  <c r="FV518" i="1"/>
  <c r="FU518" i="1"/>
  <c r="FT518" i="1"/>
  <c r="FS518" i="1"/>
  <c r="FR518" i="1"/>
  <c r="FQ518" i="1"/>
  <c r="FP518" i="1"/>
  <c r="FO518" i="1"/>
  <c r="N518" i="1"/>
  <c r="M518" i="1" s="1"/>
  <c r="A518" i="1"/>
  <c r="FV517" i="1"/>
  <c r="FU517" i="1"/>
  <c r="FT517" i="1"/>
  <c r="FS517" i="1"/>
  <c r="FR517" i="1"/>
  <c r="FQ517" i="1"/>
  <c r="FP517" i="1"/>
  <c r="FO517" i="1"/>
  <c r="N517" i="1"/>
  <c r="M517" i="1" s="1"/>
  <c r="A517" i="1"/>
  <c r="FV516" i="1"/>
  <c r="FU516" i="1"/>
  <c r="FT516" i="1"/>
  <c r="FS516" i="1"/>
  <c r="FR516" i="1"/>
  <c r="FQ516" i="1"/>
  <c r="FP516" i="1"/>
  <c r="FO516" i="1"/>
  <c r="N516" i="1"/>
  <c r="M516" i="1" s="1"/>
  <c r="A516" i="1"/>
  <c r="FV515" i="1"/>
  <c r="FU515" i="1"/>
  <c r="FT515" i="1"/>
  <c r="FS515" i="1"/>
  <c r="FR515" i="1"/>
  <c r="FQ515" i="1"/>
  <c r="FP515" i="1"/>
  <c r="FO515" i="1"/>
  <c r="N515" i="1"/>
  <c r="M515" i="1" s="1"/>
  <c r="A515" i="1"/>
  <c r="FV514" i="1"/>
  <c r="FU514" i="1"/>
  <c r="FT514" i="1"/>
  <c r="FS514" i="1"/>
  <c r="FR514" i="1"/>
  <c r="FQ514" i="1"/>
  <c r="FP514" i="1"/>
  <c r="FO514" i="1"/>
  <c r="N514" i="1"/>
  <c r="M514" i="1" s="1"/>
  <c r="A514" i="1"/>
  <c r="FV513" i="1"/>
  <c r="FU513" i="1"/>
  <c r="FT513" i="1"/>
  <c r="FS513" i="1"/>
  <c r="FR513" i="1"/>
  <c r="FQ513" i="1"/>
  <c r="FP513" i="1"/>
  <c r="FO513" i="1"/>
  <c r="N513" i="1"/>
  <c r="M513" i="1" s="1"/>
  <c r="A513" i="1"/>
  <c r="FV512" i="1"/>
  <c r="FU512" i="1"/>
  <c r="FT512" i="1"/>
  <c r="FS512" i="1"/>
  <c r="FR512" i="1"/>
  <c r="FQ512" i="1"/>
  <c r="FP512" i="1"/>
  <c r="FO512" i="1"/>
  <c r="N512" i="1"/>
  <c r="M512" i="1" s="1"/>
  <c r="A512" i="1"/>
  <c r="FV511" i="1"/>
  <c r="FU511" i="1"/>
  <c r="FT511" i="1"/>
  <c r="FS511" i="1"/>
  <c r="FR511" i="1"/>
  <c r="FQ511" i="1"/>
  <c r="FP511" i="1"/>
  <c r="FO511" i="1"/>
  <c r="N511" i="1"/>
  <c r="M511" i="1" s="1"/>
  <c r="A511" i="1"/>
  <c r="FV510" i="1"/>
  <c r="FU510" i="1"/>
  <c r="FT510" i="1"/>
  <c r="FS510" i="1"/>
  <c r="FR510" i="1"/>
  <c r="FQ510" i="1"/>
  <c r="FP510" i="1"/>
  <c r="FO510" i="1"/>
  <c r="N510" i="1"/>
  <c r="M510" i="1" s="1"/>
  <c r="A510" i="1"/>
  <c r="FV509" i="1"/>
  <c r="FU509" i="1"/>
  <c r="FT509" i="1"/>
  <c r="FS509" i="1"/>
  <c r="FR509" i="1"/>
  <c r="FQ509" i="1"/>
  <c r="FP509" i="1"/>
  <c r="FO509" i="1"/>
  <c r="N509" i="1"/>
  <c r="M509" i="1" s="1"/>
  <c r="A509" i="1"/>
  <c r="FV508" i="1"/>
  <c r="FU508" i="1"/>
  <c r="FT508" i="1"/>
  <c r="FS508" i="1"/>
  <c r="FR508" i="1"/>
  <c r="FQ508" i="1"/>
  <c r="FP508" i="1"/>
  <c r="FO508" i="1"/>
  <c r="N508" i="1"/>
  <c r="M508" i="1" s="1"/>
  <c r="A508" i="1"/>
  <c r="FV507" i="1"/>
  <c r="FU507" i="1"/>
  <c r="FT507" i="1"/>
  <c r="FS507" i="1"/>
  <c r="FR507" i="1"/>
  <c r="FQ507" i="1"/>
  <c r="FP507" i="1"/>
  <c r="FO507" i="1"/>
  <c r="N507" i="1"/>
  <c r="M507" i="1" s="1"/>
  <c r="A507" i="1"/>
  <c r="FV506" i="1"/>
  <c r="FU506" i="1"/>
  <c r="FT506" i="1"/>
  <c r="FS506" i="1"/>
  <c r="FR506" i="1"/>
  <c r="FQ506" i="1"/>
  <c r="FP506" i="1"/>
  <c r="FO506" i="1"/>
  <c r="N506" i="1"/>
  <c r="M506" i="1" s="1"/>
  <c r="A506" i="1"/>
  <c r="FV505" i="1"/>
  <c r="FU505" i="1"/>
  <c r="FT505" i="1"/>
  <c r="FS505" i="1"/>
  <c r="FR505" i="1"/>
  <c r="FQ505" i="1"/>
  <c r="FP505" i="1"/>
  <c r="FO505" i="1"/>
  <c r="N505" i="1"/>
  <c r="M505" i="1" s="1"/>
  <c r="A505" i="1"/>
  <c r="FV504" i="1"/>
  <c r="FU504" i="1"/>
  <c r="FT504" i="1"/>
  <c r="FS504" i="1"/>
  <c r="FR504" i="1"/>
  <c r="FQ504" i="1"/>
  <c r="FP504" i="1"/>
  <c r="FO504" i="1"/>
  <c r="N504" i="1"/>
  <c r="M504" i="1" s="1"/>
  <c r="A504" i="1"/>
  <c r="FV503" i="1"/>
  <c r="FU503" i="1"/>
  <c r="FT503" i="1"/>
  <c r="FS503" i="1"/>
  <c r="FR503" i="1"/>
  <c r="FQ503" i="1"/>
  <c r="FP503" i="1"/>
  <c r="FO503" i="1"/>
  <c r="N503" i="1"/>
  <c r="M503" i="1" s="1"/>
  <c r="A503" i="1"/>
  <c r="FV502" i="1"/>
  <c r="FU502" i="1"/>
  <c r="FT502" i="1"/>
  <c r="FS502" i="1"/>
  <c r="FR502" i="1"/>
  <c r="FQ502" i="1"/>
  <c r="FP502" i="1"/>
  <c r="FO502" i="1"/>
  <c r="N502" i="1"/>
  <c r="M502" i="1" s="1"/>
  <c r="A502" i="1"/>
  <c r="FV501" i="1"/>
  <c r="FU501" i="1"/>
  <c r="FT501" i="1"/>
  <c r="FS501" i="1"/>
  <c r="FR501" i="1"/>
  <c r="FQ501" i="1"/>
  <c r="FP501" i="1"/>
  <c r="FO501" i="1"/>
  <c r="N501" i="1"/>
  <c r="M501" i="1" s="1"/>
  <c r="A501" i="1"/>
  <c r="FV500" i="1"/>
  <c r="FU500" i="1"/>
  <c r="FT500" i="1"/>
  <c r="FS500" i="1"/>
  <c r="FR500" i="1"/>
  <c r="FQ500" i="1"/>
  <c r="FP500" i="1"/>
  <c r="FO500" i="1"/>
  <c r="N500" i="1"/>
  <c r="M500" i="1" s="1"/>
  <c r="A500" i="1"/>
  <c r="FV499" i="1"/>
  <c r="FU499" i="1"/>
  <c r="FT499" i="1"/>
  <c r="FS499" i="1"/>
  <c r="FR499" i="1"/>
  <c r="FQ499" i="1"/>
  <c r="FP499" i="1"/>
  <c r="FO499" i="1"/>
  <c r="N499" i="1"/>
  <c r="M499" i="1" s="1"/>
  <c r="A499" i="1"/>
  <c r="FV498" i="1"/>
  <c r="FU498" i="1"/>
  <c r="FT498" i="1"/>
  <c r="FS498" i="1"/>
  <c r="FR498" i="1"/>
  <c r="FQ498" i="1"/>
  <c r="FP498" i="1"/>
  <c r="FO498" i="1"/>
  <c r="N498" i="1"/>
  <c r="M498" i="1" s="1"/>
  <c r="A498" i="1"/>
  <c r="FV497" i="1"/>
  <c r="FU497" i="1"/>
  <c r="FT497" i="1"/>
  <c r="FS497" i="1"/>
  <c r="FR497" i="1"/>
  <c r="FQ497" i="1"/>
  <c r="FP497" i="1"/>
  <c r="FO497" i="1"/>
  <c r="N497" i="1"/>
  <c r="M497" i="1" s="1"/>
  <c r="A497" i="1"/>
  <c r="FV496" i="1"/>
  <c r="FU496" i="1"/>
  <c r="FT496" i="1"/>
  <c r="FS496" i="1"/>
  <c r="FR496" i="1"/>
  <c r="FQ496" i="1"/>
  <c r="FP496" i="1"/>
  <c r="FO496" i="1"/>
  <c r="N496" i="1"/>
  <c r="M496" i="1" s="1"/>
  <c r="A496" i="1"/>
  <c r="FV495" i="1"/>
  <c r="FU495" i="1"/>
  <c r="FT495" i="1"/>
  <c r="FS495" i="1"/>
  <c r="FR495" i="1"/>
  <c r="FQ495" i="1"/>
  <c r="FP495" i="1"/>
  <c r="FO495" i="1"/>
  <c r="N495" i="1"/>
  <c r="M495" i="1" s="1"/>
  <c r="A495" i="1"/>
  <c r="FV494" i="1"/>
  <c r="FU494" i="1"/>
  <c r="FT494" i="1"/>
  <c r="FS494" i="1"/>
  <c r="FR494" i="1"/>
  <c r="FQ494" i="1"/>
  <c r="FP494" i="1"/>
  <c r="FO494" i="1"/>
  <c r="N494" i="1"/>
  <c r="M494" i="1" s="1"/>
  <c r="A494" i="1"/>
  <c r="FV493" i="1"/>
  <c r="FU493" i="1"/>
  <c r="FT493" i="1"/>
  <c r="FS493" i="1"/>
  <c r="FR493" i="1"/>
  <c r="FQ493" i="1"/>
  <c r="FP493" i="1"/>
  <c r="FO493" i="1"/>
  <c r="N493" i="1"/>
  <c r="M493" i="1" s="1"/>
  <c r="A493" i="1"/>
  <c r="FV492" i="1"/>
  <c r="FU492" i="1"/>
  <c r="FT492" i="1"/>
  <c r="FS492" i="1"/>
  <c r="FR492" i="1"/>
  <c r="FQ492" i="1"/>
  <c r="FP492" i="1"/>
  <c r="FO492" i="1"/>
  <c r="N492" i="1"/>
  <c r="M492" i="1" s="1"/>
  <c r="A492" i="1"/>
  <c r="FV491" i="1"/>
  <c r="FU491" i="1"/>
  <c r="FT491" i="1"/>
  <c r="FS491" i="1"/>
  <c r="FR491" i="1"/>
  <c r="FQ491" i="1"/>
  <c r="FP491" i="1"/>
  <c r="FO491" i="1"/>
  <c r="N491" i="1"/>
  <c r="M491" i="1" s="1"/>
  <c r="A491" i="1"/>
  <c r="FV490" i="1"/>
  <c r="FU490" i="1"/>
  <c r="FT490" i="1"/>
  <c r="FS490" i="1"/>
  <c r="FR490" i="1"/>
  <c r="FQ490" i="1"/>
  <c r="FP490" i="1"/>
  <c r="FO490" i="1"/>
  <c r="N490" i="1"/>
  <c r="M490" i="1" s="1"/>
  <c r="A490" i="1"/>
  <c r="FV489" i="1"/>
  <c r="FU489" i="1"/>
  <c r="FT489" i="1"/>
  <c r="FS489" i="1"/>
  <c r="FR489" i="1"/>
  <c r="FQ489" i="1"/>
  <c r="FP489" i="1"/>
  <c r="FO489" i="1"/>
  <c r="N489" i="1"/>
  <c r="M489" i="1" s="1"/>
  <c r="A489" i="1"/>
  <c r="FV488" i="1"/>
  <c r="FU488" i="1"/>
  <c r="FT488" i="1"/>
  <c r="FS488" i="1"/>
  <c r="FR488" i="1"/>
  <c r="FQ488" i="1"/>
  <c r="FP488" i="1"/>
  <c r="FO488" i="1"/>
  <c r="N488" i="1"/>
  <c r="M488" i="1" s="1"/>
  <c r="A488" i="1"/>
  <c r="FV487" i="1"/>
  <c r="FU487" i="1"/>
  <c r="FT487" i="1"/>
  <c r="FS487" i="1"/>
  <c r="FR487" i="1"/>
  <c r="FQ487" i="1"/>
  <c r="FP487" i="1"/>
  <c r="FO487" i="1"/>
  <c r="N487" i="1"/>
  <c r="M487" i="1" s="1"/>
  <c r="A487" i="1"/>
  <c r="FV486" i="1"/>
  <c r="FU486" i="1"/>
  <c r="FT486" i="1"/>
  <c r="FS486" i="1"/>
  <c r="FR486" i="1"/>
  <c r="FQ486" i="1"/>
  <c r="FP486" i="1"/>
  <c r="FO486" i="1"/>
  <c r="N486" i="1"/>
  <c r="M486" i="1" s="1"/>
  <c r="A486" i="1"/>
  <c r="FV485" i="1"/>
  <c r="FU485" i="1"/>
  <c r="FT485" i="1"/>
  <c r="FS485" i="1"/>
  <c r="FR485" i="1"/>
  <c r="FQ485" i="1"/>
  <c r="FP485" i="1"/>
  <c r="FO485" i="1"/>
  <c r="N485" i="1"/>
  <c r="M485" i="1" s="1"/>
  <c r="A485" i="1"/>
  <c r="FV484" i="1"/>
  <c r="FU484" i="1"/>
  <c r="FT484" i="1"/>
  <c r="FS484" i="1"/>
  <c r="FR484" i="1"/>
  <c r="FQ484" i="1"/>
  <c r="FP484" i="1"/>
  <c r="FO484" i="1"/>
  <c r="N484" i="1"/>
  <c r="M484" i="1" s="1"/>
  <c r="A484" i="1"/>
  <c r="FV483" i="1"/>
  <c r="FU483" i="1"/>
  <c r="FT483" i="1"/>
  <c r="FS483" i="1"/>
  <c r="FR483" i="1"/>
  <c r="FQ483" i="1"/>
  <c r="FP483" i="1"/>
  <c r="FO483" i="1"/>
  <c r="N483" i="1"/>
  <c r="M483" i="1" s="1"/>
  <c r="A483" i="1"/>
  <c r="FV482" i="1"/>
  <c r="FU482" i="1"/>
  <c r="FT482" i="1"/>
  <c r="FS482" i="1"/>
  <c r="FR482" i="1"/>
  <c r="FQ482" i="1"/>
  <c r="FP482" i="1"/>
  <c r="FO482" i="1"/>
  <c r="N482" i="1"/>
  <c r="M482" i="1" s="1"/>
  <c r="A482" i="1"/>
  <c r="FV481" i="1"/>
  <c r="FU481" i="1"/>
  <c r="FT481" i="1"/>
  <c r="FS481" i="1"/>
  <c r="FR481" i="1"/>
  <c r="FQ481" i="1"/>
  <c r="FP481" i="1"/>
  <c r="FO481" i="1"/>
  <c r="N481" i="1"/>
  <c r="M481" i="1" s="1"/>
  <c r="A481" i="1"/>
  <c r="FV480" i="1"/>
  <c r="FU480" i="1"/>
  <c r="FT480" i="1"/>
  <c r="FS480" i="1"/>
  <c r="FR480" i="1"/>
  <c r="FQ480" i="1"/>
  <c r="FP480" i="1"/>
  <c r="FO480" i="1"/>
  <c r="N480" i="1"/>
  <c r="M480" i="1" s="1"/>
  <c r="A480" i="1"/>
  <c r="FV479" i="1"/>
  <c r="FU479" i="1"/>
  <c r="FT479" i="1"/>
  <c r="FS479" i="1"/>
  <c r="FR479" i="1"/>
  <c r="FQ479" i="1"/>
  <c r="FP479" i="1"/>
  <c r="FO479" i="1"/>
  <c r="N479" i="1"/>
  <c r="M479" i="1" s="1"/>
  <c r="A479" i="1"/>
  <c r="FV478" i="1"/>
  <c r="FU478" i="1"/>
  <c r="FT478" i="1"/>
  <c r="FS478" i="1"/>
  <c r="FR478" i="1"/>
  <c r="FQ478" i="1"/>
  <c r="FP478" i="1"/>
  <c r="FO478" i="1"/>
  <c r="N478" i="1"/>
  <c r="M478" i="1" s="1"/>
  <c r="A478" i="1"/>
  <c r="FV477" i="1"/>
  <c r="FU477" i="1"/>
  <c r="FT477" i="1"/>
  <c r="FS477" i="1"/>
  <c r="FR477" i="1"/>
  <c r="FQ477" i="1"/>
  <c r="FP477" i="1"/>
  <c r="FO477" i="1"/>
  <c r="N477" i="1"/>
  <c r="A477" i="1"/>
  <c r="FV476" i="1"/>
  <c r="FU476" i="1"/>
  <c r="FT476" i="1"/>
  <c r="FS476" i="1"/>
  <c r="FR476" i="1"/>
  <c r="FQ476" i="1"/>
  <c r="FP476" i="1"/>
  <c r="FO476" i="1"/>
  <c r="N476" i="1"/>
  <c r="A476" i="1"/>
  <c r="FV475" i="1"/>
  <c r="FU475" i="1"/>
  <c r="FT475" i="1"/>
  <c r="FS475" i="1"/>
  <c r="FR475" i="1"/>
  <c r="FQ475" i="1"/>
  <c r="FP475" i="1"/>
  <c r="FO475" i="1"/>
  <c r="N475" i="1"/>
  <c r="A475" i="1"/>
  <c r="FV474" i="1"/>
  <c r="FU474" i="1"/>
  <c r="FT474" i="1"/>
  <c r="FS474" i="1"/>
  <c r="FR474" i="1"/>
  <c r="FQ474" i="1"/>
  <c r="FP474" i="1"/>
  <c r="FO474" i="1"/>
  <c r="N474" i="1"/>
  <c r="A474" i="1"/>
  <c r="FV473" i="1"/>
  <c r="FU473" i="1"/>
  <c r="FT473" i="1"/>
  <c r="FS473" i="1"/>
  <c r="FR473" i="1"/>
  <c r="FQ473" i="1"/>
  <c r="FP473" i="1"/>
  <c r="FO473" i="1"/>
  <c r="N473" i="1"/>
  <c r="A473" i="1"/>
  <c r="FV472" i="1"/>
  <c r="FU472" i="1"/>
  <c r="FT472" i="1"/>
  <c r="FS472" i="1"/>
  <c r="FR472" i="1"/>
  <c r="FQ472" i="1"/>
  <c r="FP472" i="1"/>
  <c r="FO472" i="1"/>
  <c r="N472" i="1"/>
  <c r="A472" i="1"/>
  <c r="FV471" i="1"/>
  <c r="FU471" i="1"/>
  <c r="FT471" i="1"/>
  <c r="FS471" i="1"/>
  <c r="FR471" i="1"/>
  <c r="FQ471" i="1"/>
  <c r="FP471" i="1"/>
  <c r="FO471" i="1"/>
  <c r="N471" i="1"/>
  <c r="A471" i="1"/>
  <c r="FV470" i="1"/>
  <c r="FU470" i="1"/>
  <c r="FT470" i="1"/>
  <c r="FS470" i="1"/>
  <c r="FR470" i="1"/>
  <c r="FQ470" i="1"/>
  <c r="FP470" i="1"/>
  <c r="FO470" i="1"/>
  <c r="N470" i="1"/>
  <c r="A470" i="1"/>
  <c r="FV469" i="1"/>
  <c r="FU469" i="1"/>
  <c r="FT469" i="1"/>
  <c r="FS469" i="1"/>
  <c r="FR469" i="1"/>
  <c r="FQ469" i="1"/>
  <c r="FP469" i="1"/>
  <c r="FO469" i="1"/>
  <c r="N469" i="1"/>
  <c r="A469" i="1"/>
  <c r="FV468" i="1"/>
  <c r="FU468" i="1"/>
  <c r="FT468" i="1"/>
  <c r="FS468" i="1"/>
  <c r="FR468" i="1"/>
  <c r="FQ468" i="1"/>
  <c r="FP468" i="1"/>
  <c r="FO468" i="1"/>
  <c r="N468" i="1"/>
  <c r="A468" i="1"/>
  <c r="FV467" i="1"/>
  <c r="FU467" i="1"/>
  <c r="FT467" i="1"/>
  <c r="FS467" i="1"/>
  <c r="FR467" i="1"/>
  <c r="FQ467" i="1"/>
  <c r="FP467" i="1"/>
  <c r="FO467" i="1"/>
  <c r="N467" i="1"/>
  <c r="A467" i="1"/>
  <c r="FV466" i="1"/>
  <c r="FU466" i="1"/>
  <c r="FT466" i="1"/>
  <c r="FS466" i="1"/>
  <c r="FR466" i="1"/>
  <c r="FQ466" i="1"/>
  <c r="FP466" i="1"/>
  <c r="FO466" i="1"/>
  <c r="N466" i="1"/>
  <c r="A466" i="1"/>
  <c r="FV465" i="1"/>
  <c r="FU465" i="1"/>
  <c r="FT465" i="1"/>
  <c r="FS465" i="1"/>
  <c r="FR465" i="1"/>
  <c r="FQ465" i="1"/>
  <c r="FP465" i="1"/>
  <c r="FO465" i="1"/>
  <c r="N465" i="1"/>
  <c r="A465" i="1"/>
  <c r="FV464" i="1"/>
  <c r="FU464" i="1"/>
  <c r="FT464" i="1"/>
  <c r="FS464" i="1"/>
  <c r="FR464" i="1"/>
  <c r="FQ464" i="1"/>
  <c r="FP464" i="1"/>
  <c r="FO464" i="1"/>
  <c r="N464" i="1"/>
  <c r="A464" i="1"/>
  <c r="FV463" i="1"/>
  <c r="FU463" i="1"/>
  <c r="FT463" i="1"/>
  <c r="FS463" i="1"/>
  <c r="FR463" i="1"/>
  <c r="FQ463" i="1"/>
  <c r="FP463" i="1"/>
  <c r="FO463" i="1"/>
  <c r="N463" i="1"/>
  <c r="A463" i="1"/>
  <c r="FV462" i="1"/>
  <c r="FU462" i="1"/>
  <c r="FT462" i="1"/>
  <c r="FS462" i="1"/>
  <c r="FR462" i="1"/>
  <c r="FQ462" i="1"/>
  <c r="FP462" i="1"/>
  <c r="FO462" i="1"/>
  <c r="N462" i="1"/>
  <c r="A462" i="1"/>
  <c r="FV461" i="1"/>
  <c r="FU461" i="1"/>
  <c r="FT461" i="1"/>
  <c r="FS461" i="1"/>
  <c r="FR461" i="1"/>
  <c r="FQ461" i="1"/>
  <c r="FP461" i="1"/>
  <c r="FO461" i="1"/>
  <c r="N461" i="1"/>
  <c r="A461" i="1"/>
  <c r="FV460" i="1"/>
  <c r="FU460" i="1"/>
  <c r="FT460" i="1"/>
  <c r="FS460" i="1"/>
  <c r="FR460" i="1"/>
  <c r="FQ460" i="1"/>
  <c r="FP460" i="1"/>
  <c r="FO460" i="1"/>
  <c r="N460" i="1"/>
  <c r="A460" i="1"/>
  <c r="FV459" i="1"/>
  <c r="FU459" i="1"/>
  <c r="FT459" i="1"/>
  <c r="FS459" i="1"/>
  <c r="FR459" i="1"/>
  <c r="FQ459" i="1"/>
  <c r="FP459" i="1"/>
  <c r="FO459" i="1"/>
  <c r="N459" i="1"/>
  <c r="A459" i="1"/>
  <c r="FV458" i="1"/>
  <c r="FU458" i="1"/>
  <c r="FT458" i="1"/>
  <c r="FS458" i="1"/>
  <c r="FR458" i="1"/>
  <c r="FQ458" i="1"/>
  <c r="FP458" i="1"/>
  <c r="FO458" i="1"/>
  <c r="N458" i="1"/>
  <c r="A458" i="1"/>
  <c r="FV457" i="1"/>
  <c r="FU457" i="1"/>
  <c r="FT457" i="1"/>
  <c r="FS457" i="1"/>
  <c r="FR457" i="1"/>
  <c r="FQ457" i="1"/>
  <c r="FP457" i="1"/>
  <c r="FO457" i="1"/>
  <c r="N457" i="1"/>
  <c r="A457" i="1"/>
  <c r="FV456" i="1"/>
  <c r="FU456" i="1"/>
  <c r="FT456" i="1"/>
  <c r="FS456" i="1"/>
  <c r="FR456" i="1"/>
  <c r="FQ456" i="1"/>
  <c r="FP456" i="1"/>
  <c r="FO456" i="1"/>
  <c r="N456" i="1"/>
  <c r="A456" i="1"/>
  <c r="FV455" i="1"/>
  <c r="FU455" i="1"/>
  <c r="FT455" i="1"/>
  <c r="FS455" i="1"/>
  <c r="FR455" i="1"/>
  <c r="FQ455" i="1"/>
  <c r="FP455" i="1"/>
  <c r="FO455" i="1"/>
  <c r="N455" i="1"/>
  <c r="A455" i="1"/>
  <c r="FV454" i="1"/>
  <c r="FU454" i="1"/>
  <c r="FT454" i="1"/>
  <c r="FS454" i="1"/>
  <c r="FR454" i="1"/>
  <c r="FQ454" i="1"/>
  <c r="FP454" i="1"/>
  <c r="FO454" i="1"/>
  <c r="N454" i="1"/>
  <c r="A454" i="1"/>
  <c r="FV453" i="1"/>
  <c r="FU453" i="1"/>
  <c r="FT453" i="1"/>
  <c r="FS453" i="1"/>
  <c r="FR453" i="1"/>
  <c r="FQ453" i="1"/>
  <c r="FP453" i="1"/>
  <c r="FO453" i="1"/>
  <c r="N453" i="1"/>
  <c r="A453" i="1"/>
  <c r="FV452" i="1"/>
  <c r="FU452" i="1"/>
  <c r="FT452" i="1"/>
  <c r="FS452" i="1"/>
  <c r="FR452" i="1"/>
  <c r="FQ452" i="1"/>
  <c r="FP452" i="1"/>
  <c r="FO452" i="1"/>
  <c r="N452" i="1"/>
  <c r="A452" i="1"/>
  <c r="FV451" i="1"/>
  <c r="FU451" i="1"/>
  <c r="FT451" i="1"/>
  <c r="FS451" i="1"/>
  <c r="FR451" i="1"/>
  <c r="FQ451" i="1"/>
  <c r="FP451" i="1"/>
  <c r="FO451" i="1"/>
  <c r="N451" i="1"/>
  <c r="A451" i="1"/>
  <c r="FV450" i="1"/>
  <c r="FU450" i="1"/>
  <c r="FT450" i="1"/>
  <c r="FS450" i="1"/>
  <c r="FR450" i="1"/>
  <c r="FQ450" i="1"/>
  <c r="FP450" i="1"/>
  <c r="FO450" i="1"/>
  <c r="N450" i="1"/>
  <c r="A450" i="1"/>
  <c r="FV449" i="1"/>
  <c r="FU449" i="1"/>
  <c r="FT449" i="1"/>
  <c r="FS449" i="1"/>
  <c r="FR449" i="1"/>
  <c r="FQ449" i="1"/>
  <c r="FP449" i="1"/>
  <c r="FO449" i="1"/>
  <c r="N449" i="1"/>
  <c r="A449" i="1"/>
  <c r="FV448" i="1"/>
  <c r="FU448" i="1"/>
  <c r="FT448" i="1"/>
  <c r="FS448" i="1"/>
  <c r="FR448" i="1"/>
  <c r="FQ448" i="1"/>
  <c r="FP448" i="1"/>
  <c r="FO448" i="1"/>
  <c r="N448" i="1"/>
  <c r="A448" i="1"/>
  <c r="FV447" i="1"/>
  <c r="FU447" i="1"/>
  <c r="FT447" i="1"/>
  <c r="FS447" i="1"/>
  <c r="FR447" i="1"/>
  <c r="FQ447" i="1"/>
  <c r="FP447" i="1"/>
  <c r="FO447" i="1"/>
  <c r="N447" i="1"/>
  <c r="A447" i="1"/>
  <c r="FV446" i="1"/>
  <c r="FU446" i="1"/>
  <c r="FT446" i="1"/>
  <c r="FS446" i="1"/>
  <c r="FR446" i="1"/>
  <c r="FQ446" i="1"/>
  <c r="FP446" i="1"/>
  <c r="FO446" i="1"/>
  <c r="N446" i="1"/>
  <c r="A446" i="1"/>
  <c r="FV445" i="1"/>
  <c r="FU445" i="1"/>
  <c r="FT445" i="1"/>
  <c r="FS445" i="1"/>
  <c r="FR445" i="1"/>
  <c r="FQ445" i="1"/>
  <c r="FP445" i="1"/>
  <c r="FO445" i="1"/>
  <c r="N445" i="1"/>
  <c r="FX445" i="1" s="1"/>
  <c r="A445" i="1"/>
  <c r="FV444" i="1"/>
  <c r="FU444" i="1"/>
  <c r="FT444" i="1"/>
  <c r="FS444" i="1"/>
  <c r="FR444" i="1"/>
  <c r="FQ444" i="1"/>
  <c r="FP444" i="1"/>
  <c r="FO444" i="1"/>
  <c r="N444" i="1"/>
  <c r="FX444" i="1" s="1"/>
  <c r="A444" i="1"/>
  <c r="FV443" i="1"/>
  <c r="FU443" i="1"/>
  <c r="FT443" i="1"/>
  <c r="FS443" i="1"/>
  <c r="FR443" i="1"/>
  <c r="FQ443" i="1"/>
  <c r="FP443" i="1"/>
  <c r="FO443" i="1"/>
  <c r="N443" i="1"/>
  <c r="FX443" i="1" s="1"/>
  <c r="A443" i="1"/>
  <c r="FV442" i="1"/>
  <c r="FU442" i="1"/>
  <c r="FT442" i="1"/>
  <c r="FS442" i="1"/>
  <c r="FR442" i="1"/>
  <c r="FQ442" i="1"/>
  <c r="FP442" i="1"/>
  <c r="FO442" i="1"/>
  <c r="N442" i="1"/>
  <c r="FX442" i="1" s="1"/>
  <c r="A442" i="1"/>
  <c r="FV441" i="1"/>
  <c r="FU441" i="1"/>
  <c r="FT441" i="1"/>
  <c r="FS441" i="1"/>
  <c r="FR441" i="1"/>
  <c r="FQ441" i="1"/>
  <c r="FP441" i="1"/>
  <c r="FO441" i="1"/>
  <c r="N441" i="1"/>
  <c r="FX441" i="1" s="1"/>
  <c r="A441" i="1"/>
  <c r="FV440" i="1"/>
  <c r="FU440" i="1"/>
  <c r="FT440" i="1"/>
  <c r="FS440" i="1"/>
  <c r="FR440" i="1"/>
  <c r="FQ440" i="1"/>
  <c r="FP440" i="1"/>
  <c r="FO440" i="1"/>
  <c r="N440" i="1"/>
  <c r="FX440" i="1" s="1"/>
  <c r="A440" i="1"/>
  <c r="FV439" i="1"/>
  <c r="FU439" i="1"/>
  <c r="FT439" i="1"/>
  <c r="FS439" i="1"/>
  <c r="FR439" i="1"/>
  <c r="FQ439" i="1"/>
  <c r="FP439" i="1"/>
  <c r="FO439" i="1"/>
  <c r="N439" i="1"/>
  <c r="FX439" i="1" s="1"/>
  <c r="A439" i="1"/>
  <c r="FV438" i="1"/>
  <c r="FU438" i="1"/>
  <c r="FT438" i="1"/>
  <c r="FS438" i="1"/>
  <c r="FR438" i="1"/>
  <c r="FQ438" i="1"/>
  <c r="FP438" i="1"/>
  <c r="FO438" i="1"/>
  <c r="N438" i="1"/>
  <c r="FX438" i="1" s="1"/>
  <c r="A438" i="1"/>
  <c r="FV437" i="1"/>
  <c r="FU437" i="1"/>
  <c r="FT437" i="1"/>
  <c r="FS437" i="1"/>
  <c r="FR437" i="1"/>
  <c r="FQ437" i="1"/>
  <c r="FP437" i="1"/>
  <c r="FO437" i="1"/>
  <c r="N437" i="1"/>
  <c r="FX437" i="1" s="1"/>
  <c r="A437" i="1"/>
  <c r="FV436" i="1"/>
  <c r="FU436" i="1"/>
  <c r="FT436" i="1"/>
  <c r="FS436" i="1"/>
  <c r="FR436" i="1"/>
  <c r="FQ436" i="1"/>
  <c r="FP436" i="1"/>
  <c r="FO436" i="1"/>
  <c r="N436" i="1"/>
  <c r="FX436" i="1" s="1"/>
  <c r="A436" i="1"/>
  <c r="FV435" i="1"/>
  <c r="FU435" i="1"/>
  <c r="FT435" i="1"/>
  <c r="FS435" i="1"/>
  <c r="FR435" i="1"/>
  <c r="FQ435" i="1"/>
  <c r="FP435" i="1"/>
  <c r="FO435" i="1"/>
  <c r="N435" i="1"/>
  <c r="FX435" i="1" s="1"/>
  <c r="A435" i="1"/>
  <c r="FV434" i="1"/>
  <c r="FU434" i="1"/>
  <c r="FT434" i="1"/>
  <c r="FS434" i="1"/>
  <c r="FR434" i="1"/>
  <c r="FQ434" i="1"/>
  <c r="FP434" i="1"/>
  <c r="FO434" i="1"/>
  <c r="N434" i="1"/>
  <c r="FX434" i="1" s="1"/>
  <c r="A434" i="1"/>
  <c r="FV433" i="1"/>
  <c r="FU433" i="1"/>
  <c r="FT433" i="1"/>
  <c r="FS433" i="1"/>
  <c r="FR433" i="1"/>
  <c r="FQ433" i="1"/>
  <c r="FP433" i="1"/>
  <c r="FO433" i="1"/>
  <c r="N433" i="1"/>
  <c r="FX433" i="1" s="1"/>
  <c r="A433" i="1"/>
  <c r="FV432" i="1"/>
  <c r="FU432" i="1"/>
  <c r="FT432" i="1"/>
  <c r="FS432" i="1"/>
  <c r="FR432" i="1"/>
  <c r="FQ432" i="1"/>
  <c r="FP432" i="1"/>
  <c r="FO432" i="1"/>
  <c r="N432" i="1"/>
  <c r="FX432" i="1" s="1"/>
  <c r="A432" i="1"/>
  <c r="FV431" i="1"/>
  <c r="FU431" i="1"/>
  <c r="FT431" i="1"/>
  <c r="FS431" i="1"/>
  <c r="FR431" i="1"/>
  <c r="FQ431" i="1"/>
  <c r="FP431" i="1"/>
  <c r="FO431" i="1"/>
  <c r="N431" i="1"/>
  <c r="FX431" i="1" s="1"/>
  <c r="A431" i="1"/>
  <c r="FV430" i="1"/>
  <c r="FU430" i="1"/>
  <c r="FT430" i="1"/>
  <c r="FS430" i="1"/>
  <c r="FR430" i="1"/>
  <c r="FQ430" i="1"/>
  <c r="FP430" i="1"/>
  <c r="FO430" i="1"/>
  <c r="N430" i="1"/>
  <c r="FX430" i="1" s="1"/>
  <c r="A430" i="1"/>
  <c r="FV429" i="1"/>
  <c r="FU429" i="1"/>
  <c r="FT429" i="1"/>
  <c r="FS429" i="1"/>
  <c r="FR429" i="1"/>
  <c r="FQ429" i="1"/>
  <c r="FP429" i="1"/>
  <c r="FO429" i="1"/>
  <c r="N429" i="1"/>
  <c r="FX429" i="1" s="1"/>
  <c r="A429" i="1"/>
  <c r="FV428" i="1"/>
  <c r="FU428" i="1"/>
  <c r="FT428" i="1"/>
  <c r="FS428" i="1"/>
  <c r="FR428" i="1"/>
  <c r="FQ428" i="1"/>
  <c r="FP428" i="1"/>
  <c r="FO428" i="1"/>
  <c r="N428" i="1"/>
  <c r="FX428" i="1" s="1"/>
  <c r="A428" i="1"/>
  <c r="FV427" i="1"/>
  <c r="FU427" i="1"/>
  <c r="FT427" i="1"/>
  <c r="FS427" i="1"/>
  <c r="FR427" i="1"/>
  <c r="FQ427" i="1"/>
  <c r="FP427" i="1"/>
  <c r="FO427" i="1"/>
  <c r="N427" i="1"/>
  <c r="FX427" i="1" s="1"/>
  <c r="A427" i="1"/>
  <c r="FV426" i="1"/>
  <c r="FU426" i="1"/>
  <c r="FT426" i="1"/>
  <c r="FS426" i="1"/>
  <c r="FR426" i="1"/>
  <c r="FQ426" i="1"/>
  <c r="FP426" i="1"/>
  <c r="FO426" i="1"/>
  <c r="N426" i="1"/>
  <c r="FX426" i="1" s="1"/>
  <c r="A426" i="1"/>
  <c r="FV425" i="1"/>
  <c r="FU425" i="1"/>
  <c r="FT425" i="1"/>
  <c r="FS425" i="1"/>
  <c r="FR425" i="1"/>
  <c r="FQ425" i="1"/>
  <c r="FP425" i="1"/>
  <c r="FO425" i="1"/>
  <c r="N425" i="1"/>
  <c r="FX425" i="1" s="1"/>
  <c r="A425" i="1"/>
  <c r="FV424" i="1"/>
  <c r="FU424" i="1"/>
  <c r="FT424" i="1"/>
  <c r="FS424" i="1"/>
  <c r="FR424" i="1"/>
  <c r="FQ424" i="1"/>
  <c r="FP424" i="1"/>
  <c r="FO424" i="1"/>
  <c r="N424" i="1"/>
  <c r="FX424" i="1" s="1"/>
  <c r="A424" i="1"/>
  <c r="FV423" i="1"/>
  <c r="FU423" i="1"/>
  <c r="FT423" i="1"/>
  <c r="FS423" i="1"/>
  <c r="FR423" i="1"/>
  <c r="FQ423" i="1"/>
  <c r="FP423" i="1"/>
  <c r="FO423" i="1"/>
  <c r="N423" i="1"/>
  <c r="FX423" i="1" s="1"/>
  <c r="A423" i="1"/>
  <c r="FV422" i="1"/>
  <c r="FU422" i="1"/>
  <c r="FT422" i="1"/>
  <c r="FS422" i="1"/>
  <c r="FR422" i="1"/>
  <c r="FQ422" i="1"/>
  <c r="FP422" i="1"/>
  <c r="FO422" i="1"/>
  <c r="N422" i="1"/>
  <c r="FX422" i="1" s="1"/>
  <c r="A422" i="1"/>
  <c r="FV421" i="1"/>
  <c r="FU421" i="1"/>
  <c r="FT421" i="1"/>
  <c r="FS421" i="1"/>
  <c r="FR421" i="1"/>
  <c r="FQ421" i="1"/>
  <c r="FP421" i="1"/>
  <c r="FO421" i="1"/>
  <c r="N421" i="1"/>
  <c r="FX421" i="1" s="1"/>
  <c r="A421" i="1"/>
  <c r="FV420" i="1"/>
  <c r="FU420" i="1"/>
  <c r="FT420" i="1"/>
  <c r="FS420" i="1"/>
  <c r="FR420" i="1"/>
  <c r="FQ420" i="1"/>
  <c r="FP420" i="1"/>
  <c r="FO420" i="1"/>
  <c r="N420" i="1"/>
  <c r="FX420" i="1" s="1"/>
  <c r="A420" i="1"/>
  <c r="FV419" i="1"/>
  <c r="FU419" i="1"/>
  <c r="FT419" i="1"/>
  <c r="FS419" i="1"/>
  <c r="FR419" i="1"/>
  <c r="FQ419" i="1"/>
  <c r="FP419" i="1"/>
  <c r="FO419" i="1"/>
  <c r="N419" i="1"/>
  <c r="FX419" i="1" s="1"/>
  <c r="A419" i="1"/>
  <c r="FV418" i="1"/>
  <c r="FU418" i="1"/>
  <c r="FT418" i="1"/>
  <c r="FS418" i="1"/>
  <c r="FR418" i="1"/>
  <c r="FQ418" i="1"/>
  <c r="FP418" i="1"/>
  <c r="FO418" i="1"/>
  <c r="N418" i="1"/>
  <c r="FX418" i="1" s="1"/>
  <c r="A418" i="1"/>
  <c r="FV417" i="1"/>
  <c r="FU417" i="1"/>
  <c r="FT417" i="1"/>
  <c r="FS417" i="1"/>
  <c r="FR417" i="1"/>
  <c r="FQ417" i="1"/>
  <c r="FP417" i="1"/>
  <c r="FO417" i="1"/>
  <c r="N417" i="1"/>
  <c r="FX417" i="1" s="1"/>
  <c r="A417" i="1"/>
  <c r="FV416" i="1"/>
  <c r="FU416" i="1"/>
  <c r="FT416" i="1"/>
  <c r="FS416" i="1"/>
  <c r="FR416" i="1"/>
  <c r="FQ416" i="1"/>
  <c r="FP416" i="1"/>
  <c r="FO416" i="1"/>
  <c r="N416" i="1"/>
  <c r="FX416" i="1" s="1"/>
  <c r="A416" i="1"/>
  <c r="FV415" i="1"/>
  <c r="FU415" i="1"/>
  <c r="FT415" i="1"/>
  <c r="FS415" i="1"/>
  <c r="FR415" i="1"/>
  <c r="FQ415" i="1"/>
  <c r="FP415" i="1"/>
  <c r="FO415" i="1"/>
  <c r="N415" i="1"/>
  <c r="FX415" i="1" s="1"/>
  <c r="A415" i="1"/>
  <c r="FV414" i="1"/>
  <c r="FU414" i="1"/>
  <c r="FT414" i="1"/>
  <c r="FS414" i="1"/>
  <c r="FR414" i="1"/>
  <c r="FQ414" i="1"/>
  <c r="FP414" i="1"/>
  <c r="FO414" i="1"/>
  <c r="N414" i="1"/>
  <c r="FX414" i="1" s="1"/>
  <c r="A414" i="1"/>
  <c r="FV413" i="1"/>
  <c r="FU413" i="1"/>
  <c r="FT413" i="1"/>
  <c r="FS413" i="1"/>
  <c r="FR413" i="1"/>
  <c r="FQ413" i="1"/>
  <c r="FP413" i="1"/>
  <c r="FO413" i="1"/>
  <c r="N413" i="1"/>
  <c r="FX413" i="1" s="1"/>
  <c r="A413" i="1"/>
  <c r="FV412" i="1"/>
  <c r="FU412" i="1"/>
  <c r="FT412" i="1"/>
  <c r="FS412" i="1"/>
  <c r="FR412" i="1"/>
  <c r="FQ412" i="1"/>
  <c r="FP412" i="1"/>
  <c r="FO412" i="1"/>
  <c r="N412" i="1"/>
  <c r="FX412" i="1" s="1"/>
  <c r="A412" i="1"/>
  <c r="FV411" i="1"/>
  <c r="FU411" i="1"/>
  <c r="FT411" i="1"/>
  <c r="FS411" i="1"/>
  <c r="FR411" i="1"/>
  <c r="FQ411" i="1"/>
  <c r="FP411" i="1"/>
  <c r="FO411" i="1"/>
  <c r="N411" i="1"/>
  <c r="FX411" i="1" s="1"/>
  <c r="A411" i="1"/>
  <c r="FV410" i="1"/>
  <c r="FU410" i="1"/>
  <c r="FT410" i="1"/>
  <c r="FS410" i="1"/>
  <c r="FR410" i="1"/>
  <c r="FQ410" i="1"/>
  <c r="FP410" i="1"/>
  <c r="FO410" i="1"/>
  <c r="N410" i="1"/>
  <c r="FX410" i="1" s="1"/>
  <c r="A410" i="1"/>
  <c r="FV409" i="1"/>
  <c r="FU409" i="1"/>
  <c r="FT409" i="1"/>
  <c r="FS409" i="1"/>
  <c r="FR409" i="1"/>
  <c r="FQ409" i="1"/>
  <c r="FP409" i="1"/>
  <c r="FO409" i="1"/>
  <c r="N409" i="1"/>
  <c r="FX409" i="1" s="1"/>
  <c r="A409" i="1"/>
  <c r="FV408" i="1"/>
  <c r="FU408" i="1"/>
  <c r="FT408" i="1"/>
  <c r="FS408" i="1"/>
  <c r="FR408" i="1"/>
  <c r="FQ408" i="1"/>
  <c r="FP408" i="1"/>
  <c r="FO408" i="1"/>
  <c r="N408" i="1"/>
  <c r="FX408" i="1" s="1"/>
  <c r="A408" i="1"/>
  <c r="FV407" i="1"/>
  <c r="FU407" i="1"/>
  <c r="FT407" i="1"/>
  <c r="FS407" i="1"/>
  <c r="FR407" i="1"/>
  <c r="FQ407" i="1"/>
  <c r="FP407" i="1"/>
  <c r="FO407" i="1"/>
  <c r="N407" i="1"/>
  <c r="FX407" i="1" s="1"/>
  <c r="A407" i="1"/>
  <c r="FV406" i="1"/>
  <c r="FU406" i="1"/>
  <c r="FT406" i="1"/>
  <c r="FS406" i="1"/>
  <c r="FR406" i="1"/>
  <c r="FQ406" i="1"/>
  <c r="FP406" i="1"/>
  <c r="FO406" i="1"/>
  <c r="N406" i="1"/>
  <c r="FX406" i="1" s="1"/>
  <c r="A406" i="1"/>
  <c r="FV405" i="1"/>
  <c r="FU405" i="1"/>
  <c r="FT405" i="1"/>
  <c r="FS405" i="1"/>
  <c r="FR405" i="1"/>
  <c r="FQ405" i="1"/>
  <c r="FP405" i="1"/>
  <c r="FO405" i="1"/>
  <c r="N405" i="1"/>
  <c r="FX405" i="1" s="1"/>
  <c r="A405" i="1"/>
  <c r="FV404" i="1"/>
  <c r="FU404" i="1"/>
  <c r="FT404" i="1"/>
  <c r="FS404" i="1"/>
  <c r="FR404" i="1"/>
  <c r="FQ404" i="1"/>
  <c r="FP404" i="1"/>
  <c r="FO404" i="1"/>
  <c r="N404" i="1"/>
  <c r="FX404" i="1" s="1"/>
  <c r="A404" i="1"/>
  <c r="FV403" i="1"/>
  <c r="FU403" i="1"/>
  <c r="FT403" i="1"/>
  <c r="FS403" i="1"/>
  <c r="FR403" i="1"/>
  <c r="FQ403" i="1"/>
  <c r="FP403" i="1"/>
  <c r="FO403" i="1"/>
  <c r="N403" i="1"/>
  <c r="FX403" i="1" s="1"/>
  <c r="A403" i="1"/>
  <c r="FV402" i="1"/>
  <c r="FU402" i="1"/>
  <c r="FT402" i="1"/>
  <c r="FS402" i="1"/>
  <c r="FR402" i="1"/>
  <c r="FQ402" i="1"/>
  <c r="FP402" i="1"/>
  <c r="FO402" i="1"/>
  <c r="N402" i="1"/>
  <c r="FX402" i="1" s="1"/>
  <c r="A402" i="1"/>
  <c r="FV401" i="1"/>
  <c r="FU401" i="1"/>
  <c r="FT401" i="1"/>
  <c r="FS401" i="1"/>
  <c r="FR401" i="1"/>
  <c r="FQ401" i="1"/>
  <c r="FP401" i="1"/>
  <c r="FO401" i="1"/>
  <c r="N401" i="1"/>
  <c r="FX401" i="1" s="1"/>
  <c r="A401" i="1"/>
  <c r="FV400" i="1"/>
  <c r="FU400" i="1"/>
  <c r="FT400" i="1"/>
  <c r="FS400" i="1"/>
  <c r="FR400" i="1"/>
  <c r="FQ400" i="1"/>
  <c r="FP400" i="1"/>
  <c r="FO400" i="1"/>
  <c r="N400" i="1"/>
  <c r="FX400" i="1" s="1"/>
  <c r="A400" i="1"/>
  <c r="FV399" i="1"/>
  <c r="FU399" i="1"/>
  <c r="FT399" i="1"/>
  <c r="FS399" i="1"/>
  <c r="FR399" i="1"/>
  <c r="FQ399" i="1"/>
  <c r="FP399" i="1"/>
  <c r="FO399" i="1"/>
  <c r="N399" i="1"/>
  <c r="FX399" i="1" s="1"/>
  <c r="A399" i="1"/>
  <c r="FV398" i="1"/>
  <c r="FU398" i="1"/>
  <c r="FT398" i="1"/>
  <c r="FS398" i="1"/>
  <c r="FR398" i="1"/>
  <c r="FQ398" i="1"/>
  <c r="FP398" i="1"/>
  <c r="FO398" i="1"/>
  <c r="N398" i="1"/>
  <c r="FX398" i="1" s="1"/>
  <c r="A398" i="1"/>
  <c r="FV397" i="1"/>
  <c r="FU397" i="1"/>
  <c r="FT397" i="1"/>
  <c r="FS397" i="1"/>
  <c r="FR397" i="1"/>
  <c r="FQ397" i="1"/>
  <c r="FP397" i="1"/>
  <c r="FO397" i="1"/>
  <c r="N397" i="1"/>
  <c r="FX397" i="1" s="1"/>
  <c r="A397" i="1"/>
  <c r="FV396" i="1"/>
  <c r="FU396" i="1"/>
  <c r="FT396" i="1"/>
  <c r="FS396" i="1"/>
  <c r="FR396" i="1"/>
  <c r="FQ396" i="1"/>
  <c r="FP396" i="1"/>
  <c r="FO396" i="1"/>
  <c r="N396" i="1"/>
  <c r="FX396" i="1" s="1"/>
  <c r="A396" i="1"/>
  <c r="FV395" i="1"/>
  <c r="FU395" i="1"/>
  <c r="FT395" i="1"/>
  <c r="FS395" i="1"/>
  <c r="FR395" i="1"/>
  <c r="FQ395" i="1"/>
  <c r="FP395" i="1"/>
  <c r="FO395" i="1"/>
  <c r="N395" i="1"/>
  <c r="FX395" i="1" s="1"/>
  <c r="A395" i="1"/>
  <c r="FV394" i="1"/>
  <c r="FU394" i="1"/>
  <c r="FT394" i="1"/>
  <c r="FS394" i="1"/>
  <c r="FR394" i="1"/>
  <c r="FQ394" i="1"/>
  <c r="FP394" i="1"/>
  <c r="FO394" i="1"/>
  <c r="N394" i="1"/>
  <c r="FX394" i="1" s="1"/>
  <c r="A394" i="1"/>
  <c r="FV393" i="1"/>
  <c r="FU393" i="1"/>
  <c r="FT393" i="1"/>
  <c r="FS393" i="1"/>
  <c r="FR393" i="1"/>
  <c r="FQ393" i="1"/>
  <c r="FP393" i="1"/>
  <c r="FO393" i="1"/>
  <c r="N393" i="1"/>
  <c r="FX393" i="1" s="1"/>
  <c r="A393" i="1"/>
  <c r="FV392" i="1"/>
  <c r="FU392" i="1"/>
  <c r="FT392" i="1"/>
  <c r="FS392" i="1"/>
  <c r="FR392" i="1"/>
  <c r="FQ392" i="1"/>
  <c r="FP392" i="1"/>
  <c r="FO392" i="1"/>
  <c r="N392" i="1"/>
  <c r="FX392" i="1" s="1"/>
  <c r="A392" i="1"/>
  <c r="FV391" i="1"/>
  <c r="FU391" i="1"/>
  <c r="FT391" i="1"/>
  <c r="FS391" i="1"/>
  <c r="FR391" i="1"/>
  <c r="FQ391" i="1"/>
  <c r="FP391" i="1"/>
  <c r="FO391" i="1"/>
  <c r="N391" i="1"/>
  <c r="FX391" i="1" s="1"/>
  <c r="A391" i="1"/>
  <c r="FV390" i="1"/>
  <c r="FU390" i="1"/>
  <c r="FT390" i="1"/>
  <c r="FS390" i="1"/>
  <c r="FR390" i="1"/>
  <c r="FQ390" i="1"/>
  <c r="FP390" i="1"/>
  <c r="FO390" i="1"/>
  <c r="N390" i="1"/>
  <c r="FX390" i="1" s="1"/>
  <c r="A390" i="1"/>
  <c r="FV389" i="1"/>
  <c r="FU389" i="1"/>
  <c r="FT389" i="1"/>
  <c r="FS389" i="1"/>
  <c r="FR389" i="1"/>
  <c r="FQ389" i="1"/>
  <c r="FP389" i="1"/>
  <c r="FO389" i="1"/>
  <c r="N389" i="1"/>
  <c r="FX389" i="1" s="1"/>
  <c r="A389" i="1"/>
  <c r="FV388" i="1"/>
  <c r="FU388" i="1"/>
  <c r="FT388" i="1"/>
  <c r="FS388" i="1"/>
  <c r="FR388" i="1"/>
  <c r="FQ388" i="1"/>
  <c r="FP388" i="1"/>
  <c r="FO388" i="1"/>
  <c r="N388" i="1"/>
  <c r="FX388" i="1" s="1"/>
  <c r="A388" i="1"/>
  <c r="FV387" i="1"/>
  <c r="FU387" i="1"/>
  <c r="FT387" i="1"/>
  <c r="FS387" i="1"/>
  <c r="FR387" i="1"/>
  <c r="FQ387" i="1"/>
  <c r="FP387" i="1"/>
  <c r="FO387" i="1"/>
  <c r="N387" i="1"/>
  <c r="FX387" i="1" s="1"/>
  <c r="A387" i="1"/>
  <c r="FV386" i="1"/>
  <c r="FU386" i="1"/>
  <c r="FT386" i="1"/>
  <c r="FS386" i="1"/>
  <c r="FR386" i="1"/>
  <c r="FQ386" i="1"/>
  <c r="FP386" i="1"/>
  <c r="FO386" i="1"/>
  <c r="N386" i="1"/>
  <c r="FX386" i="1" s="1"/>
  <c r="A386" i="1"/>
  <c r="FV385" i="1"/>
  <c r="FU385" i="1"/>
  <c r="FT385" i="1"/>
  <c r="FS385" i="1"/>
  <c r="FR385" i="1"/>
  <c r="FQ385" i="1"/>
  <c r="FP385" i="1"/>
  <c r="FO385" i="1"/>
  <c r="N385" i="1"/>
  <c r="FX385" i="1" s="1"/>
  <c r="A385" i="1"/>
  <c r="FV384" i="1"/>
  <c r="FU384" i="1"/>
  <c r="FT384" i="1"/>
  <c r="FS384" i="1"/>
  <c r="FR384" i="1"/>
  <c r="FQ384" i="1"/>
  <c r="FP384" i="1"/>
  <c r="FO384" i="1"/>
  <c r="N384" i="1"/>
  <c r="FX384" i="1" s="1"/>
  <c r="A384" i="1"/>
  <c r="FV383" i="1"/>
  <c r="FU383" i="1"/>
  <c r="FT383" i="1"/>
  <c r="FS383" i="1"/>
  <c r="FR383" i="1"/>
  <c r="FQ383" i="1"/>
  <c r="FP383" i="1"/>
  <c r="FO383" i="1"/>
  <c r="N383" i="1"/>
  <c r="FX383" i="1" s="1"/>
  <c r="A383" i="1"/>
  <c r="FV382" i="1"/>
  <c r="FU382" i="1"/>
  <c r="FT382" i="1"/>
  <c r="FS382" i="1"/>
  <c r="FR382" i="1"/>
  <c r="FQ382" i="1"/>
  <c r="FP382" i="1"/>
  <c r="FO382" i="1"/>
  <c r="N382" i="1"/>
  <c r="FX382" i="1" s="1"/>
  <c r="A382" i="1"/>
  <c r="FV381" i="1"/>
  <c r="FU381" i="1"/>
  <c r="FT381" i="1"/>
  <c r="FS381" i="1"/>
  <c r="FR381" i="1"/>
  <c r="FQ381" i="1"/>
  <c r="FP381" i="1"/>
  <c r="FO381" i="1"/>
  <c r="N381" i="1"/>
  <c r="FX381" i="1" s="1"/>
  <c r="A381" i="1"/>
  <c r="FV380" i="1"/>
  <c r="FU380" i="1"/>
  <c r="FT380" i="1"/>
  <c r="FS380" i="1"/>
  <c r="FR380" i="1"/>
  <c r="FQ380" i="1"/>
  <c r="FP380" i="1"/>
  <c r="FO380" i="1"/>
  <c r="N380" i="1"/>
  <c r="FX380" i="1" s="1"/>
  <c r="A380" i="1"/>
  <c r="FV379" i="1"/>
  <c r="FU379" i="1"/>
  <c r="FT379" i="1"/>
  <c r="FS379" i="1"/>
  <c r="FR379" i="1"/>
  <c r="FQ379" i="1"/>
  <c r="FP379" i="1"/>
  <c r="FO379" i="1"/>
  <c r="N379" i="1"/>
  <c r="FX379" i="1" s="1"/>
  <c r="A379" i="1"/>
  <c r="FV378" i="1"/>
  <c r="FU378" i="1"/>
  <c r="FT378" i="1"/>
  <c r="FS378" i="1"/>
  <c r="FR378" i="1"/>
  <c r="FQ378" i="1"/>
  <c r="FP378" i="1"/>
  <c r="FO378" i="1"/>
  <c r="N378" i="1"/>
  <c r="FX378" i="1" s="1"/>
  <c r="A378" i="1"/>
  <c r="FV377" i="1"/>
  <c r="FU377" i="1"/>
  <c r="FT377" i="1"/>
  <c r="FS377" i="1"/>
  <c r="FR377" i="1"/>
  <c r="FQ377" i="1"/>
  <c r="FP377" i="1"/>
  <c r="FO377" i="1"/>
  <c r="N377" i="1"/>
  <c r="FX377" i="1" s="1"/>
  <c r="A377" i="1"/>
  <c r="FV376" i="1"/>
  <c r="FU376" i="1"/>
  <c r="FT376" i="1"/>
  <c r="FS376" i="1"/>
  <c r="FR376" i="1"/>
  <c r="FQ376" i="1"/>
  <c r="FP376" i="1"/>
  <c r="FO376" i="1"/>
  <c r="N376" i="1"/>
  <c r="FX376" i="1" s="1"/>
  <c r="A376" i="1"/>
  <c r="FV375" i="1"/>
  <c r="FU375" i="1"/>
  <c r="FT375" i="1"/>
  <c r="FS375" i="1"/>
  <c r="FR375" i="1"/>
  <c r="FQ375" i="1"/>
  <c r="FP375" i="1"/>
  <c r="FO375" i="1"/>
  <c r="N375" i="1"/>
  <c r="FX375" i="1" s="1"/>
  <c r="A375" i="1"/>
  <c r="FV374" i="1"/>
  <c r="FU374" i="1"/>
  <c r="FT374" i="1"/>
  <c r="FS374" i="1"/>
  <c r="FR374" i="1"/>
  <c r="FQ374" i="1"/>
  <c r="FP374" i="1"/>
  <c r="FO374" i="1"/>
  <c r="N374" i="1"/>
  <c r="FX374" i="1" s="1"/>
  <c r="A374" i="1"/>
  <c r="FV373" i="1"/>
  <c r="FU373" i="1"/>
  <c r="FT373" i="1"/>
  <c r="FS373" i="1"/>
  <c r="FR373" i="1"/>
  <c r="FQ373" i="1"/>
  <c r="FP373" i="1"/>
  <c r="FO373" i="1"/>
  <c r="N373" i="1"/>
  <c r="FX373" i="1" s="1"/>
  <c r="A373" i="1"/>
  <c r="FV372" i="1"/>
  <c r="FU372" i="1"/>
  <c r="FT372" i="1"/>
  <c r="FS372" i="1"/>
  <c r="FR372" i="1"/>
  <c r="FQ372" i="1"/>
  <c r="FP372" i="1"/>
  <c r="FO372" i="1"/>
  <c r="N372" i="1"/>
  <c r="FX372" i="1" s="1"/>
  <c r="A372" i="1"/>
  <c r="FV371" i="1"/>
  <c r="FU371" i="1"/>
  <c r="FT371" i="1"/>
  <c r="FS371" i="1"/>
  <c r="FR371" i="1"/>
  <c r="FQ371" i="1"/>
  <c r="FP371" i="1"/>
  <c r="FO371" i="1"/>
  <c r="N371" i="1"/>
  <c r="FX371" i="1" s="1"/>
  <c r="A371" i="1"/>
  <c r="FV370" i="1"/>
  <c r="FU370" i="1"/>
  <c r="FT370" i="1"/>
  <c r="FS370" i="1"/>
  <c r="FR370" i="1"/>
  <c r="FQ370" i="1"/>
  <c r="FP370" i="1"/>
  <c r="FO370" i="1"/>
  <c r="N370" i="1"/>
  <c r="FX370" i="1" s="1"/>
  <c r="A370" i="1"/>
  <c r="FV369" i="1"/>
  <c r="FU369" i="1"/>
  <c r="FT369" i="1"/>
  <c r="FS369" i="1"/>
  <c r="FR369" i="1"/>
  <c r="FQ369" i="1"/>
  <c r="FP369" i="1"/>
  <c r="FO369" i="1"/>
  <c r="N369" i="1"/>
  <c r="FX369" i="1" s="1"/>
  <c r="A369" i="1"/>
  <c r="FV368" i="1"/>
  <c r="FU368" i="1"/>
  <c r="FT368" i="1"/>
  <c r="FS368" i="1"/>
  <c r="FR368" i="1"/>
  <c r="FQ368" i="1"/>
  <c r="FP368" i="1"/>
  <c r="FO368" i="1"/>
  <c r="N368" i="1"/>
  <c r="FX368" i="1" s="1"/>
  <c r="A368" i="1"/>
  <c r="FV367" i="1"/>
  <c r="FU367" i="1"/>
  <c r="FT367" i="1"/>
  <c r="FS367" i="1"/>
  <c r="FR367" i="1"/>
  <c r="FQ367" i="1"/>
  <c r="FP367" i="1"/>
  <c r="FO367" i="1"/>
  <c r="N367" i="1"/>
  <c r="FX367" i="1" s="1"/>
  <c r="A367" i="1"/>
  <c r="FV366" i="1"/>
  <c r="FU366" i="1"/>
  <c r="FT366" i="1"/>
  <c r="FS366" i="1"/>
  <c r="FR366" i="1"/>
  <c r="FQ366" i="1"/>
  <c r="FP366" i="1"/>
  <c r="FO366" i="1"/>
  <c r="N366" i="1"/>
  <c r="FX366" i="1" s="1"/>
  <c r="A366" i="1"/>
  <c r="FV365" i="1"/>
  <c r="FU365" i="1"/>
  <c r="FT365" i="1"/>
  <c r="FS365" i="1"/>
  <c r="FR365" i="1"/>
  <c r="FQ365" i="1"/>
  <c r="FP365" i="1"/>
  <c r="FO365" i="1"/>
  <c r="N365" i="1"/>
  <c r="FX365" i="1" s="1"/>
  <c r="A365" i="1"/>
  <c r="FV364" i="1"/>
  <c r="FU364" i="1"/>
  <c r="FT364" i="1"/>
  <c r="FS364" i="1"/>
  <c r="FR364" i="1"/>
  <c r="FQ364" i="1"/>
  <c r="FP364" i="1"/>
  <c r="FO364" i="1"/>
  <c r="N364" i="1"/>
  <c r="FX364" i="1" s="1"/>
  <c r="A364" i="1"/>
  <c r="FV363" i="1"/>
  <c r="FU363" i="1"/>
  <c r="FT363" i="1"/>
  <c r="FS363" i="1"/>
  <c r="FR363" i="1"/>
  <c r="FQ363" i="1"/>
  <c r="FP363" i="1"/>
  <c r="FO363" i="1"/>
  <c r="N363" i="1"/>
  <c r="FX363" i="1" s="1"/>
  <c r="A363" i="1"/>
  <c r="FV362" i="1"/>
  <c r="FU362" i="1"/>
  <c r="FT362" i="1"/>
  <c r="FS362" i="1"/>
  <c r="FR362" i="1"/>
  <c r="FQ362" i="1"/>
  <c r="FP362" i="1"/>
  <c r="FO362" i="1"/>
  <c r="N362" i="1"/>
  <c r="FX362" i="1" s="1"/>
  <c r="A362" i="1"/>
  <c r="FV361" i="1"/>
  <c r="FU361" i="1"/>
  <c r="FT361" i="1"/>
  <c r="FS361" i="1"/>
  <c r="FR361" i="1"/>
  <c r="FQ361" i="1"/>
  <c r="FP361" i="1"/>
  <c r="FO361" i="1"/>
  <c r="N361" i="1"/>
  <c r="FX361" i="1" s="1"/>
  <c r="A361" i="1"/>
  <c r="FV360" i="1"/>
  <c r="FU360" i="1"/>
  <c r="FT360" i="1"/>
  <c r="FS360" i="1"/>
  <c r="FR360" i="1"/>
  <c r="FQ360" i="1"/>
  <c r="FP360" i="1"/>
  <c r="FO360" i="1"/>
  <c r="N360" i="1"/>
  <c r="FX360" i="1" s="1"/>
  <c r="A360" i="1"/>
  <c r="FV359" i="1"/>
  <c r="FU359" i="1"/>
  <c r="FT359" i="1"/>
  <c r="FS359" i="1"/>
  <c r="FR359" i="1"/>
  <c r="FQ359" i="1"/>
  <c r="FP359" i="1"/>
  <c r="FO359" i="1"/>
  <c r="N359" i="1"/>
  <c r="FX359" i="1" s="1"/>
  <c r="A359" i="1"/>
  <c r="FV358" i="1"/>
  <c r="FU358" i="1"/>
  <c r="FT358" i="1"/>
  <c r="FS358" i="1"/>
  <c r="FR358" i="1"/>
  <c r="FQ358" i="1"/>
  <c r="FP358" i="1"/>
  <c r="FO358" i="1"/>
  <c r="N358" i="1"/>
  <c r="FX358" i="1" s="1"/>
  <c r="A358" i="1"/>
  <c r="FV357" i="1"/>
  <c r="FU357" i="1"/>
  <c r="FT357" i="1"/>
  <c r="FS357" i="1"/>
  <c r="FR357" i="1"/>
  <c r="FQ357" i="1"/>
  <c r="FP357" i="1"/>
  <c r="FO357" i="1"/>
  <c r="N357" i="1"/>
  <c r="FX357" i="1" s="1"/>
  <c r="A357" i="1"/>
  <c r="FV356" i="1"/>
  <c r="FU356" i="1"/>
  <c r="FT356" i="1"/>
  <c r="FS356" i="1"/>
  <c r="FR356" i="1"/>
  <c r="FQ356" i="1"/>
  <c r="FP356" i="1"/>
  <c r="FO356" i="1"/>
  <c r="N356" i="1"/>
  <c r="FX356" i="1" s="1"/>
  <c r="A356" i="1"/>
  <c r="FV355" i="1"/>
  <c r="FU355" i="1"/>
  <c r="FT355" i="1"/>
  <c r="FS355" i="1"/>
  <c r="FR355" i="1"/>
  <c r="FQ355" i="1"/>
  <c r="FP355" i="1"/>
  <c r="FO355" i="1"/>
  <c r="N355" i="1"/>
  <c r="FX355" i="1" s="1"/>
  <c r="A355" i="1"/>
  <c r="FV354" i="1"/>
  <c r="FU354" i="1"/>
  <c r="FT354" i="1"/>
  <c r="FS354" i="1"/>
  <c r="FR354" i="1"/>
  <c r="FQ354" i="1"/>
  <c r="FP354" i="1"/>
  <c r="FO354" i="1"/>
  <c r="N354" i="1"/>
  <c r="FX354" i="1" s="1"/>
  <c r="A354" i="1"/>
  <c r="FV353" i="1"/>
  <c r="FU353" i="1"/>
  <c r="FT353" i="1"/>
  <c r="FS353" i="1"/>
  <c r="FR353" i="1"/>
  <c r="FQ353" i="1"/>
  <c r="FP353" i="1"/>
  <c r="FO353" i="1"/>
  <c r="N353" i="1"/>
  <c r="FX353" i="1" s="1"/>
  <c r="A353" i="1"/>
  <c r="FV352" i="1"/>
  <c r="FU352" i="1"/>
  <c r="FT352" i="1"/>
  <c r="FS352" i="1"/>
  <c r="FR352" i="1"/>
  <c r="FQ352" i="1"/>
  <c r="FP352" i="1"/>
  <c r="FO352" i="1"/>
  <c r="N352" i="1"/>
  <c r="FX352" i="1" s="1"/>
  <c r="A352" i="1"/>
  <c r="FV351" i="1"/>
  <c r="FU351" i="1"/>
  <c r="FT351" i="1"/>
  <c r="FS351" i="1"/>
  <c r="FR351" i="1"/>
  <c r="FQ351" i="1"/>
  <c r="FP351" i="1"/>
  <c r="FO351" i="1"/>
  <c r="N351" i="1"/>
  <c r="FX351" i="1" s="1"/>
  <c r="A351" i="1"/>
  <c r="FV350" i="1"/>
  <c r="FU350" i="1"/>
  <c r="FT350" i="1"/>
  <c r="FS350" i="1"/>
  <c r="FR350" i="1"/>
  <c r="FQ350" i="1"/>
  <c r="FP350" i="1"/>
  <c r="FO350" i="1"/>
  <c r="N350" i="1"/>
  <c r="FX350" i="1" s="1"/>
  <c r="A350" i="1"/>
  <c r="FV349" i="1"/>
  <c r="FU349" i="1"/>
  <c r="FT349" i="1"/>
  <c r="FS349" i="1"/>
  <c r="FR349" i="1"/>
  <c r="FQ349" i="1"/>
  <c r="FP349" i="1"/>
  <c r="FO349" i="1"/>
  <c r="N349" i="1"/>
  <c r="FX349" i="1" s="1"/>
  <c r="A349" i="1"/>
  <c r="FV348" i="1"/>
  <c r="FU348" i="1"/>
  <c r="FT348" i="1"/>
  <c r="FS348" i="1"/>
  <c r="FR348" i="1"/>
  <c r="FQ348" i="1"/>
  <c r="FP348" i="1"/>
  <c r="FO348" i="1"/>
  <c r="N348" i="1"/>
  <c r="FX348" i="1" s="1"/>
  <c r="A348" i="1"/>
  <c r="FV347" i="1"/>
  <c r="FU347" i="1"/>
  <c r="FT347" i="1"/>
  <c r="FS347" i="1"/>
  <c r="FR347" i="1"/>
  <c r="FQ347" i="1"/>
  <c r="FP347" i="1"/>
  <c r="FO347" i="1"/>
  <c r="N347" i="1"/>
  <c r="FX347" i="1" s="1"/>
  <c r="A347" i="1"/>
  <c r="FV346" i="1"/>
  <c r="FU346" i="1"/>
  <c r="FT346" i="1"/>
  <c r="FS346" i="1"/>
  <c r="FR346" i="1"/>
  <c r="FQ346" i="1"/>
  <c r="FP346" i="1"/>
  <c r="FO346" i="1"/>
  <c r="N346" i="1"/>
  <c r="FX346" i="1" s="1"/>
  <c r="A346" i="1"/>
  <c r="FV345" i="1"/>
  <c r="FU345" i="1"/>
  <c r="FT345" i="1"/>
  <c r="FS345" i="1"/>
  <c r="FR345" i="1"/>
  <c r="FQ345" i="1"/>
  <c r="FP345" i="1"/>
  <c r="FO345" i="1"/>
  <c r="N345" i="1"/>
  <c r="FX345" i="1" s="1"/>
  <c r="A345" i="1"/>
  <c r="FV344" i="1"/>
  <c r="FU344" i="1"/>
  <c r="FT344" i="1"/>
  <c r="FS344" i="1"/>
  <c r="FR344" i="1"/>
  <c r="FQ344" i="1"/>
  <c r="FP344" i="1"/>
  <c r="FO344" i="1"/>
  <c r="N344" i="1"/>
  <c r="FX344" i="1" s="1"/>
  <c r="A344" i="1"/>
  <c r="FV343" i="1"/>
  <c r="FU343" i="1"/>
  <c r="FT343" i="1"/>
  <c r="FS343" i="1"/>
  <c r="FR343" i="1"/>
  <c r="FQ343" i="1"/>
  <c r="FP343" i="1"/>
  <c r="FO343" i="1"/>
  <c r="N343" i="1"/>
  <c r="FX343" i="1" s="1"/>
  <c r="A343" i="1"/>
  <c r="FV342" i="1"/>
  <c r="FU342" i="1"/>
  <c r="FT342" i="1"/>
  <c r="FS342" i="1"/>
  <c r="FR342" i="1"/>
  <c r="FQ342" i="1"/>
  <c r="FP342" i="1"/>
  <c r="FO342" i="1"/>
  <c r="N342" i="1"/>
  <c r="FX342" i="1" s="1"/>
  <c r="A342" i="1"/>
  <c r="FV341" i="1"/>
  <c r="FU341" i="1"/>
  <c r="FT341" i="1"/>
  <c r="FS341" i="1"/>
  <c r="FR341" i="1"/>
  <c r="FQ341" i="1"/>
  <c r="FP341" i="1"/>
  <c r="FO341" i="1"/>
  <c r="N341" i="1"/>
  <c r="FX341" i="1" s="1"/>
  <c r="A341" i="1"/>
  <c r="FV340" i="1"/>
  <c r="FU340" i="1"/>
  <c r="FT340" i="1"/>
  <c r="FS340" i="1"/>
  <c r="FR340" i="1"/>
  <c r="FQ340" i="1"/>
  <c r="FP340" i="1"/>
  <c r="FO340" i="1"/>
  <c r="N340" i="1"/>
  <c r="FX340" i="1" s="1"/>
  <c r="A340" i="1"/>
  <c r="FV339" i="1"/>
  <c r="FU339" i="1"/>
  <c r="FT339" i="1"/>
  <c r="FS339" i="1"/>
  <c r="FR339" i="1"/>
  <c r="FQ339" i="1"/>
  <c r="FP339" i="1"/>
  <c r="FO339" i="1"/>
  <c r="N339" i="1"/>
  <c r="FX339" i="1" s="1"/>
  <c r="A339" i="1"/>
  <c r="FV338" i="1"/>
  <c r="FU338" i="1"/>
  <c r="FT338" i="1"/>
  <c r="FS338" i="1"/>
  <c r="FR338" i="1"/>
  <c r="FQ338" i="1"/>
  <c r="FP338" i="1"/>
  <c r="FO338" i="1"/>
  <c r="N338" i="1"/>
  <c r="FX338" i="1" s="1"/>
  <c r="A338" i="1"/>
  <c r="FV337" i="1"/>
  <c r="FU337" i="1"/>
  <c r="FT337" i="1"/>
  <c r="FS337" i="1"/>
  <c r="FR337" i="1"/>
  <c r="FQ337" i="1"/>
  <c r="FP337" i="1"/>
  <c r="FO337" i="1"/>
  <c r="N337" i="1"/>
  <c r="FX337" i="1" s="1"/>
  <c r="A337" i="1"/>
  <c r="FV336" i="1"/>
  <c r="FU336" i="1"/>
  <c r="FT336" i="1"/>
  <c r="FS336" i="1"/>
  <c r="FR336" i="1"/>
  <c r="FQ336" i="1"/>
  <c r="FP336" i="1"/>
  <c r="FO336" i="1"/>
  <c r="N336" i="1"/>
  <c r="FX336" i="1" s="1"/>
  <c r="A336" i="1"/>
  <c r="FV335" i="1"/>
  <c r="FU335" i="1"/>
  <c r="FT335" i="1"/>
  <c r="FS335" i="1"/>
  <c r="FR335" i="1"/>
  <c r="FQ335" i="1"/>
  <c r="FP335" i="1"/>
  <c r="FO335" i="1"/>
  <c r="N335" i="1"/>
  <c r="FX335" i="1" s="1"/>
  <c r="A335" i="1"/>
  <c r="FV334" i="1"/>
  <c r="FU334" i="1"/>
  <c r="FT334" i="1"/>
  <c r="FS334" i="1"/>
  <c r="FR334" i="1"/>
  <c r="FQ334" i="1"/>
  <c r="FP334" i="1"/>
  <c r="FO334" i="1"/>
  <c r="N334" i="1"/>
  <c r="FX334" i="1" s="1"/>
  <c r="A334" i="1"/>
  <c r="FV333" i="1"/>
  <c r="FU333" i="1"/>
  <c r="FT333" i="1"/>
  <c r="FS333" i="1"/>
  <c r="FR333" i="1"/>
  <c r="FQ333" i="1"/>
  <c r="FP333" i="1"/>
  <c r="FO333" i="1"/>
  <c r="N333" i="1"/>
  <c r="FX333" i="1" s="1"/>
  <c r="A333" i="1"/>
  <c r="FV332" i="1"/>
  <c r="FU332" i="1"/>
  <c r="FT332" i="1"/>
  <c r="FS332" i="1"/>
  <c r="FR332" i="1"/>
  <c r="FQ332" i="1"/>
  <c r="FP332" i="1"/>
  <c r="FO332" i="1"/>
  <c r="N332" i="1"/>
  <c r="FX332" i="1" s="1"/>
  <c r="A332" i="1"/>
  <c r="FV331" i="1"/>
  <c r="FU331" i="1"/>
  <c r="FT331" i="1"/>
  <c r="FS331" i="1"/>
  <c r="FR331" i="1"/>
  <c r="FQ331" i="1"/>
  <c r="FP331" i="1"/>
  <c r="FO331" i="1"/>
  <c r="N331" i="1"/>
  <c r="FX331" i="1" s="1"/>
  <c r="A331" i="1"/>
  <c r="FV330" i="1"/>
  <c r="FU330" i="1"/>
  <c r="FT330" i="1"/>
  <c r="FS330" i="1"/>
  <c r="FR330" i="1"/>
  <c r="FQ330" i="1"/>
  <c r="FP330" i="1"/>
  <c r="FO330" i="1"/>
  <c r="N330" i="1"/>
  <c r="FX330" i="1" s="1"/>
  <c r="A330" i="1"/>
  <c r="FV329" i="1"/>
  <c r="FU329" i="1"/>
  <c r="FT329" i="1"/>
  <c r="FS329" i="1"/>
  <c r="FR329" i="1"/>
  <c r="FQ329" i="1"/>
  <c r="FP329" i="1"/>
  <c r="FO329" i="1"/>
  <c r="N329" i="1"/>
  <c r="FX329" i="1" s="1"/>
  <c r="A329" i="1"/>
  <c r="FV328" i="1"/>
  <c r="FU328" i="1"/>
  <c r="FT328" i="1"/>
  <c r="FS328" i="1"/>
  <c r="FR328" i="1"/>
  <c r="FQ328" i="1"/>
  <c r="FP328" i="1"/>
  <c r="FO328" i="1"/>
  <c r="N328" i="1"/>
  <c r="FX328" i="1" s="1"/>
  <c r="A328" i="1"/>
  <c r="FV327" i="1"/>
  <c r="FU327" i="1"/>
  <c r="FT327" i="1"/>
  <c r="FS327" i="1"/>
  <c r="FR327" i="1"/>
  <c r="FQ327" i="1"/>
  <c r="FP327" i="1"/>
  <c r="FO327" i="1"/>
  <c r="N327" i="1"/>
  <c r="FX327" i="1" s="1"/>
  <c r="A327" i="1"/>
  <c r="FV326" i="1"/>
  <c r="FU326" i="1"/>
  <c r="FT326" i="1"/>
  <c r="FS326" i="1"/>
  <c r="FR326" i="1"/>
  <c r="FQ326" i="1"/>
  <c r="FP326" i="1"/>
  <c r="FO326" i="1"/>
  <c r="N326" i="1"/>
  <c r="FX326" i="1" s="1"/>
  <c r="A326" i="1"/>
  <c r="FV325" i="1"/>
  <c r="FU325" i="1"/>
  <c r="FT325" i="1"/>
  <c r="FS325" i="1"/>
  <c r="FR325" i="1"/>
  <c r="FQ325" i="1"/>
  <c r="FP325" i="1"/>
  <c r="FO325" i="1"/>
  <c r="N325" i="1"/>
  <c r="FX325" i="1" s="1"/>
  <c r="A325" i="1"/>
  <c r="FV324" i="1"/>
  <c r="FU324" i="1"/>
  <c r="FT324" i="1"/>
  <c r="FS324" i="1"/>
  <c r="FR324" i="1"/>
  <c r="FQ324" i="1"/>
  <c r="FP324" i="1"/>
  <c r="FO324" i="1"/>
  <c r="N324" i="1"/>
  <c r="FX324" i="1" s="1"/>
  <c r="A324" i="1"/>
  <c r="FV323" i="1"/>
  <c r="FU323" i="1"/>
  <c r="FT323" i="1"/>
  <c r="FS323" i="1"/>
  <c r="FR323" i="1"/>
  <c r="FQ323" i="1"/>
  <c r="FP323" i="1"/>
  <c r="FO323" i="1"/>
  <c r="N323" i="1"/>
  <c r="FX323" i="1" s="1"/>
  <c r="A323" i="1"/>
  <c r="FV322" i="1"/>
  <c r="FU322" i="1"/>
  <c r="FT322" i="1"/>
  <c r="FS322" i="1"/>
  <c r="FR322" i="1"/>
  <c r="FQ322" i="1"/>
  <c r="FP322" i="1"/>
  <c r="FO322" i="1"/>
  <c r="N322" i="1"/>
  <c r="FX322" i="1" s="1"/>
  <c r="A322" i="1"/>
  <c r="FV321" i="1"/>
  <c r="FU321" i="1"/>
  <c r="FT321" i="1"/>
  <c r="FS321" i="1"/>
  <c r="FR321" i="1"/>
  <c r="FQ321" i="1"/>
  <c r="FP321" i="1"/>
  <c r="FO321" i="1"/>
  <c r="N321" i="1"/>
  <c r="FX321" i="1" s="1"/>
  <c r="A321" i="1"/>
  <c r="FV320" i="1"/>
  <c r="FU320" i="1"/>
  <c r="FT320" i="1"/>
  <c r="FS320" i="1"/>
  <c r="FR320" i="1"/>
  <c r="FQ320" i="1"/>
  <c r="FP320" i="1"/>
  <c r="FO320" i="1"/>
  <c r="N320" i="1"/>
  <c r="A320" i="1"/>
  <c r="FV319" i="1"/>
  <c r="FU319" i="1"/>
  <c r="FT319" i="1"/>
  <c r="FS319" i="1"/>
  <c r="FR319" i="1"/>
  <c r="FQ319" i="1"/>
  <c r="FP319" i="1"/>
  <c r="FO319" i="1"/>
  <c r="N319" i="1"/>
  <c r="A319" i="1"/>
  <c r="FV318" i="1"/>
  <c r="FU318" i="1"/>
  <c r="FT318" i="1"/>
  <c r="FS318" i="1"/>
  <c r="FR318" i="1"/>
  <c r="FQ318" i="1"/>
  <c r="FP318" i="1"/>
  <c r="FO318" i="1"/>
  <c r="N318" i="1"/>
  <c r="A318" i="1"/>
  <c r="FV317" i="1"/>
  <c r="FU317" i="1"/>
  <c r="FT317" i="1"/>
  <c r="FS317" i="1"/>
  <c r="FR317" i="1"/>
  <c r="FQ317" i="1"/>
  <c r="FP317" i="1"/>
  <c r="FO317" i="1"/>
  <c r="N317" i="1"/>
  <c r="A317" i="1"/>
  <c r="FV316" i="1"/>
  <c r="FU316" i="1"/>
  <c r="FT316" i="1"/>
  <c r="FS316" i="1"/>
  <c r="FR316" i="1"/>
  <c r="FQ316" i="1"/>
  <c r="FP316" i="1"/>
  <c r="FO316" i="1"/>
  <c r="N316" i="1"/>
  <c r="A316" i="1"/>
  <c r="FV315" i="1"/>
  <c r="FU315" i="1"/>
  <c r="FT315" i="1"/>
  <c r="FS315" i="1"/>
  <c r="FR315" i="1"/>
  <c r="FQ315" i="1"/>
  <c r="FP315" i="1"/>
  <c r="FO315" i="1"/>
  <c r="N315" i="1"/>
  <c r="A315" i="1"/>
  <c r="FV314" i="1"/>
  <c r="FU314" i="1"/>
  <c r="FT314" i="1"/>
  <c r="FS314" i="1"/>
  <c r="FR314" i="1"/>
  <c r="FQ314" i="1"/>
  <c r="FP314" i="1"/>
  <c r="FO314" i="1"/>
  <c r="N314" i="1"/>
  <c r="A314" i="1"/>
  <c r="FV313" i="1"/>
  <c r="FU313" i="1"/>
  <c r="FT313" i="1"/>
  <c r="FS313" i="1"/>
  <c r="FR313" i="1"/>
  <c r="FQ313" i="1"/>
  <c r="FP313" i="1"/>
  <c r="FO313" i="1"/>
  <c r="N313" i="1"/>
  <c r="A313" i="1"/>
  <c r="FV312" i="1"/>
  <c r="FU312" i="1"/>
  <c r="FT312" i="1"/>
  <c r="FS312" i="1"/>
  <c r="FR312" i="1"/>
  <c r="FQ312" i="1"/>
  <c r="FP312" i="1"/>
  <c r="FO312" i="1"/>
  <c r="N312" i="1"/>
  <c r="A312" i="1"/>
  <c r="FV311" i="1"/>
  <c r="FU311" i="1"/>
  <c r="FT311" i="1"/>
  <c r="FS311" i="1"/>
  <c r="FR311" i="1"/>
  <c r="FQ311" i="1"/>
  <c r="FP311" i="1"/>
  <c r="FO311" i="1"/>
  <c r="N311" i="1"/>
  <c r="A311" i="1"/>
  <c r="FV310" i="1"/>
  <c r="FU310" i="1"/>
  <c r="FT310" i="1"/>
  <c r="FS310" i="1"/>
  <c r="FR310" i="1"/>
  <c r="FQ310" i="1"/>
  <c r="FP310" i="1"/>
  <c r="FO310" i="1"/>
  <c r="N310" i="1"/>
  <c r="A310" i="1"/>
  <c r="FV309" i="1"/>
  <c r="FU309" i="1"/>
  <c r="FT309" i="1"/>
  <c r="FS309" i="1"/>
  <c r="FR309" i="1"/>
  <c r="FQ309" i="1"/>
  <c r="FP309" i="1"/>
  <c r="FO309" i="1"/>
  <c r="N309" i="1"/>
  <c r="A309" i="1"/>
  <c r="FV308" i="1"/>
  <c r="FU308" i="1"/>
  <c r="FT308" i="1"/>
  <c r="FS308" i="1"/>
  <c r="FR308" i="1"/>
  <c r="FQ308" i="1"/>
  <c r="FP308" i="1"/>
  <c r="FO308" i="1"/>
  <c r="N308" i="1"/>
  <c r="A308" i="1"/>
  <c r="FV307" i="1"/>
  <c r="FU307" i="1"/>
  <c r="FT307" i="1"/>
  <c r="FS307" i="1"/>
  <c r="FR307" i="1"/>
  <c r="FQ307" i="1"/>
  <c r="FP307" i="1"/>
  <c r="FO307" i="1"/>
  <c r="N307" i="1"/>
  <c r="A307" i="1"/>
  <c r="FV306" i="1"/>
  <c r="FU306" i="1"/>
  <c r="FT306" i="1"/>
  <c r="FS306" i="1"/>
  <c r="FR306" i="1"/>
  <c r="FQ306" i="1"/>
  <c r="FP306" i="1"/>
  <c r="FO306" i="1"/>
  <c r="N306" i="1"/>
  <c r="A306" i="1"/>
  <c r="FV305" i="1"/>
  <c r="FU305" i="1"/>
  <c r="FT305" i="1"/>
  <c r="FS305" i="1"/>
  <c r="FR305" i="1"/>
  <c r="FQ305" i="1"/>
  <c r="FP305" i="1"/>
  <c r="FO305" i="1"/>
  <c r="N305" i="1"/>
  <c r="A305" i="1"/>
  <c r="FV304" i="1"/>
  <c r="FU304" i="1"/>
  <c r="FT304" i="1"/>
  <c r="FS304" i="1"/>
  <c r="FR304" i="1"/>
  <c r="FQ304" i="1"/>
  <c r="FP304" i="1"/>
  <c r="FO304" i="1"/>
  <c r="N304" i="1"/>
  <c r="A304" i="1"/>
  <c r="FV303" i="1"/>
  <c r="FU303" i="1"/>
  <c r="FT303" i="1"/>
  <c r="FS303" i="1"/>
  <c r="FR303" i="1"/>
  <c r="FQ303" i="1"/>
  <c r="FP303" i="1"/>
  <c r="FO303" i="1"/>
  <c r="N303" i="1"/>
  <c r="A303" i="1"/>
  <c r="FV302" i="1"/>
  <c r="FU302" i="1"/>
  <c r="FT302" i="1"/>
  <c r="FS302" i="1"/>
  <c r="FR302" i="1"/>
  <c r="FQ302" i="1"/>
  <c r="FP302" i="1"/>
  <c r="FO302" i="1"/>
  <c r="N302" i="1"/>
  <c r="A302" i="1"/>
  <c r="FV301" i="1"/>
  <c r="FU301" i="1"/>
  <c r="FT301" i="1"/>
  <c r="FS301" i="1"/>
  <c r="FR301" i="1"/>
  <c r="FQ301" i="1"/>
  <c r="FP301" i="1"/>
  <c r="FO301" i="1"/>
  <c r="N301" i="1"/>
  <c r="A301" i="1"/>
  <c r="FV300" i="1"/>
  <c r="FU300" i="1"/>
  <c r="FT300" i="1"/>
  <c r="FS300" i="1"/>
  <c r="FR300" i="1"/>
  <c r="FQ300" i="1"/>
  <c r="FP300" i="1"/>
  <c r="FO300" i="1"/>
  <c r="N300" i="1"/>
  <c r="A300" i="1"/>
  <c r="FV299" i="1"/>
  <c r="FU299" i="1"/>
  <c r="FT299" i="1"/>
  <c r="FS299" i="1"/>
  <c r="FR299" i="1"/>
  <c r="FQ299" i="1"/>
  <c r="FP299" i="1"/>
  <c r="FO299" i="1"/>
  <c r="N299" i="1"/>
  <c r="A299" i="1"/>
  <c r="FV298" i="1"/>
  <c r="FU298" i="1"/>
  <c r="FT298" i="1"/>
  <c r="FS298" i="1"/>
  <c r="FR298" i="1"/>
  <c r="FQ298" i="1"/>
  <c r="FP298" i="1"/>
  <c r="FO298" i="1"/>
  <c r="N298" i="1"/>
  <c r="A298" i="1"/>
  <c r="FV297" i="1"/>
  <c r="FU297" i="1"/>
  <c r="FT297" i="1"/>
  <c r="FS297" i="1"/>
  <c r="FR297" i="1"/>
  <c r="FQ297" i="1"/>
  <c r="FP297" i="1"/>
  <c r="FO297" i="1"/>
  <c r="N297" i="1"/>
  <c r="A297" i="1"/>
  <c r="FV296" i="1"/>
  <c r="FU296" i="1"/>
  <c r="FT296" i="1"/>
  <c r="FS296" i="1"/>
  <c r="FR296" i="1"/>
  <c r="FQ296" i="1"/>
  <c r="FP296" i="1"/>
  <c r="FO296" i="1"/>
  <c r="N296" i="1"/>
  <c r="A296" i="1"/>
  <c r="FV295" i="1"/>
  <c r="FU295" i="1"/>
  <c r="FT295" i="1"/>
  <c r="FS295" i="1"/>
  <c r="FR295" i="1"/>
  <c r="FQ295" i="1"/>
  <c r="FP295" i="1"/>
  <c r="FO295" i="1"/>
  <c r="N295" i="1"/>
  <c r="A295" i="1"/>
  <c r="FV294" i="1"/>
  <c r="FU294" i="1"/>
  <c r="FT294" i="1"/>
  <c r="FS294" i="1"/>
  <c r="FR294" i="1"/>
  <c r="FQ294" i="1"/>
  <c r="FP294" i="1"/>
  <c r="FO294" i="1"/>
  <c r="N294" i="1"/>
  <c r="A294" i="1"/>
  <c r="FV293" i="1"/>
  <c r="FU293" i="1"/>
  <c r="FT293" i="1"/>
  <c r="FS293" i="1"/>
  <c r="FR293" i="1"/>
  <c r="FQ293" i="1"/>
  <c r="FP293" i="1"/>
  <c r="FO293" i="1"/>
  <c r="N293" i="1"/>
  <c r="A293" i="1"/>
  <c r="FV292" i="1"/>
  <c r="FU292" i="1"/>
  <c r="FT292" i="1"/>
  <c r="FS292" i="1"/>
  <c r="FR292" i="1"/>
  <c r="FQ292" i="1"/>
  <c r="FP292" i="1"/>
  <c r="FO292" i="1"/>
  <c r="N292" i="1"/>
  <c r="A292" i="1"/>
  <c r="FV291" i="1"/>
  <c r="FU291" i="1"/>
  <c r="FT291" i="1"/>
  <c r="FS291" i="1"/>
  <c r="FR291" i="1"/>
  <c r="FQ291" i="1"/>
  <c r="FP291" i="1"/>
  <c r="FO291" i="1"/>
  <c r="N291" i="1"/>
  <c r="A291" i="1"/>
  <c r="FV290" i="1"/>
  <c r="FU290" i="1"/>
  <c r="FT290" i="1"/>
  <c r="FS290" i="1"/>
  <c r="FR290" i="1"/>
  <c r="FQ290" i="1"/>
  <c r="FP290" i="1"/>
  <c r="FO290" i="1"/>
  <c r="N290" i="1"/>
  <c r="A290" i="1"/>
  <c r="FV289" i="1"/>
  <c r="FU289" i="1"/>
  <c r="FT289" i="1"/>
  <c r="FS289" i="1"/>
  <c r="FR289" i="1"/>
  <c r="FQ289" i="1"/>
  <c r="FP289" i="1"/>
  <c r="FO289" i="1"/>
  <c r="N289" i="1"/>
  <c r="A289" i="1"/>
  <c r="FV288" i="1"/>
  <c r="FU288" i="1"/>
  <c r="FT288" i="1"/>
  <c r="FS288" i="1"/>
  <c r="FR288" i="1"/>
  <c r="FQ288" i="1"/>
  <c r="FP288" i="1"/>
  <c r="FO288" i="1"/>
  <c r="N288" i="1"/>
  <c r="A288" i="1"/>
  <c r="FV287" i="1"/>
  <c r="FU287" i="1"/>
  <c r="FT287" i="1"/>
  <c r="FS287" i="1"/>
  <c r="FR287" i="1"/>
  <c r="FQ287" i="1"/>
  <c r="FP287" i="1"/>
  <c r="FO287" i="1"/>
  <c r="N287" i="1"/>
  <c r="A287" i="1"/>
  <c r="FV286" i="1"/>
  <c r="FU286" i="1"/>
  <c r="FT286" i="1"/>
  <c r="FS286" i="1"/>
  <c r="FR286" i="1"/>
  <c r="FQ286" i="1"/>
  <c r="FP286" i="1"/>
  <c r="FO286" i="1"/>
  <c r="N286" i="1"/>
  <c r="A286" i="1"/>
  <c r="FV285" i="1"/>
  <c r="FU285" i="1"/>
  <c r="FT285" i="1"/>
  <c r="FS285" i="1"/>
  <c r="FR285" i="1"/>
  <c r="FQ285" i="1"/>
  <c r="FP285" i="1"/>
  <c r="FO285" i="1"/>
  <c r="N285" i="1"/>
  <c r="A285" i="1"/>
  <c r="FV284" i="1"/>
  <c r="FU284" i="1"/>
  <c r="FT284" i="1"/>
  <c r="FS284" i="1"/>
  <c r="FR284" i="1"/>
  <c r="FQ284" i="1"/>
  <c r="FP284" i="1"/>
  <c r="FO284" i="1"/>
  <c r="N284" i="1"/>
  <c r="A284" i="1"/>
  <c r="FV283" i="1"/>
  <c r="FU283" i="1"/>
  <c r="FT283" i="1"/>
  <c r="FS283" i="1"/>
  <c r="FR283" i="1"/>
  <c r="FQ283" i="1"/>
  <c r="FP283" i="1"/>
  <c r="FO283" i="1"/>
  <c r="N283" i="1"/>
  <c r="A283" i="1"/>
  <c r="FV282" i="1"/>
  <c r="FU282" i="1"/>
  <c r="FT282" i="1"/>
  <c r="FS282" i="1"/>
  <c r="FR282" i="1"/>
  <c r="FQ282" i="1"/>
  <c r="FP282" i="1"/>
  <c r="FO282" i="1"/>
  <c r="N282" i="1"/>
  <c r="A282" i="1"/>
  <c r="FV281" i="1"/>
  <c r="FU281" i="1"/>
  <c r="FT281" i="1"/>
  <c r="FS281" i="1"/>
  <c r="FR281" i="1"/>
  <c r="FQ281" i="1"/>
  <c r="FP281" i="1"/>
  <c r="FO281" i="1"/>
  <c r="N281" i="1"/>
  <c r="A281" i="1"/>
  <c r="FV280" i="1"/>
  <c r="FU280" i="1"/>
  <c r="FT280" i="1"/>
  <c r="FS280" i="1"/>
  <c r="FR280" i="1"/>
  <c r="FQ280" i="1"/>
  <c r="FP280" i="1"/>
  <c r="FO280" i="1"/>
  <c r="N280" i="1"/>
  <c r="A280" i="1"/>
  <c r="FV279" i="1"/>
  <c r="FU279" i="1"/>
  <c r="FT279" i="1"/>
  <c r="FS279" i="1"/>
  <c r="FR279" i="1"/>
  <c r="FQ279" i="1"/>
  <c r="FP279" i="1"/>
  <c r="FO279" i="1"/>
  <c r="N279" i="1"/>
  <c r="A279" i="1"/>
  <c r="FV278" i="1"/>
  <c r="FU278" i="1"/>
  <c r="FT278" i="1"/>
  <c r="FS278" i="1"/>
  <c r="FR278" i="1"/>
  <c r="FQ278" i="1"/>
  <c r="FP278" i="1"/>
  <c r="FO278" i="1"/>
  <c r="N278" i="1"/>
  <c r="A278" i="1"/>
  <c r="FV277" i="1"/>
  <c r="FU277" i="1"/>
  <c r="FT277" i="1"/>
  <c r="FS277" i="1"/>
  <c r="FR277" i="1"/>
  <c r="FQ277" i="1"/>
  <c r="FP277" i="1"/>
  <c r="FO277" i="1"/>
  <c r="N277" i="1"/>
  <c r="A277" i="1"/>
  <c r="FV276" i="1"/>
  <c r="FU276" i="1"/>
  <c r="FT276" i="1"/>
  <c r="FS276" i="1"/>
  <c r="FR276" i="1"/>
  <c r="FQ276" i="1"/>
  <c r="FP276" i="1"/>
  <c r="FO276" i="1"/>
  <c r="N276" i="1"/>
  <c r="A276" i="1"/>
  <c r="FV275" i="1"/>
  <c r="FU275" i="1"/>
  <c r="FT275" i="1"/>
  <c r="FS275" i="1"/>
  <c r="FR275" i="1"/>
  <c r="FQ275" i="1"/>
  <c r="FP275" i="1"/>
  <c r="FO275" i="1"/>
  <c r="N275" i="1"/>
  <c r="FX275" i="1" s="1"/>
  <c r="A275" i="1"/>
  <c r="FV274" i="1"/>
  <c r="FU274" i="1"/>
  <c r="FT274" i="1"/>
  <c r="FS274" i="1"/>
  <c r="FR274" i="1"/>
  <c r="FQ274" i="1"/>
  <c r="FP274" i="1"/>
  <c r="FO274" i="1"/>
  <c r="N274" i="1"/>
  <c r="FX274" i="1" s="1"/>
  <c r="A274" i="1"/>
  <c r="FV273" i="1"/>
  <c r="FU273" i="1"/>
  <c r="FT273" i="1"/>
  <c r="FS273" i="1"/>
  <c r="FR273" i="1"/>
  <c r="FQ273" i="1"/>
  <c r="FP273" i="1"/>
  <c r="FO273" i="1"/>
  <c r="N273" i="1"/>
  <c r="FX273" i="1" s="1"/>
  <c r="A273" i="1"/>
  <c r="FV272" i="1"/>
  <c r="FU272" i="1"/>
  <c r="FT272" i="1"/>
  <c r="FS272" i="1"/>
  <c r="FR272" i="1"/>
  <c r="FQ272" i="1"/>
  <c r="FP272" i="1"/>
  <c r="FO272" i="1"/>
  <c r="N272" i="1"/>
  <c r="FX272" i="1" s="1"/>
  <c r="A272" i="1"/>
  <c r="FV271" i="1"/>
  <c r="FU271" i="1"/>
  <c r="FT271" i="1"/>
  <c r="FS271" i="1"/>
  <c r="FR271" i="1"/>
  <c r="FQ271" i="1"/>
  <c r="FP271" i="1"/>
  <c r="FO271" i="1"/>
  <c r="N271" i="1"/>
  <c r="FX271" i="1" s="1"/>
  <c r="A271" i="1"/>
  <c r="FV270" i="1"/>
  <c r="FU270" i="1"/>
  <c r="FT270" i="1"/>
  <c r="FS270" i="1"/>
  <c r="FR270" i="1"/>
  <c r="FQ270" i="1"/>
  <c r="FP270" i="1"/>
  <c r="FO270" i="1"/>
  <c r="N270" i="1"/>
  <c r="FX270" i="1" s="1"/>
  <c r="A270" i="1"/>
  <c r="FV269" i="1"/>
  <c r="FU269" i="1"/>
  <c r="FT269" i="1"/>
  <c r="FS269" i="1"/>
  <c r="FR269" i="1"/>
  <c r="FQ269" i="1"/>
  <c r="FP269" i="1"/>
  <c r="FO269" i="1"/>
  <c r="N269" i="1"/>
  <c r="FX269" i="1" s="1"/>
  <c r="A269" i="1"/>
  <c r="FV268" i="1"/>
  <c r="FU268" i="1"/>
  <c r="FT268" i="1"/>
  <c r="FS268" i="1"/>
  <c r="FR268" i="1"/>
  <c r="FQ268" i="1"/>
  <c r="FP268" i="1"/>
  <c r="FO268" i="1"/>
  <c r="N268" i="1"/>
  <c r="FX268" i="1" s="1"/>
  <c r="A268" i="1"/>
  <c r="FV267" i="1"/>
  <c r="FU267" i="1"/>
  <c r="FT267" i="1"/>
  <c r="FS267" i="1"/>
  <c r="FR267" i="1"/>
  <c r="FQ267" i="1"/>
  <c r="FP267" i="1"/>
  <c r="FO267" i="1"/>
  <c r="N267" i="1"/>
  <c r="FX267" i="1" s="1"/>
  <c r="A267" i="1"/>
  <c r="FV266" i="1"/>
  <c r="FU266" i="1"/>
  <c r="FT266" i="1"/>
  <c r="FS266" i="1"/>
  <c r="FR266" i="1"/>
  <c r="FQ266" i="1"/>
  <c r="FP266" i="1"/>
  <c r="FO266" i="1"/>
  <c r="N266" i="1"/>
  <c r="FX266" i="1" s="1"/>
  <c r="A266" i="1"/>
  <c r="FV265" i="1"/>
  <c r="FU265" i="1"/>
  <c r="FT265" i="1"/>
  <c r="FS265" i="1"/>
  <c r="FR265" i="1"/>
  <c r="FQ265" i="1"/>
  <c r="FP265" i="1"/>
  <c r="FO265" i="1"/>
  <c r="N265" i="1"/>
  <c r="FX265" i="1" s="1"/>
  <c r="A265" i="1"/>
  <c r="FV264" i="1"/>
  <c r="FU264" i="1"/>
  <c r="FT264" i="1"/>
  <c r="FS264" i="1"/>
  <c r="FR264" i="1"/>
  <c r="FQ264" i="1"/>
  <c r="FP264" i="1"/>
  <c r="FO264" i="1"/>
  <c r="N264" i="1"/>
  <c r="FX264" i="1" s="1"/>
  <c r="A264" i="1"/>
  <c r="FV263" i="1"/>
  <c r="FU263" i="1"/>
  <c r="FT263" i="1"/>
  <c r="FS263" i="1"/>
  <c r="FR263" i="1"/>
  <c r="FQ263" i="1"/>
  <c r="FP263" i="1"/>
  <c r="FO263" i="1"/>
  <c r="N263" i="1"/>
  <c r="FX263" i="1" s="1"/>
  <c r="A263" i="1"/>
  <c r="FV262" i="1"/>
  <c r="FU262" i="1"/>
  <c r="FT262" i="1"/>
  <c r="FS262" i="1"/>
  <c r="FR262" i="1"/>
  <c r="FQ262" i="1"/>
  <c r="FP262" i="1"/>
  <c r="FO262" i="1"/>
  <c r="N262" i="1"/>
  <c r="FX262" i="1" s="1"/>
  <c r="A262" i="1"/>
  <c r="FV261" i="1"/>
  <c r="FU261" i="1"/>
  <c r="FT261" i="1"/>
  <c r="FS261" i="1"/>
  <c r="FR261" i="1"/>
  <c r="FQ261" i="1"/>
  <c r="FP261" i="1"/>
  <c r="FO261" i="1"/>
  <c r="N261" i="1"/>
  <c r="FX261" i="1" s="1"/>
  <c r="A261" i="1"/>
  <c r="FV260" i="1"/>
  <c r="FU260" i="1"/>
  <c r="FT260" i="1"/>
  <c r="FS260" i="1"/>
  <c r="FR260" i="1"/>
  <c r="FQ260" i="1"/>
  <c r="FP260" i="1"/>
  <c r="FO260" i="1"/>
  <c r="N260" i="1"/>
  <c r="FX260" i="1" s="1"/>
  <c r="A260" i="1"/>
  <c r="FV259" i="1"/>
  <c r="FU259" i="1"/>
  <c r="FT259" i="1"/>
  <c r="FS259" i="1"/>
  <c r="FR259" i="1"/>
  <c r="FQ259" i="1"/>
  <c r="FP259" i="1"/>
  <c r="FO259" i="1"/>
  <c r="N259" i="1"/>
  <c r="FX259" i="1" s="1"/>
  <c r="A259" i="1"/>
  <c r="FV258" i="1"/>
  <c r="FU258" i="1"/>
  <c r="FT258" i="1"/>
  <c r="FS258" i="1"/>
  <c r="FR258" i="1"/>
  <c r="FQ258" i="1"/>
  <c r="FP258" i="1"/>
  <c r="FO258" i="1"/>
  <c r="N258" i="1"/>
  <c r="FX258" i="1" s="1"/>
  <c r="A258" i="1"/>
  <c r="FV257" i="1"/>
  <c r="FU257" i="1"/>
  <c r="FT257" i="1"/>
  <c r="FS257" i="1"/>
  <c r="FR257" i="1"/>
  <c r="FQ257" i="1"/>
  <c r="FP257" i="1"/>
  <c r="FO257" i="1"/>
  <c r="N257" i="1"/>
  <c r="FX257" i="1" s="1"/>
  <c r="A257" i="1"/>
  <c r="FV256" i="1"/>
  <c r="FU256" i="1"/>
  <c r="FT256" i="1"/>
  <c r="FS256" i="1"/>
  <c r="FR256" i="1"/>
  <c r="FQ256" i="1"/>
  <c r="FP256" i="1"/>
  <c r="FO256" i="1"/>
  <c r="N256" i="1"/>
  <c r="FX256" i="1" s="1"/>
  <c r="A256" i="1"/>
  <c r="FV255" i="1"/>
  <c r="FU255" i="1"/>
  <c r="FT255" i="1"/>
  <c r="FS255" i="1"/>
  <c r="FR255" i="1"/>
  <c r="FQ255" i="1"/>
  <c r="FP255" i="1"/>
  <c r="FO255" i="1"/>
  <c r="N255" i="1"/>
  <c r="FX255" i="1" s="1"/>
  <c r="A255" i="1"/>
  <c r="FV254" i="1"/>
  <c r="FU254" i="1"/>
  <c r="FT254" i="1"/>
  <c r="FS254" i="1"/>
  <c r="FR254" i="1"/>
  <c r="FQ254" i="1"/>
  <c r="FP254" i="1"/>
  <c r="FO254" i="1"/>
  <c r="N254" i="1"/>
  <c r="FX254" i="1" s="1"/>
  <c r="A254" i="1"/>
  <c r="FV253" i="1"/>
  <c r="FU253" i="1"/>
  <c r="FT253" i="1"/>
  <c r="FS253" i="1"/>
  <c r="FR253" i="1"/>
  <c r="FQ253" i="1"/>
  <c r="FP253" i="1"/>
  <c r="FO253" i="1"/>
  <c r="N253" i="1"/>
  <c r="FX253" i="1" s="1"/>
  <c r="A253" i="1"/>
  <c r="FV252" i="1"/>
  <c r="FU252" i="1"/>
  <c r="FT252" i="1"/>
  <c r="FS252" i="1"/>
  <c r="FR252" i="1"/>
  <c r="FQ252" i="1"/>
  <c r="FP252" i="1"/>
  <c r="FO252" i="1"/>
  <c r="N252" i="1"/>
  <c r="FX252" i="1" s="1"/>
  <c r="A252" i="1"/>
  <c r="FV251" i="1"/>
  <c r="FU251" i="1"/>
  <c r="FT251" i="1"/>
  <c r="FS251" i="1"/>
  <c r="FR251" i="1"/>
  <c r="FQ251" i="1"/>
  <c r="FP251" i="1"/>
  <c r="FO251" i="1"/>
  <c r="N251" i="1"/>
  <c r="FX251" i="1" s="1"/>
  <c r="A251" i="1"/>
  <c r="FV250" i="1"/>
  <c r="FU250" i="1"/>
  <c r="FT250" i="1"/>
  <c r="FS250" i="1"/>
  <c r="FR250" i="1"/>
  <c r="FQ250" i="1"/>
  <c r="FP250" i="1"/>
  <c r="FO250" i="1"/>
  <c r="N250" i="1"/>
  <c r="FX250" i="1" s="1"/>
  <c r="A250" i="1"/>
  <c r="FV249" i="1"/>
  <c r="FU249" i="1"/>
  <c r="FT249" i="1"/>
  <c r="FS249" i="1"/>
  <c r="FR249" i="1"/>
  <c r="FQ249" i="1"/>
  <c r="FP249" i="1"/>
  <c r="FO249" i="1"/>
  <c r="N249" i="1"/>
  <c r="FX249" i="1" s="1"/>
  <c r="A249" i="1"/>
  <c r="FV248" i="1"/>
  <c r="FU248" i="1"/>
  <c r="FT248" i="1"/>
  <c r="FS248" i="1"/>
  <c r="FR248" i="1"/>
  <c r="FQ248" i="1"/>
  <c r="FP248" i="1"/>
  <c r="FO248" i="1"/>
  <c r="N248" i="1"/>
  <c r="FX248" i="1" s="1"/>
  <c r="A248" i="1"/>
  <c r="FV247" i="1"/>
  <c r="FU247" i="1"/>
  <c r="FT247" i="1"/>
  <c r="FS247" i="1"/>
  <c r="FR247" i="1"/>
  <c r="FQ247" i="1"/>
  <c r="FP247" i="1"/>
  <c r="FO247" i="1"/>
  <c r="N247" i="1"/>
  <c r="FX247" i="1" s="1"/>
  <c r="A247" i="1"/>
  <c r="FV246" i="1"/>
  <c r="FU246" i="1"/>
  <c r="FT246" i="1"/>
  <c r="FS246" i="1"/>
  <c r="FR246" i="1"/>
  <c r="FQ246" i="1"/>
  <c r="FP246" i="1"/>
  <c r="FO246" i="1"/>
  <c r="N246" i="1"/>
  <c r="FX246" i="1" s="1"/>
  <c r="A246" i="1"/>
  <c r="FV245" i="1"/>
  <c r="FU245" i="1"/>
  <c r="FT245" i="1"/>
  <c r="FS245" i="1"/>
  <c r="FR245" i="1"/>
  <c r="FQ245" i="1"/>
  <c r="FP245" i="1"/>
  <c r="FO245" i="1"/>
  <c r="N245" i="1"/>
  <c r="FX245" i="1" s="1"/>
  <c r="A245" i="1"/>
  <c r="FV244" i="1"/>
  <c r="FU244" i="1"/>
  <c r="FT244" i="1"/>
  <c r="FS244" i="1"/>
  <c r="FR244" i="1"/>
  <c r="FQ244" i="1"/>
  <c r="FP244" i="1"/>
  <c r="FO244" i="1"/>
  <c r="N244" i="1"/>
  <c r="FX244" i="1" s="1"/>
  <c r="A244" i="1"/>
  <c r="FV243" i="1"/>
  <c r="FU243" i="1"/>
  <c r="FT243" i="1"/>
  <c r="FS243" i="1"/>
  <c r="FR243" i="1"/>
  <c r="FQ243" i="1"/>
  <c r="FP243" i="1"/>
  <c r="FO243" i="1"/>
  <c r="N243" i="1"/>
  <c r="FX243" i="1" s="1"/>
  <c r="A243" i="1"/>
  <c r="FV242" i="1"/>
  <c r="FU242" i="1"/>
  <c r="FT242" i="1"/>
  <c r="FS242" i="1"/>
  <c r="FR242" i="1"/>
  <c r="FQ242" i="1"/>
  <c r="FP242" i="1"/>
  <c r="FO242" i="1"/>
  <c r="N242" i="1"/>
  <c r="FX242" i="1" s="1"/>
  <c r="A242" i="1"/>
  <c r="FV241" i="1"/>
  <c r="FU241" i="1"/>
  <c r="FT241" i="1"/>
  <c r="FS241" i="1"/>
  <c r="FR241" i="1"/>
  <c r="FQ241" i="1"/>
  <c r="FP241" i="1"/>
  <c r="FO241" i="1"/>
  <c r="N241" i="1"/>
  <c r="FX241" i="1" s="1"/>
  <c r="A241" i="1"/>
  <c r="FV240" i="1"/>
  <c r="FU240" i="1"/>
  <c r="FT240" i="1"/>
  <c r="FS240" i="1"/>
  <c r="FR240" i="1"/>
  <c r="FQ240" i="1"/>
  <c r="FP240" i="1"/>
  <c r="FO240" i="1"/>
  <c r="N240" i="1"/>
  <c r="FX240" i="1" s="1"/>
  <c r="A240" i="1"/>
  <c r="FV239" i="1"/>
  <c r="FU239" i="1"/>
  <c r="FT239" i="1"/>
  <c r="FS239" i="1"/>
  <c r="FR239" i="1"/>
  <c r="FQ239" i="1"/>
  <c r="FP239" i="1"/>
  <c r="FO239" i="1"/>
  <c r="N239" i="1"/>
  <c r="FX239" i="1" s="1"/>
  <c r="A239" i="1"/>
  <c r="FV238" i="1"/>
  <c r="FU238" i="1"/>
  <c r="FT238" i="1"/>
  <c r="FS238" i="1"/>
  <c r="FR238" i="1"/>
  <c r="FQ238" i="1"/>
  <c r="FP238" i="1"/>
  <c r="FO238" i="1"/>
  <c r="N238" i="1"/>
  <c r="FX238" i="1" s="1"/>
  <c r="A238" i="1"/>
  <c r="FV237" i="1"/>
  <c r="FU237" i="1"/>
  <c r="FT237" i="1"/>
  <c r="FS237" i="1"/>
  <c r="FR237" i="1"/>
  <c r="FQ237" i="1"/>
  <c r="FP237" i="1"/>
  <c r="FO237" i="1"/>
  <c r="N237" i="1"/>
  <c r="FX237" i="1" s="1"/>
  <c r="A237" i="1"/>
  <c r="FV236" i="1"/>
  <c r="FU236" i="1"/>
  <c r="FT236" i="1"/>
  <c r="FS236" i="1"/>
  <c r="FR236" i="1"/>
  <c r="FQ236" i="1"/>
  <c r="FP236" i="1"/>
  <c r="FO236" i="1"/>
  <c r="N236" i="1"/>
  <c r="FX236" i="1" s="1"/>
  <c r="A236" i="1"/>
  <c r="FV235" i="1"/>
  <c r="FU235" i="1"/>
  <c r="FT235" i="1"/>
  <c r="FS235" i="1"/>
  <c r="FR235" i="1"/>
  <c r="FQ235" i="1"/>
  <c r="FP235" i="1"/>
  <c r="FO235" i="1"/>
  <c r="N235" i="1"/>
  <c r="FX235" i="1" s="1"/>
  <c r="A235" i="1"/>
  <c r="FV234" i="1"/>
  <c r="FU234" i="1"/>
  <c r="FT234" i="1"/>
  <c r="FS234" i="1"/>
  <c r="FR234" i="1"/>
  <c r="FQ234" i="1"/>
  <c r="FP234" i="1"/>
  <c r="FO234" i="1"/>
  <c r="N234" i="1"/>
  <c r="FX234" i="1" s="1"/>
  <c r="A234" i="1"/>
  <c r="FV233" i="1"/>
  <c r="FU233" i="1"/>
  <c r="FT233" i="1"/>
  <c r="FS233" i="1"/>
  <c r="FR233" i="1"/>
  <c r="FQ233" i="1"/>
  <c r="FP233" i="1"/>
  <c r="FO233" i="1"/>
  <c r="N233" i="1"/>
  <c r="FX233" i="1" s="1"/>
  <c r="A233" i="1"/>
  <c r="FV232" i="1"/>
  <c r="FU232" i="1"/>
  <c r="FT232" i="1"/>
  <c r="FS232" i="1"/>
  <c r="FR232" i="1"/>
  <c r="FQ232" i="1"/>
  <c r="FP232" i="1"/>
  <c r="FO232" i="1"/>
  <c r="N232" i="1"/>
  <c r="FX232" i="1" s="1"/>
  <c r="A232" i="1"/>
  <c r="FV231" i="1"/>
  <c r="FU231" i="1"/>
  <c r="FT231" i="1"/>
  <c r="FS231" i="1"/>
  <c r="FR231" i="1"/>
  <c r="FQ231" i="1"/>
  <c r="FP231" i="1"/>
  <c r="FO231" i="1"/>
  <c r="N231" i="1"/>
  <c r="FX231" i="1" s="1"/>
  <c r="A231" i="1"/>
  <c r="FV230" i="1"/>
  <c r="FU230" i="1"/>
  <c r="FT230" i="1"/>
  <c r="FS230" i="1"/>
  <c r="FR230" i="1"/>
  <c r="FQ230" i="1"/>
  <c r="FP230" i="1"/>
  <c r="FO230" i="1"/>
  <c r="N230" i="1"/>
  <c r="FX230" i="1" s="1"/>
  <c r="A230" i="1"/>
  <c r="FV229" i="1"/>
  <c r="FU229" i="1"/>
  <c r="FT229" i="1"/>
  <c r="FS229" i="1"/>
  <c r="FR229" i="1"/>
  <c r="FQ229" i="1"/>
  <c r="FP229" i="1"/>
  <c r="FO229" i="1"/>
  <c r="N229" i="1"/>
  <c r="FX229" i="1" s="1"/>
  <c r="A229" i="1"/>
  <c r="FV228" i="1"/>
  <c r="FU228" i="1"/>
  <c r="FT228" i="1"/>
  <c r="FS228" i="1"/>
  <c r="FR228" i="1"/>
  <c r="FQ228" i="1"/>
  <c r="FP228" i="1"/>
  <c r="FO228" i="1"/>
  <c r="N228" i="1"/>
  <c r="FX228" i="1" s="1"/>
  <c r="A228" i="1"/>
  <c r="FV227" i="1"/>
  <c r="FU227" i="1"/>
  <c r="FT227" i="1"/>
  <c r="FS227" i="1"/>
  <c r="FR227" i="1"/>
  <c r="FQ227" i="1"/>
  <c r="FP227" i="1"/>
  <c r="FO227" i="1"/>
  <c r="N227" i="1"/>
  <c r="FX227" i="1" s="1"/>
  <c r="A227" i="1"/>
  <c r="FV226" i="1"/>
  <c r="FU226" i="1"/>
  <c r="FT226" i="1"/>
  <c r="FS226" i="1"/>
  <c r="FR226" i="1"/>
  <c r="FQ226" i="1"/>
  <c r="FP226" i="1"/>
  <c r="FO226" i="1"/>
  <c r="N226" i="1"/>
  <c r="FX226" i="1" s="1"/>
  <c r="A226" i="1"/>
  <c r="FV225" i="1"/>
  <c r="FU225" i="1"/>
  <c r="FT225" i="1"/>
  <c r="FS225" i="1"/>
  <c r="FR225" i="1"/>
  <c r="FQ225" i="1"/>
  <c r="FP225" i="1"/>
  <c r="FO225" i="1"/>
  <c r="N225" i="1"/>
  <c r="FX225" i="1" s="1"/>
  <c r="A225" i="1"/>
  <c r="FV224" i="1"/>
  <c r="FU224" i="1"/>
  <c r="FT224" i="1"/>
  <c r="FS224" i="1"/>
  <c r="FR224" i="1"/>
  <c r="FQ224" i="1"/>
  <c r="FP224" i="1"/>
  <c r="FO224" i="1"/>
  <c r="N224" i="1"/>
  <c r="FX224" i="1" s="1"/>
  <c r="A224" i="1"/>
  <c r="FV223" i="1"/>
  <c r="FU223" i="1"/>
  <c r="FT223" i="1"/>
  <c r="FS223" i="1"/>
  <c r="FR223" i="1"/>
  <c r="FQ223" i="1"/>
  <c r="FP223" i="1"/>
  <c r="FO223" i="1"/>
  <c r="N223" i="1"/>
  <c r="FX223" i="1" s="1"/>
  <c r="A223" i="1"/>
  <c r="FV222" i="1"/>
  <c r="FU222" i="1"/>
  <c r="FT222" i="1"/>
  <c r="FS222" i="1"/>
  <c r="FR222" i="1"/>
  <c r="FQ222" i="1"/>
  <c r="FP222" i="1"/>
  <c r="FO222" i="1"/>
  <c r="N222" i="1"/>
  <c r="FX222" i="1" s="1"/>
  <c r="A222" i="1"/>
  <c r="FV221" i="1"/>
  <c r="FU221" i="1"/>
  <c r="FT221" i="1"/>
  <c r="FS221" i="1"/>
  <c r="FR221" i="1"/>
  <c r="FQ221" i="1"/>
  <c r="FP221" i="1"/>
  <c r="FO221" i="1"/>
  <c r="N221" i="1"/>
  <c r="FX221" i="1" s="1"/>
  <c r="A221" i="1"/>
  <c r="FV220" i="1"/>
  <c r="FU220" i="1"/>
  <c r="FT220" i="1"/>
  <c r="FS220" i="1"/>
  <c r="FR220" i="1"/>
  <c r="FQ220" i="1"/>
  <c r="FP220" i="1"/>
  <c r="FO220" i="1"/>
  <c r="N220" i="1"/>
  <c r="FX220" i="1" s="1"/>
  <c r="A220" i="1"/>
  <c r="FV219" i="1"/>
  <c r="FU219" i="1"/>
  <c r="FT219" i="1"/>
  <c r="FS219" i="1"/>
  <c r="FR219" i="1"/>
  <c r="FQ219" i="1"/>
  <c r="FP219" i="1"/>
  <c r="FO219" i="1"/>
  <c r="N219" i="1"/>
  <c r="FX219" i="1" s="1"/>
  <c r="A219" i="1"/>
  <c r="FV218" i="1"/>
  <c r="FU218" i="1"/>
  <c r="FT218" i="1"/>
  <c r="FS218" i="1"/>
  <c r="FR218" i="1"/>
  <c r="FQ218" i="1"/>
  <c r="FP218" i="1"/>
  <c r="FO218" i="1"/>
  <c r="N218" i="1"/>
  <c r="FX218" i="1" s="1"/>
  <c r="A218" i="1"/>
  <c r="FV217" i="1"/>
  <c r="FU217" i="1"/>
  <c r="FT217" i="1"/>
  <c r="FS217" i="1"/>
  <c r="FR217" i="1"/>
  <c r="FQ217" i="1"/>
  <c r="FP217" i="1"/>
  <c r="FO217" i="1"/>
  <c r="N217" i="1"/>
  <c r="FX217" i="1" s="1"/>
  <c r="A217" i="1"/>
  <c r="FV216" i="1"/>
  <c r="FU216" i="1"/>
  <c r="FT216" i="1"/>
  <c r="FS216" i="1"/>
  <c r="FR216" i="1"/>
  <c r="FQ216" i="1"/>
  <c r="FP216" i="1"/>
  <c r="FO216" i="1"/>
  <c r="N216" i="1"/>
  <c r="FX216" i="1" s="1"/>
  <c r="A216" i="1"/>
  <c r="FV215" i="1"/>
  <c r="FU215" i="1"/>
  <c r="FT215" i="1"/>
  <c r="FS215" i="1"/>
  <c r="FR215" i="1"/>
  <c r="FQ215" i="1"/>
  <c r="FP215" i="1"/>
  <c r="FO215" i="1"/>
  <c r="N215" i="1"/>
  <c r="FX215" i="1" s="1"/>
  <c r="A215" i="1"/>
  <c r="FV214" i="1"/>
  <c r="FU214" i="1"/>
  <c r="FT214" i="1"/>
  <c r="FS214" i="1"/>
  <c r="FR214" i="1"/>
  <c r="FQ214" i="1"/>
  <c r="FP214" i="1"/>
  <c r="FO214" i="1"/>
  <c r="N214" i="1"/>
  <c r="FX214" i="1" s="1"/>
  <c r="A214" i="1"/>
  <c r="FV213" i="1"/>
  <c r="FU213" i="1"/>
  <c r="FT213" i="1"/>
  <c r="FS213" i="1"/>
  <c r="FR213" i="1"/>
  <c r="FQ213" i="1"/>
  <c r="FP213" i="1"/>
  <c r="FO213" i="1"/>
  <c r="N213" i="1"/>
  <c r="FX213" i="1" s="1"/>
  <c r="A213" i="1"/>
  <c r="FV212" i="1"/>
  <c r="FU212" i="1"/>
  <c r="FT212" i="1"/>
  <c r="FS212" i="1"/>
  <c r="FR212" i="1"/>
  <c r="FQ212" i="1"/>
  <c r="FP212" i="1"/>
  <c r="FO212" i="1"/>
  <c r="N212" i="1"/>
  <c r="FX212" i="1" s="1"/>
  <c r="A212" i="1"/>
  <c r="FV211" i="1"/>
  <c r="FU211" i="1"/>
  <c r="FT211" i="1"/>
  <c r="FS211" i="1"/>
  <c r="FR211" i="1"/>
  <c r="FQ211" i="1"/>
  <c r="FP211" i="1"/>
  <c r="FO211" i="1"/>
  <c r="N211" i="1"/>
  <c r="FX211" i="1" s="1"/>
  <c r="A211" i="1"/>
  <c r="FV210" i="1"/>
  <c r="FU210" i="1"/>
  <c r="FT210" i="1"/>
  <c r="FS210" i="1"/>
  <c r="FR210" i="1"/>
  <c r="FQ210" i="1"/>
  <c r="FP210" i="1"/>
  <c r="FO210" i="1"/>
  <c r="N210" i="1"/>
  <c r="FX210" i="1" s="1"/>
  <c r="A210" i="1"/>
  <c r="FV209" i="1"/>
  <c r="FU209" i="1"/>
  <c r="FT209" i="1"/>
  <c r="FS209" i="1"/>
  <c r="FR209" i="1"/>
  <c r="FQ209" i="1"/>
  <c r="FP209" i="1"/>
  <c r="FO209" i="1"/>
  <c r="N209" i="1"/>
  <c r="FX209" i="1" s="1"/>
  <c r="A209" i="1"/>
  <c r="FV208" i="1"/>
  <c r="FU208" i="1"/>
  <c r="FT208" i="1"/>
  <c r="FS208" i="1"/>
  <c r="FR208" i="1"/>
  <c r="FQ208" i="1"/>
  <c r="FP208" i="1"/>
  <c r="FO208" i="1"/>
  <c r="N208" i="1"/>
  <c r="FX208" i="1" s="1"/>
  <c r="A208" i="1"/>
  <c r="FV207" i="1"/>
  <c r="FU207" i="1"/>
  <c r="FT207" i="1"/>
  <c r="FS207" i="1"/>
  <c r="FR207" i="1"/>
  <c r="FQ207" i="1"/>
  <c r="FP207" i="1"/>
  <c r="FO207" i="1"/>
  <c r="N207" i="1"/>
  <c r="FX207" i="1" s="1"/>
  <c r="A207" i="1"/>
  <c r="FV206" i="1"/>
  <c r="FU206" i="1"/>
  <c r="FT206" i="1"/>
  <c r="FS206" i="1"/>
  <c r="FR206" i="1"/>
  <c r="FQ206" i="1"/>
  <c r="FP206" i="1"/>
  <c r="FO206" i="1"/>
  <c r="N206" i="1"/>
  <c r="FX206" i="1" s="1"/>
  <c r="A206" i="1"/>
  <c r="FV205" i="1"/>
  <c r="FU205" i="1"/>
  <c r="FT205" i="1"/>
  <c r="FS205" i="1"/>
  <c r="FR205" i="1"/>
  <c r="FQ205" i="1"/>
  <c r="FP205" i="1"/>
  <c r="FO205" i="1"/>
  <c r="N205" i="1"/>
  <c r="FX205" i="1" s="1"/>
  <c r="A205" i="1"/>
  <c r="FV204" i="1"/>
  <c r="FU204" i="1"/>
  <c r="FT204" i="1"/>
  <c r="FS204" i="1"/>
  <c r="FR204" i="1"/>
  <c r="FQ204" i="1"/>
  <c r="FP204" i="1"/>
  <c r="FO204" i="1"/>
  <c r="N204" i="1"/>
  <c r="FX204" i="1" s="1"/>
  <c r="A204" i="1"/>
  <c r="FV203" i="1"/>
  <c r="FU203" i="1"/>
  <c r="FT203" i="1"/>
  <c r="FS203" i="1"/>
  <c r="FR203" i="1"/>
  <c r="FQ203" i="1"/>
  <c r="FP203" i="1"/>
  <c r="FO203" i="1"/>
  <c r="N203" i="1"/>
  <c r="FX203" i="1" s="1"/>
  <c r="A203" i="1"/>
  <c r="FV202" i="1"/>
  <c r="FU202" i="1"/>
  <c r="FT202" i="1"/>
  <c r="FS202" i="1"/>
  <c r="FR202" i="1"/>
  <c r="FQ202" i="1"/>
  <c r="FP202" i="1"/>
  <c r="FO202" i="1"/>
  <c r="N202" i="1"/>
  <c r="FX202" i="1" s="1"/>
  <c r="A202" i="1"/>
  <c r="FV201" i="1"/>
  <c r="FU201" i="1"/>
  <c r="FT201" i="1"/>
  <c r="FS201" i="1"/>
  <c r="FR201" i="1"/>
  <c r="FQ201" i="1"/>
  <c r="FP201" i="1"/>
  <c r="FO201" i="1"/>
  <c r="N201" i="1"/>
  <c r="FX201" i="1" s="1"/>
  <c r="A201" i="1"/>
  <c r="FV200" i="1"/>
  <c r="FU200" i="1"/>
  <c r="FT200" i="1"/>
  <c r="FS200" i="1"/>
  <c r="FR200" i="1"/>
  <c r="FQ200" i="1"/>
  <c r="FP200" i="1"/>
  <c r="FO200" i="1"/>
  <c r="N200" i="1"/>
  <c r="FX200" i="1" s="1"/>
  <c r="A200" i="1"/>
  <c r="FV199" i="1"/>
  <c r="FU199" i="1"/>
  <c r="FT199" i="1"/>
  <c r="FS199" i="1"/>
  <c r="FR199" i="1"/>
  <c r="FQ199" i="1"/>
  <c r="FP199" i="1"/>
  <c r="FO199" i="1"/>
  <c r="N199" i="1"/>
  <c r="FX199" i="1" s="1"/>
  <c r="A199" i="1"/>
  <c r="FV198" i="1"/>
  <c r="FU198" i="1"/>
  <c r="FT198" i="1"/>
  <c r="FS198" i="1"/>
  <c r="FR198" i="1"/>
  <c r="FQ198" i="1"/>
  <c r="FP198" i="1"/>
  <c r="FO198" i="1"/>
  <c r="N198" i="1"/>
  <c r="FX198" i="1" s="1"/>
  <c r="A198" i="1"/>
  <c r="FV197" i="1"/>
  <c r="FU197" i="1"/>
  <c r="FT197" i="1"/>
  <c r="FS197" i="1"/>
  <c r="FR197" i="1"/>
  <c r="FQ197" i="1"/>
  <c r="FP197" i="1"/>
  <c r="FO197" i="1"/>
  <c r="N197" i="1"/>
  <c r="FX197" i="1" s="1"/>
  <c r="A197" i="1"/>
  <c r="FV196" i="1"/>
  <c r="FU196" i="1"/>
  <c r="FT196" i="1"/>
  <c r="FS196" i="1"/>
  <c r="FR196" i="1"/>
  <c r="FQ196" i="1"/>
  <c r="FP196" i="1"/>
  <c r="FO196" i="1"/>
  <c r="N196" i="1"/>
  <c r="FX196" i="1" s="1"/>
  <c r="A196" i="1"/>
  <c r="FV195" i="1"/>
  <c r="FU195" i="1"/>
  <c r="FT195" i="1"/>
  <c r="FS195" i="1"/>
  <c r="FR195" i="1"/>
  <c r="FQ195" i="1"/>
  <c r="FP195" i="1"/>
  <c r="FO195" i="1"/>
  <c r="N195" i="1"/>
  <c r="FX195" i="1" s="1"/>
  <c r="A195" i="1"/>
  <c r="FV194" i="1"/>
  <c r="FU194" i="1"/>
  <c r="FT194" i="1"/>
  <c r="FS194" i="1"/>
  <c r="FR194" i="1"/>
  <c r="FQ194" i="1"/>
  <c r="FP194" i="1"/>
  <c r="FO194" i="1"/>
  <c r="N194" i="1"/>
  <c r="FX194" i="1" s="1"/>
  <c r="A194" i="1"/>
  <c r="FV193" i="1"/>
  <c r="FU193" i="1"/>
  <c r="FT193" i="1"/>
  <c r="FS193" i="1"/>
  <c r="FR193" i="1"/>
  <c r="FQ193" i="1"/>
  <c r="FP193" i="1"/>
  <c r="FO193" i="1"/>
  <c r="N193" i="1"/>
  <c r="FX193" i="1" s="1"/>
  <c r="A193" i="1"/>
  <c r="FV192" i="1"/>
  <c r="FU192" i="1"/>
  <c r="FT192" i="1"/>
  <c r="FS192" i="1"/>
  <c r="FR192" i="1"/>
  <c r="FQ192" i="1"/>
  <c r="FP192" i="1"/>
  <c r="FO192" i="1"/>
  <c r="N192" i="1"/>
  <c r="FX192" i="1" s="1"/>
  <c r="A192" i="1"/>
  <c r="FV191" i="1"/>
  <c r="FU191" i="1"/>
  <c r="FT191" i="1"/>
  <c r="FS191" i="1"/>
  <c r="FR191" i="1"/>
  <c r="FQ191" i="1"/>
  <c r="FP191" i="1"/>
  <c r="FO191" i="1"/>
  <c r="N191" i="1"/>
  <c r="FX191" i="1" s="1"/>
  <c r="A191" i="1"/>
  <c r="FV190" i="1"/>
  <c r="FU190" i="1"/>
  <c r="FT190" i="1"/>
  <c r="FS190" i="1"/>
  <c r="FR190" i="1"/>
  <c r="FQ190" i="1"/>
  <c r="FP190" i="1"/>
  <c r="FO190" i="1"/>
  <c r="N190" i="1"/>
  <c r="FX190" i="1" s="1"/>
  <c r="A190" i="1"/>
  <c r="FV189" i="1"/>
  <c r="FU189" i="1"/>
  <c r="FT189" i="1"/>
  <c r="FS189" i="1"/>
  <c r="FR189" i="1"/>
  <c r="FQ189" i="1"/>
  <c r="FP189" i="1"/>
  <c r="FO189" i="1"/>
  <c r="N189" i="1"/>
  <c r="FX189" i="1" s="1"/>
  <c r="A189" i="1"/>
  <c r="FV188" i="1"/>
  <c r="FU188" i="1"/>
  <c r="FT188" i="1"/>
  <c r="FS188" i="1"/>
  <c r="FR188" i="1"/>
  <c r="FQ188" i="1"/>
  <c r="FP188" i="1"/>
  <c r="FO188" i="1"/>
  <c r="N188" i="1"/>
  <c r="FX188" i="1" s="1"/>
  <c r="A188" i="1"/>
  <c r="FV187" i="1"/>
  <c r="FU187" i="1"/>
  <c r="FT187" i="1"/>
  <c r="FS187" i="1"/>
  <c r="FR187" i="1"/>
  <c r="FQ187" i="1"/>
  <c r="FP187" i="1"/>
  <c r="FO187" i="1"/>
  <c r="N187" i="1"/>
  <c r="FX187" i="1" s="1"/>
  <c r="A187" i="1"/>
  <c r="FV186" i="1"/>
  <c r="FU186" i="1"/>
  <c r="FT186" i="1"/>
  <c r="FS186" i="1"/>
  <c r="FR186" i="1"/>
  <c r="FQ186" i="1"/>
  <c r="FP186" i="1"/>
  <c r="FO186" i="1"/>
  <c r="N186" i="1"/>
  <c r="FX186" i="1" s="1"/>
  <c r="A186" i="1"/>
  <c r="FV185" i="1"/>
  <c r="FU185" i="1"/>
  <c r="FT185" i="1"/>
  <c r="FS185" i="1"/>
  <c r="FR185" i="1"/>
  <c r="FQ185" i="1"/>
  <c r="FP185" i="1"/>
  <c r="FO185" i="1"/>
  <c r="N185" i="1"/>
  <c r="FX185" i="1" s="1"/>
  <c r="A185" i="1"/>
  <c r="FV184" i="1"/>
  <c r="FU184" i="1"/>
  <c r="FT184" i="1"/>
  <c r="FS184" i="1"/>
  <c r="FR184" i="1"/>
  <c r="FQ184" i="1"/>
  <c r="FP184" i="1"/>
  <c r="FO184" i="1"/>
  <c r="N184" i="1"/>
  <c r="FX184" i="1" s="1"/>
  <c r="A184" i="1"/>
  <c r="FV183" i="1"/>
  <c r="FU183" i="1"/>
  <c r="FT183" i="1"/>
  <c r="FS183" i="1"/>
  <c r="FR183" i="1"/>
  <c r="FQ183" i="1"/>
  <c r="FP183" i="1"/>
  <c r="FO183" i="1"/>
  <c r="N183" i="1"/>
  <c r="FX183" i="1" s="1"/>
  <c r="A183" i="1"/>
  <c r="FV182" i="1"/>
  <c r="FU182" i="1"/>
  <c r="FT182" i="1"/>
  <c r="FS182" i="1"/>
  <c r="FR182" i="1"/>
  <c r="FQ182" i="1"/>
  <c r="FP182" i="1"/>
  <c r="FO182" i="1"/>
  <c r="N182" i="1"/>
  <c r="FX182" i="1" s="1"/>
  <c r="A182" i="1"/>
  <c r="FV181" i="1"/>
  <c r="FU181" i="1"/>
  <c r="FT181" i="1"/>
  <c r="FS181" i="1"/>
  <c r="FR181" i="1"/>
  <c r="FQ181" i="1"/>
  <c r="FP181" i="1"/>
  <c r="FO181" i="1"/>
  <c r="N181" i="1"/>
  <c r="FX181" i="1" s="1"/>
  <c r="A181" i="1"/>
  <c r="FV180" i="1"/>
  <c r="FU180" i="1"/>
  <c r="FT180" i="1"/>
  <c r="FS180" i="1"/>
  <c r="FR180" i="1"/>
  <c r="FQ180" i="1"/>
  <c r="FP180" i="1"/>
  <c r="FO180" i="1"/>
  <c r="N180" i="1"/>
  <c r="FX180" i="1" s="1"/>
  <c r="A180" i="1"/>
  <c r="FV179" i="1"/>
  <c r="FU179" i="1"/>
  <c r="FT179" i="1"/>
  <c r="FS179" i="1"/>
  <c r="FR179" i="1"/>
  <c r="FQ179" i="1"/>
  <c r="FP179" i="1"/>
  <c r="FO179" i="1"/>
  <c r="N179" i="1"/>
  <c r="FX179" i="1" s="1"/>
  <c r="A179" i="1"/>
  <c r="FV178" i="1"/>
  <c r="FU178" i="1"/>
  <c r="FT178" i="1"/>
  <c r="FS178" i="1"/>
  <c r="FR178" i="1"/>
  <c r="FQ178" i="1"/>
  <c r="FP178" i="1"/>
  <c r="FO178" i="1"/>
  <c r="N178" i="1"/>
  <c r="FX178" i="1" s="1"/>
  <c r="A178" i="1"/>
  <c r="FV177" i="1"/>
  <c r="FU177" i="1"/>
  <c r="FT177" i="1"/>
  <c r="FS177" i="1"/>
  <c r="FR177" i="1"/>
  <c r="FQ177" i="1"/>
  <c r="FP177" i="1"/>
  <c r="FO177" i="1"/>
  <c r="N177" i="1"/>
  <c r="FX177" i="1" s="1"/>
  <c r="A177" i="1"/>
  <c r="FV176" i="1"/>
  <c r="FU176" i="1"/>
  <c r="FT176" i="1"/>
  <c r="FS176" i="1"/>
  <c r="FR176" i="1"/>
  <c r="FQ176" i="1"/>
  <c r="FP176" i="1"/>
  <c r="FO176" i="1"/>
  <c r="N176" i="1"/>
  <c r="FX176" i="1" s="1"/>
  <c r="A176" i="1"/>
  <c r="FV175" i="1"/>
  <c r="FU175" i="1"/>
  <c r="FT175" i="1"/>
  <c r="FS175" i="1"/>
  <c r="FR175" i="1"/>
  <c r="FQ175" i="1"/>
  <c r="FP175" i="1"/>
  <c r="FO175" i="1"/>
  <c r="N175" i="1"/>
  <c r="FX175" i="1" s="1"/>
  <c r="A175" i="1"/>
  <c r="FV174" i="1"/>
  <c r="FU174" i="1"/>
  <c r="FT174" i="1"/>
  <c r="FS174" i="1"/>
  <c r="FR174" i="1"/>
  <c r="FQ174" i="1"/>
  <c r="FP174" i="1"/>
  <c r="FO174" i="1"/>
  <c r="N174" i="1"/>
  <c r="FX174" i="1" s="1"/>
  <c r="A174" i="1"/>
  <c r="FV173" i="1"/>
  <c r="FU173" i="1"/>
  <c r="FT173" i="1"/>
  <c r="FS173" i="1"/>
  <c r="FR173" i="1"/>
  <c r="FQ173" i="1"/>
  <c r="FP173" i="1"/>
  <c r="FO173" i="1"/>
  <c r="N173" i="1"/>
  <c r="FX173" i="1" s="1"/>
  <c r="A173" i="1"/>
  <c r="FV172" i="1"/>
  <c r="FU172" i="1"/>
  <c r="FT172" i="1"/>
  <c r="FS172" i="1"/>
  <c r="FR172" i="1"/>
  <c r="FQ172" i="1"/>
  <c r="FP172" i="1"/>
  <c r="FO172" i="1"/>
  <c r="N172" i="1"/>
  <c r="FX172" i="1" s="1"/>
  <c r="A172" i="1"/>
  <c r="FV171" i="1"/>
  <c r="FU171" i="1"/>
  <c r="FT171" i="1"/>
  <c r="FS171" i="1"/>
  <c r="FR171" i="1"/>
  <c r="FQ171" i="1"/>
  <c r="FP171" i="1"/>
  <c r="FO171" i="1"/>
  <c r="N171" i="1"/>
  <c r="FX171" i="1" s="1"/>
  <c r="A171" i="1"/>
  <c r="FV170" i="1"/>
  <c r="FU170" i="1"/>
  <c r="FT170" i="1"/>
  <c r="FS170" i="1"/>
  <c r="FR170" i="1"/>
  <c r="FQ170" i="1"/>
  <c r="FP170" i="1"/>
  <c r="FO170" i="1"/>
  <c r="N170" i="1"/>
  <c r="FX170" i="1" s="1"/>
  <c r="A170" i="1"/>
  <c r="FV169" i="1"/>
  <c r="FU169" i="1"/>
  <c r="FT169" i="1"/>
  <c r="FS169" i="1"/>
  <c r="FR169" i="1"/>
  <c r="FQ169" i="1"/>
  <c r="FP169" i="1"/>
  <c r="FO169" i="1"/>
  <c r="N169" i="1"/>
  <c r="FX169" i="1" s="1"/>
  <c r="A169" i="1"/>
  <c r="FV168" i="1"/>
  <c r="FU168" i="1"/>
  <c r="FT168" i="1"/>
  <c r="FS168" i="1"/>
  <c r="FR168" i="1"/>
  <c r="FQ168" i="1"/>
  <c r="FP168" i="1"/>
  <c r="FO168" i="1"/>
  <c r="N168" i="1"/>
  <c r="FX168" i="1" s="1"/>
  <c r="A168" i="1"/>
  <c r="FV167" i="1"/>
  <c r="FU167" i="1"/>
  <c r="FT167" i="1"/>
  <c r="FS167" i="1"/>
  <c r="FR167" i="1"/>
  <c r="FQ167" i="1"/>
  <c r="FP167" i="1"/>
  <c r="FO167" i="1"/>
  <c r="N167" i="1"/>
  <c r="FX167" i="1" s="1"/>
  <c r="A167" i="1"/>
  <c r="FV166" i="1"/>
  <c r="FU166" i="1"/>
  <c r="FT166" i="1"/>
  <c r="FS166" i="1"/>
  <c r="FR166" i="1"/>
  <c r="FQ166" i="1"/>
  <c r="FP166" i="1"/>
  <c r="FO166" i="1"/>
  <c r="N166" i="1"/>
  <c r="FX166" i="1" s="1"/>
  <c r="A166" i="1"/>
  <c r="FV165" i="1"/>
  <c r="FU165" i="1"/>
  <c r="FT165" i="1"/>
  <c r="FS165" i="1"/>
  <c r="FR165" i="1"/>
  <c r="FQ165" i="1"/>
  <c r="FP165" i="1"/>
  <c r="FO165" i="1"/>
  <c r="N165" i="1"/>
  <c r="FX165" i="1" s="1"/>
  <c r="A165" i="1"/>
  <c r="FV164" i="1"/>
  <c r="FU164" i="1"/>
  <c r="FT164" i="1"/>
  <c r="FS164" i="1"/>
  <c r="FR164" i="1"/>
  <c r="FQ164" i="1"/>
  <c r="FP164" i="1"/>
  <c r="FO164" i="1"/>
  <c r="N164" i="1"/>
  <c r="FX164" i="1" s="1"/>
  <c r="A164" i="1"/>
  <c r="FV163" i="1"/>
  <c r="FU163" i="1"/>
  <c r="FT163" i="1"/>
  <c r="FS163" i="1"/>
  <c r="FR163" i="1"/>
  <c r="FQ163" i="1"/>
  <c r="FP163" i="1"/>
  <c r="FO163" i="1"/>
  <c r="N163" i="1"/>
  <c r="FX163" i="1" s="1"/>
  <c r="A163" i="1"/>
  <c r="FV162" i="1"/>
  <c r="FU162" i="1"/>
  <c r="FT162" i="1"/>
  <c r="FS162" i="1"/>
  <c r="FR162" i="1"/>
  <c r="FQ162" i="1"/>
  <c r="FP162" i="1"/>
  <c r="FO162" i="1"/>
  <c r="N162" i="1"/>
  <c r="FX162" i="1" s="1"/>
  <c r="A162" i="1"/>
  <c r="FV161" i="1"/>
  <c r="FU161" i="1"/>
  <c r="FT161" i="1"/>
  <c r="FS161" i="1"/>
  <c r="FR161" i="1"/>
  <c r="FQ161" i="1"/>
  <c r="FP161" i="1"/>
  <c r="FO161" i="1"/>
  <c r="N161" i="1"/>
  <c r="FX161" i="1" s="1"/>
  <c r="A161" i="1"/>
  <c r="FV160" i="1"/>
  <c r="FU160" i="1"/>
  <c r="FT160" i="1"/>
  <c r="FS160" i="1"/>
  <c r="FR160" i="1"/>
  <c r="FQ160" i="1"/>
  <c r="FP160" i="1"/>
  <c r="FO160" i="1"/>
  <c r="N160" i="1"/>
  <c r="FX160" i="1" s="1"/>
  <c r="A160" i="1"/>
  <c r="FV159" i="1"/>
  <c r="FU159" i="1"/>
  <c r="FT159" i="1"/>
  <c r="FS159" i="1"/>
  <c r="FR159" i="1"/>
  <c r="FQ159" i="1"/>
  <c r="FP159" i="1"/>
  <c r="FO159" i="1"/>
  <c r="N159" i="1"/>
  <c r="FX159" i="1" s="1"/>
  <c r="A159" i="1"/>
  <c r="FV158" i="1"/>
  <c r="FU158" i="1"/>
  <c r="FT158" i="1"/>
  <c r="FS158" i="1"/>
  <c r="FR158" i="1"/>
  <c r="FQ158" i="1"/>
  <c r="FP158" i="1"/>
  <c r="FO158" i="1"/>
  <c r="N158" i="1"/>
  <c r="FX158" i="1" s="1"/>
  <c r="A158" i="1"/>
  <c r="FV157" i="1"/>
  <c r="FU157" i="1"/>
  <c r="FT157" i="1"/>
  <c r="FS157" i="1"/>
  <c r="FR157" i="1"/>
  <c r="FQ157" i="1"/>
  <c r="FP157" i="1"/>
  <c r="FO157" i="1"/>
  <c r="N157" i="1"/>
  <c r="FX157" i="1" s="1"/>
  <c r="A157" i="1"/>
  <c r="FV156" i="1"/>
  <c r="FU156" i="1"/>
  <c r="FT156" i="1"/>
  <c r="FS156" i="1"/>
  <c r="FR156" i="1"/>
  <c r="FQ156" i="1"/>
  <c r="FP156" i="1"/>
  <c r="FO156" i="1"/>
  <c r="N156" i="1"/>
  <c r="FX156" i="1" s="1"/>
  <c r="A156" i="1"/>
  <c r="FV155" i="1"/>
  <c r="FU155" i="1"/>
  <c r="FT155" i="1"/>
  <c r="FS155" i="1"/>
  <c r="FR155" i="1"/>
  <c r="FQ155" i="1"/>
  <c r="FP155" i="1"/>
  <c r="FO155" i="1"/>
  <c r="N155" i="1"/>
  <c r="FX155" i="1" s="1"/>
  <c r="A155" i="1"/>
  <c r="FV154" i="1"/>
  <c r="FU154" i="1"/>
  <c r="FT154" i="1"/>
  <c r="FS154" i="1"/>
  <c r="FR154" i="1"/>
  <c r="FQ154" i="1"/>
  <c r="FP154" i="1"/>
  <c r="FO154" i="1"/>
  <c r="N154" i="1"/>
  <c r="FX154" i="1" s="1"/>
  <c r="A154" i="1"/>
  <c r="FV153" i="1"/>
  <c r="FU153" i="1"/>
  <c r="FT153" i="1"/>
  <c r="FS153" i="1"/>
  <c r="FR153" i="1"/>
  <c r="FQ153" i="1"/>
  <c r="FP153" i="1"/>
  <c r="FO153" i="1"/>
  <c r="N153" i="1"/>
  <c r="FX153" i="1" s="1"/>
  <c r="A153" i="1"/>
  <c r="FV152" i="1"/>
  <c r="FU152" i="1"/>
  <c r="FT152" i="1"/>
  <c r="FS152" i="1"/>
  <c r="FR152" i="1"/>
  <c r="FQ152" i="1"/>
  <c r="FP152" i="1"/>
  <c r="FO152" i="1"/>
  <c r="N152" i="1"/>
  <c r="FX152" i="1" s="1"/>
  <c r="A152" i="1"/>
  <c r="FV151" i="1"/>
  <c r="FU151" i="1"/>
  <c r="FT151" i="1"/>
  <c r="FS151" i="1"/>
  <c r="FR151" i="1"/>
  <c r="FQ151" i="1"/>
  <c r="FP151" i="1"/>
  <c r="FO151" i="1"/>
  <c r="N151" i="1"/>
  <c r="FX151" i="1" s="1"/>
  <c r="A151" i="1"/>
  <c r="FV150" i="1"/>
  <c r="FU150" i="1"/>
  <c r="FT150" i="1"/>
  <c r="FS150" i="1"/>
  <c r="FR150" i="1"/>
  <c r="FQ150" i="1"/>
  <c r="FP150" i="1"/>
  <c r="FO150" i="1"/>
  <c r="N150" i="1"/>
  <c r="FX150" i="1" s="1"/>
  <c r="A150" i="1"/>
  <c r="FV149" i="1"/>
  <c r="FU149" i="1"/>
  <c r="FT149" i="1"/>
  <c r="FS149" i="1"/>
  <c r="FR149" i="1"/>
  <c r="FQ149" i="1"/>
  <c r="FP149" i="1"/>
  <c r="FO149" i="1"/>
  <c r="N149" i="1"/>
  <c r="FX149" i="1" s="1"/>
  <c r="A149" i="1"/>
  <c r="FV148" i="1"/>
  <c r="FU148" i="1"/>
  <c r="FT148" i="1"/>
  <c r="FS148" i="1"/>
  <c r="FR148" i="1"/>
  <c r="FQ148" i="1"/>
  <c r="FP148" i="1"/>
  <c r="FO148" i="1"/>
  <c r="N148" i="1"/>
  <c r="FX148" i="1" s="1"/>
  <c r="A148" i="1"/>
  <c r="FV147" i="1"/>
  <c r="FU147" i="1"/>
  <c r="FT147" i="1"/>
  <c r="FS147" i="1"/>
  <c r="FR147" i="1"/>
  <c r="FQ147" i="1"/>
  <c r="FP147" i="1"/>
  <c r="FO147" i="1"/>
  <c r="N147" i="1"/>
  <c r="FX147" i="1" s="1"/>
  <c r="A147" i="1"/>
  <c r="FV146" i="1"/>
  <c r="FU146" i="1"/>
  <c r="FT146" i="1"/>
  <c r="FS146" i="1"/>
  <c r="FR146" i="1"/>
  <c r="FQ146" i="1"/>
  <c r="FP146" i="1"/>
  <c r="FO146" i="1"/>
  <c r="N146" i="1"/>
  <c r="FX146" i="1" s="1"/>
  <c r="A146" i="1"/>
  <c r="FV145" i="1"/>
  <c r="FU145" i="1"/>
  <c r="FT145" i="1"/>
  <c r="FS145" i="1"/>
  <c r="FR145" i="1"/>
  <c r="FQ145" i="1"/>
  <c r="FP145" i="1"/>
  <c r="FO145" i="1"/>
  <c r="N145" i="1"/>
  <c r="FX145" i="1" s="1"/>
  <c r="A145" i="1"/>
  <c r="FV144" i="1"/>
  <c r="FU144" i="1"/>
  <c r="FT144" i="1"/>
  <c r="FS144" i="1"/>
  <c r="FR144" i="1"/>
  <c r="FQ144" i="1"/>
  <c r="FP144" i="1"/>
  <c r="FO144" i="1"/>
  <c r="N144" i="1"/>
  <c r="FX144" i="1" s="1"/>
  <c r="A144" i="1"/>
  <c r="FV143" i="1"/>
  <c r="FU143" i="1"/>
  <c r="FT143" i="1"/>
  <c r="FS143" i="1"/>
  <c r="FR143" i="1"/>
  <c r="FQ143" i="1"/>
  <c r="FP143" i="1"/>
  <c r="FO143" i="1"/>
  <c r="N143" i="1"/>
  <c r="FX143" i="1" s="1"/>
  <c r="A143" i="1"/>
  <c r="FV142" i="1"/>
  <c r="FU142" i="1"/>
  <c r="FT142" i="1"/>
  <c r="FS142" i="1"/>
  <c r="FR142" i="1"/>
  <c r="FQ142" i="1"/>
  <c r="FP142" i="1"/>
  <c r="FO142" i="1"/>
  <c r="N142" i="1"/>
  <c r="FX142" i="1" s="1"/>
  <c r="A142" i="1"/>
  <c r="FV141" i="1"/>
  <c r="FU141" i="1"/>
  <c r="FT141" i="1"/>
  <c r="FS141" i="1"/>
  <c r="FR141" i="1"/>
  <c r="FQ141" i="1"/>
  <c r="FP141" i="1"/>
  <c r="FO141" i="1"/>
  <c r="N141" i="1"/>
  <c r="FX141" i="1" s="1"/>
  <c r="A141" i="1"/>
  <c r="FV140" i="1"/>
  <c r="FU140" i="1"/>
  <c r="FT140" i="1"/>
  <c r="FS140" i="1"/>
  <c r="FR140" i="1"/>
  <c r="FQ140" i="1"/>
  <c r="FP140" i="1"/>
  <c r="FO140" i="1"/>
  <c r="N140" i="1"/>
  <c r="FX140" i="1" s="1"/>
  <c r="A140" i="1"/>
  <c r="FV139" i="1"/>
  <c r="FU139" i="1"/>
  <c r="FT139" i="1"/>
  <c r="FS139" i="1"/>
  <c r="FR139" i="1"/>
  <c r="FQ139" i="1"/>
  <c r="FP139" i="1"/>
  <c r="FO139" i="1"/>
  <c r="N139" i="1"/>
  <c r="FX139" i="1" s="1"/>
  <c r="A139" i="1"/>
  <c r="FV138" i="1"/>
  <c r="FU138" i="1"/>
  <c r="FT138" i="1"/>
  <c r="FS138" i="1"/>
  <c r="FR138" i="1"/>
  <c r="FQ138" i="1"/>
  <c r="FP138" i="1"/>
  <c r="FO138" i="1"/>
  <c r="N138" i="1"/>
  <c r="FX138" i="1" s="1"/>
  <c r="A138" i="1"/>
  <c r="FV137" i="1"/>
  <c r="FU137" i="1"/>
  <c r="FT137" i="1"/>
  <c r="FS137" i="1"/>
  <c r="FR137" i="1"/>
  <c r="FQ137" i="1"/>
  <c r="FP137" i="1"/>
  <c r="FO137" i="1"/>
  <c r="N137" i="1"/>
  <c r="FX137" i="1" s="1"/>
  <c r="A137" i="1"/>
  <c r="FV136" i="1"/>
  <c r="FU136" i="1"/>
  <c r="FT136" i="1"/>
  <c r="FS136" i="1"/>
  <c r="FR136" i="1"/>
  <c r="FQ136" i="1"/>
  <c r="FP136" i="1"/>
  <c r="FO136" i="1"/>
  <c r="N136" i="1"/>
  <c r="FX136" i="1" s="1"/>
  <c r="A136" i="1"/>
  <c r="FV135" i="1"/>
  <c r="FU135" i="1"/>
  <c r="FT135" i="1"/>
  <c r="FS135" i="1"/>
  <c r="FR135" i="1"/>
  <c r="FQ135" i="1"/>
  <c r="FP135" i="1"/>
  <c r="FO135" i="1"/>
  <c r="N135" i="1"/>
  <c r="FX135" i="1" s="1"/>
  <c r="A135" i="1"/>
  <c r="FV134" i="1"/>
  <c r="FU134" i="1"/>
  <c r="FT134" i="1"/>
  <c r="FS134" i="1"/>
  <c r="FR134" i="1"/>
  <c r="FQ134" i="1"/>
  <c r="FP134" i="1"/>
  <c r="FO134" i="1"/>
  <c r="N134" i="1"/>
  <c r="FX134" i="1" s="1"/>
  <c r="A134" i="1"/>
  <c r="FV132" i="1"/>
  <c r="FU132" i="1"/>
  <c r="FT132" i="1"/>
  <c r="FS132" i="1"/>
  <c r="FR132" i="1"/>
  <c r="FQ132" i="1"/>
  <c r="FP132" i="1"/>
  <c r="FO132" i="1"/>
  <c r="N132" i="1"/>
  <c r="FX132" i="1" s="1"/>
  <c r="A132" i="1"/>
  <c r="FV131" i="1"/>
  <c r="FU131" i="1"/>
  <c r="FT131" i="1"/>
  <c r="FS131" i="1"/>
  <c r="FR131" i="1"/>
  <c r="FQ131" i="1"/>
  <c r="FP131" i="1"/>
  <c r="FO131" i="1"/>
  <c r="N131" i="1"/>
  <c r="FX131" i="1" s="1"/>
  <c r="A131" i="1"/>
  <c r="FV129" i="1"/>
  <c r="FU129" i="1"/>
  <c r="FT129" i="1"/>
  <c r="FS129" i="1"/>
  <c r="FR129" i="1"/>
  <c r="FQ129" i="1"/>
  <c r="FP129" i="1"/>
  <c r="FO129" i="1"/>
  <c r="N129" i="1"/>
  <c r="FX129" i="1" s="1"/>
  <c r="A129" i="1"/>
  <c r="FV128" i="1"/>
  <c r="FU128" i="1"/>
  <c r="FT128" i="1"/>
  <c r="FS128" i="1"/>
  <c r="FR128" i="1"/>
  <c r="FQ128" i="1"/>
  <c r="FP128" i="1"/>
  <c r="FO128" i="1"/>
  <c r="N128" i="1"/>
  <c r="FX128" i="1" s="1"/>
  <c r="A128" i="1"/>
  <c r="FV127" i="1"/>
  <c r="FU127" i="1"/>
  <c r="FT127" i="1"/>
  <c r="FS127" i="1"/>
  <c r="FR127" i="1"/>
  <c r="FQ127" i="1"/>
  <c r="FP127" i="1"/>
  <c r="FO127" i="1"/>
  <c r="N127" i="1"/>
  <c r="FX127" i="1" s="1"/>
  <c r="A127" i="1"/>
  <c r="FV126" i="1"/>
  <c r="FU126" i="1"/>
  <c r="FT126" i="1"/>
  <c r="FS126" i="1"/>
  <c r="FR126" i="1"/>
  <c r="FQ126" i="1"/>
  <c r="FP126" i="1"/>
  <c r="FO126" i="1"/>
  <c r="N126" i="1"/>
  <c r="FX126" i="1" s="1"/>
  <c r="A126" i="1"/>
  <c r="FV125" i="1"/>
  <c r="FU125" i="1"/>
  <c r="FT125" i="1"/>
  <c r="FS125" i="1"/>
  <c r="FR125" i="1"/>
  <c r="FQ125" i="1"/>
  <c r="FP125" i="1"/>
  <c r="FO125" i="1"/>
  <c r="N125" i="1"/>
  <c r="FX125" i="1" s="1"/>
  <c r="A125" i="1"/>
  <c r="FV124" i="1"/>
  <c r="FU124" i="1"/>
  <c r="FT124" i="1"/>
  <c r="FS124" i="1"/>
  <c r="FR124" i="1"/>
  <c r="FQ124" i="1"/>
  <c r="FP124" i="1"/>
  <c r="FO124" i="1"/>
  <c r="N124" i="1"/>
  <c r="FX124" i="1" s="1"/>
  <c r="A124" i="1"/>
  <c r="FV123" i="1"/>
  <c r="FU123" i="1"/>
  <c r="FT123" i="1"/>
  <c r="FS123" i="1"/>
  <c r="FR123" i="1"/>
  <c r="FQ123" i="1"/>
  <c r="FP123" i="1"/>
  <c r="FO123" i="1"/>
  <c r="N123" i="1"/>
  <c r="FX123" i="1" s="1"/>
  <c r="A123" i="1"/>
  <c r="FV122" i="1"/>
  <c r="FU122" i="1"/>
  <c r="FT122" i="1"/>
  <c r="FS122" i="1"/>
  <c r="FR122" i="1"/>
  <c r="FQ122" i="1"/>
  <c r="FP122" i="1"/>
  <c r="FO122" i="1"/>
  <c r="N122" i="1"/>
  <c r="FX122" i="1" s="1"/>
  <c r="A122" i="1"/>
  <c r="FV121" i="1"/>
  <c r="FU121" i="1"/>
  <c r="FT121" i="1"/>
  <c r="FS121" i="1"/>
  <c r="FR121" i="1"/>
  <c r="FQ121" i="1"/>
  <c r="FP121" i="1"/>
  <c r="FO121" i="1"/>
  <c r="N121" i="1"/>
  <c r="FX121" i="1" s="1"/>
  <c r="A121" i="1"/>
  <c r="FV120" i="1"/>
  <c r="FU120" i="1"/>
  <c r="FT120" i="1"/>
  <c r="FS120" i="1"/>
  <c r="FR120" i="1"/>
  <c r="FQ120" i="1"/>
  <c r="FP120" i="1"/>
  <c r="FO120" i="1"/>
  <c r="N120" i="1"/>
  <c r="FX120" i="1" s="1"/>
  <c r="A120" i="1"/>
  <c r="FV119" i="1"/>
  <c r="FU119" i="1"/>
  <c r="FT119" i="1"/>
  <c r="FS119" i="1"/>
  <c r="FR119" i="1"/>
  <c r="FQ119" i="1"/>
  <c r="FP119" i="1"/>
  <c r="FO119" i="1"/>
  <c r="N119" i="1"/>
  <c r="FX119" i="1" s="1"/>
  <c r="A119" i="1"/>
  <c r="FV118" i="1"/>
  <c r="FU118" i="1"/>
  <c r="FT118" i="1"/>
  <c r="FS118" i="1"/>
  <c r="FR118" i="1"/>
  <c r="FQ118" i="1"/>
  <c r="FP118" i="1"/>
  <c r="FO118" i="1"/>
  <c r="N118" i="1"/>
  <c r="FX118" i="1" s="1"/>
  <c r="A118" i="1"/>
  <c r="FV117" i="1"/>
  <c r="FU117" i="1"/>
  <c r="FT117" i="1"/>
  <c r="FS117" i="1"/>
  <c r="FR117" i="1"/>
  <c r="FQ117" i="1"/>
  <c r="FP117" i="1"/>
  <c r="FO117" i="1"/>
  <c r="N117" i="1"/>
  <c r="FX117" i="1" s="1"/>
  <c r="A117" i="1"/>
  <c r="FV116" i="1"/>
  <c r="FU116" i="1"/>
  <c r="FT116" i="1"/>
  <c r="FS116" i="1"/>
  <c r="FR116" i="1"/>
  <c r="FQ116" i="1"/>
  <c r="FP116" i="1"/>
  <c r="FO116" i="1"/>
  <c r="N116" i="1"/>
  <c r="FX116" i="1" s="1"/>
  <c r="A116" i="1"/>
  <c r="FV115" i="1"/>
  <c r="FU115" i="1"/>
  <c r="FT115" i="1"/>
  <c r="FS115" i="1"/>
  <c r="FR115" i="1"/>
  <c r="FQ115" i="1"/>
  <c r="FP115" i="1"/>
  <c r="FO115" i="1"/>
  <c r="N115" i="1"/>
  <c r="FX115" i="1" s="1"/>
  <c r="A115" i="1"/>
  <c r="FV114" i="1"/>
  <c r="FU114" i="1"/>
  <c r="FT114" i="1"/>
  <c r="FS114" i="1"/>
  <c r="FR114" i="1"/>
  <c r="FQ114" i="1"/>
  <c r="FP114" i="1"/>
  <c r="FO114" i="1"/>
  <c r="N114" i="1"/>
  <c r="FX114" i="1" s="1"/>
  <c r="A114" i="1"/>
  <c r="FV113" i="1"/>
  <c r="FU113" i="1"/>
  <c r="FT113" i="1"/>
  <c r="FS113" i="1"/>
  <c r="FR113" i="1"/>
  <c r="FQ113" i="1"/>
  <c r="FP113" i="1"/>
  <c r="FO113" i="1"/>
  <c r="N113" i="1"/>
  <c r="FX113" i="1" s="1"/>
  <c r="A113" i="1"/>
  <c r="FV112" i="1"/>
  <c r="FU112" i="1"/>
  <c r="FT112" i="1"/>
  <c r="FS112" i="1"/>
  <c r="FR112" i="1"/>
  <c r="FQ112" i="1"/>
  <c r="FP112" i="1"/>
  <c r="FO112" i="1"/>
  <c r="N112" i="1"/>
  <c r="FX112" i="1" s="1"/>
  <c r="A112" i="1"/>
  <c r="FV111" i="1"/>
  <c r="FU111" i="1"/>
  <c r="FT111" i="1"/>
  <c r="FS111" i="1"/>
  <c r="FR111" i="1"/>
  <c r="FQ111" i="1"/>
  <c r="FP111" i="1"/>
  <c r="FO111" i="1"/>
  <c r="N111" i="1"/>
  <c r="FX111" i="1" s="1"/>
  <c r="A111" i="1"/>
  <c r="FV110" i="1"/>
  <c r="FU110" i="1"/>
  <c r="FT110" i="1"/>
  <c r="FS110" i="1"/>
  <c r="FR110" i="1"/>
  <c r="FQ110" i="1"/>
  <c r="FP110" i="1"/>
  <c r="FO110" i="1"/>
  <c r="N110" i="1"/>
  <c r="FX110" i="1" s="1"/>
  <c r="A110" i="1"/>
  <c r="FV109" i="1"/>
  <c r="FU109" i="1"/>
  <c r="FT109" i="1"/>
  <c r="FS109" i="1"/>
  <c r="FR109" i="1"/>
  <c r="FQ109" i="1"/>
  <c r="FP109" i="1"/>
  <c r="FO109" i="1"/>
  <c r="N109" i="1"/>
  <c r="FX109" i="1" s="1"/>
  <c r="A109" i="1"/>
  <c r="FV108" i="1"/>
  <c r="FU108" i="1"/>
  <c r="FT108" i="1"/>
  <c r="FS108" i="1"/>
  <c r="FR108" i="1"/>
  <c r="FQ108" i="1"/>
  <c r="FP108" i="1"/>
  <c r="FO108" i="1"/>
  <c r="N108" i="1"/>
  <c r="FX108" i="1" s="1"/>
  <c r="A108" i="1"/>
  <c r="FV107" i="1"/>
  <c r="FU107" i="1"/>
  <c r="FT107" i="1"/>
  <c r="FS107" i="1"/>
  <c r="FR107" i="1"/>
  <c r="FQ107" i="1"/>
  <c r="FP107" i="1"/>
  <c r="FO107" i="1"/>
  <c r="N107" i="1"/>
  <c r="FX107" i="1" s="1"/>
  <c r="A107" i="1"/>
  <c r="FV106" i="1"/>
  <c r="FU106" i="1"/>
  <c r="FT106" i="1"/>
  <c r="FS106" i="1"/>
  <c r="FR106" i="1"/>
  <c r="FQ106" i="1"/>
  <c r="FP106" i="1"/>
  <c r="FO106" i="1"/>
  <c r="N106" i="1"/>
  <c r="FX106" i="1" s="1"/>
  <c r="A106" i="1"/>
  <c r="FV105" i="1"/>
  <c r="FU105" i="1"/>
  <c r="FT105" i="1"/>
  <c r="FS105" i="1"/>
  <c r="FR105" i="1"/>
  <c r="FQ105" i="1"/>
  <c r="FP105" i="1"/>
  <c r="FO105" i="1"/>
  <c r="N105" i="1"/>
  <c r="FX105" i="1" s="1"/>
  <c r="A105" i="1"/>
  <c r="FV103" i="1"/>
  <c r="FU103" i="1"/>
  <c r="FT103" i="1"/>
  <c r="FS103" i="1"/>
  <c r="FR103" i="1"/>
  <c r="FQ103" i="1"/>
  <c r="FP103" i="1"/>
  <c r="FO103" i="1"/>
  <c r="N103" i="1"/>
  <c r="FX103" i="1" s="1"/>
  <c r="A103" i="1"/>
  <c r="FV102" i="1"/>
  <c r="FU102" i="1"/>
  <c r="FT102" i="1"/>
  <c r="FS102" i="1"/>
  <c r="FR102" i="1"/>
  <c r="FQ102" i="1"/>
  <c r="FP102" i="1"/>
  <c r="FO102" i="1"/>
  <c r="N102" i="1"/>
  <c r="FX102" i="1" s="1"/>
  <c r="A102" i="1"/>
  <c r="FV101" i="1"/>
  <c r="FU101" i="1"/>
  <c r="FT101" i="1"/>
  <c r="FS101" i="1"/>
  <c r="FR101" i="1"/>
  <c r="FQ101" i="1"/>
  <c r="FP101" i="1"/>
  <c r="FO101" i="1"/>
  <c r="N101" i="1"/>
  <c r="FX101" i="1" s="1"/>
  <c r="A101" i="1"/>
  <c r="FV100" i="1"/>
  <c r="FU100" i="1"/>
  <c r="FT100" i="1"/>
  <c r="FS100" i="1"/>
  <c r="FR100" i="1"/>
  <c r="FQ100" i="1"/>
  <c r="FP100" i="1"/>
  <c r="FO100" i="1"/>
  <c r="N100" i="1"/>
  <c r="FX100" i="1" s="1"/>
  <c r="A100" i="1"/>
  <c r="FV99" i="1"/>
  <c r="FU99" i="1"/>
  <c r="FT99" i="1"/>
  <c r="FS99" i="1"/>
  <c r="FR99" i="1"/>
  <c r="FQ99" i="1"/>
  <c r="FP99" i="1"/>
  <c r="FO99" i="1"/>
  <c r="N99" i="1"/>
  <c r="FX99" i="1" s="1"/>
  <c r="A99" i="1"/>
  <c r="FV98" i="1"/>
  <c r="FU98" i="1"/>
  <c r="FT98" i="1"/>
  <c r="FS98" i="1"/>
  <c r="FR98" i="1"/>
  <c r="FQ98" i="1"/>
  <c r="FP98" i="1"/>
  <c r="FO98" i="1"/>
  <c r="N98" i="1"/>
  <c r="FX98" i="1" s="1"/>
  <c r="A98" i="1"/>
  <c r="FV97" i="1"/>
  <c r="FU97" i="1"/>
  <c r="FT97" i="1"/>
  <c r="FS97" i="1"/>
  <c r="FR97" i="1"/>
  <c r="FQ97" i="1"/>
  <c r="FP97" i="1"/>
  <c r="FO97" i="1"/>
  <c r="N97" i="1"/>
  <c r="FX97" i="1" s="1"/>
  <c r="A97" i="1"/>
  <c r="FV96" i="1"/>
  <c r="FU96" i="1"/>
  <c r="FT96" i="1"/>
  <c r="FS96" i="1"/>
  <c r="FR96" i="1"/>
  <c r="FQ96" i="1"/>
  <c r="FP96" i="1"/>
  <c r="FO96" i="1"/>
  <c r="N96" i="1"/>
  <c r="FX96" i="1" s="1"/>
  <c r="A96" i="1"/>
  <c r="FV95" i="1"/>
  <c r="FU95" i="1"/>
  <c r="FT95" i="1"/>
  <c r="FS95" i="1"/>
  <c r="FR95" i="1"/>
  <c r="FQ95" i="1"/>
  <c r="FP95" i="1"/>
  <c r="FO95" i="1"/>
  <c r="N95" i="1"/>
  <c r="FX95" i="1" s="1"/>
  <c r="A95" i="1"/>
  <c r="FV94" i="1"/>
  <c r="FU94" i="1"/>
  <c r="FT94" i="1"/>
  <c r="FS94" i="1"/>
  <c r="FR94" i="1"/>
  <c r="FQ94" i="1"/>
  <c r="FP94" i="1"/>
  <c r="FO94" i="1"/>
  <c r="N94" i="1"/>
  <c r="FX94" i="1" s="1"/>
  <c r="A94" i="1"/>
  <c r="FV92" i="1"/>
  <c r="FU92" i="1"/>
  <c r="FT92" i="1"/>
  <c r="FS92" i="1"/>
  <c r="FR92" i="1"/>
  <c r="FQ92" i="1"/>
  <c r="FP92" i="1"/>
  <c r="FO92" i="1"/>
  <c r="N92" i="1"/>
  <c r="FX92" i="1" s="1"/>
  <c r="A92" i="1"/>
  <c r="FV91" i="1"/>
  <c r="FU91" i="1"/>
  <c r="FT91" i="1"/>
  <c r="FS91" i="1"/>
  <c r="FR91" i="1"/>
  <c r="FQ91" i="1"/>
  <c r="FP91" i="1"/>
  <c r="FO91" i="1"/>
  <c r="N91" i="1"/>
  <c r="FX91" i="1" s="1"/>
  <c r="A91" i="1"/>
  <c r="FV90" i="1"/>
  <c r="FU90" i="1"/>
  <c r="FT90" i="1"/>
  <c r="FS90" i="1"/>
  <c r="FR90" i="1"/>
  <c r="FQ90" i="1"/>
  <c r="FP90" i="1"/>
  <c r="FO90" i="1"/>
  <c r="N90" i="1"/>
  <c r="FX90" i="1" s="1"/>
  <c r="A90" i="1"/>
  <c r="FV89" i="1"/>
  <c r="FU89" i="1"/>
  <c r="FT89" i="1"/>
  <c r="FS89" i="1"/>
  <c r="FR89" i="1"/>
  <c r="FQ89" i="1"/>
  <c r="FP89" i="1"/>
  <c r="FO89" i="1"/>
  <c r="N89" i="1"/>
  <c r="FX89" i="1" s="1"/>
  <c r="A89" i="1"/>
  <c r="FV87" i="1"/>
  <c r="FU87" i="1"/>
  <c r="FT87" i="1"/>
  <c r="FS87" i="1"/>
  <c r="FR87" i="1"/>
  <c r="FQ87" i="1"/>
  <c r="FP87" i="1"/>
  <c r="FO87" i="1"/>
  <c r="N87" i="1"/>
  <c r="FX87" i="1" s="1"/>
  <c r="A87" i="1"/>
  <c r="FV86" i="1"/>
  <c r="FU86" i="1"/>
  <c r="FT86" i="1"/>
  <c r="FS86" i="1"/>
  <c r="FR86" i="1"/>
  <c r="FQ86" i="1"/>
  <c r="FP86" i="1"/>
  <c r="FO86" i="1"/>
  <c r="N86" i="1"/>
  <c r="FX86" i="1" s="1"/>
  <c r="A86" i="1"/>
  <c r="FV85" i="1"/>
  <c r="FU85" i="1"/>
  <c r="FT85" i="1"/>
  <c r="FS85" i="1"/>
  <c r="FR85" i="1"/>
  <c r="FQ85" i="1"/>
  <c r="FP85" i="1"/>
  <c r="FO85" i="1"/>
  <c r="N85" i="1"/>
  <c r="FX85" i="1" s="1"/>
  <c r="A85" i="1"/>
  <c r="FV84" i="1"/>
  <c r="FU84" i="1"/>
  <c r="FT84" i="1"/>
  <c r="FS84" i="1"/>
  <c r="FR84" i="1"/>
  <c r="FQ84" i="1"/>
  <c r="FP84" i="1"/>
  <c r="FO84" i="1"/>
  <c r="N84" i="1"/>
  <c r="FX84" i="1" s="1"/>
  <c r="A84" i="1"/>
  <c r="FV83" i="1"/>
  <c r="FU83" i="1"/>
  <c r="FT83" i="1"/>
  <c r="FS83" i="1"/>
  <c r="FR83" i="1"/>
  <c r="FQ83" i="1"/>
  <c r="FP83" i="1"/>
  <c r="FO83" i="1"/>
  <c r="N83" i="1"/>
  <c r="FX83" i="1" s="1"/>
  <c r="A83" i="1"/>
  <c r="FV81" i="1"/>
  <c r="FU81" i="1"/>
  <c r="FT81" i="1"/>
  <c r="FS81" i="1"/>
  <c r="FR81" i="1"/>
  <c r="FQ81" i="1"/>
  <c r="FP81" i="1"/>
  <c r="FO81" i="1"/>
  <c r="N81" i="1"/>
  <c r="FX81" i="1" s="1"/>
  <c r="A81" i="1"/>
  <c r="FV80" i="1"/>
  <c r="FU80" i="1"/>
  <c r="FT80" i="1"/>
  <c r="FS80" i="1"/>
  <c r="FR80" i="1"/>
  <c r="FQ80" i="1"/>
  <c r="FP80" i="1"/>
  <c r="FO80" i="1"/>
  <c r="N80" i="1"/>
  <c r="FX80" i="1" s="1"/>
  <c r="A80" i="1"/>
  <c r="FV79" i="1"/>
  <c r="FU79" i="1"/>
  <c r="FT79" i="1"/>
  <c r="FS79" i="1"/>
  <c r="FR79" i="1"/>
  <c r="FQ79" i="1"/>
  <c r="FP79" i="1"/>
  <c r="FO79" i="1"/>
  <c r="N79" i="1"/>
  <c r="FX79" i="1" s="1"/>
  <c r="A79" i="1"/>
  <c r="FV78" i="1"/>
  <c r="FU78" i="1"/>
  <c r="FT78" i="1"/>
  <c r="FS78" i="1"/>
  <c r="FR78" i="1"/>
  <c r="FQ78" i="1"/>
  <c r="FP78" i="1"/>
  <c r="FO78" i="1"/>
  <c r="N78" i="1"/>
  <c r="FX78" i="1" s="1"/>
  <c r="A78" i="1"/>
  <c r="FV77" i="1"/>
  <c r="FU77" i="1"/>
  <c r="FT77" i="1"/>
  <c r="FS77" i="1"/>
  <c r="FR77" i="1"/>
  <c r="FQ77" i="1"/>
  <c r="FP77" i="1"/>
  <c r="FO77" i="1"/>
  <c r="N77" i="1"/>
  <c r="FX77" i="1" s="1"/>
  <c r="A77" i="1"/>
  <c r="FV76" i="1"/>
  <c r="FU76" i="1"/>
  <c r="FT76" i="1"/>
  <c r="FS76" i="1"/>
  <c r="FR76" i="1"/>
  <c r="FQ76" i="1"/>
  <c r="FP76" i="1"/>
  <c r="FO76" i="1"/>
  <c r="N76" i="1"/>
  <c r="FX76" i="1" s="1"/>
  <c r="A76" i="1"/>
  <c r="FV75" i="1"/>
  <c r="FU75" i="1"/>
  <c r="FT75" i="1"/>
  <c r="FS75" i="1"/>
  <c r="FR75" i="1"/>
  <c r="FQ75" i="1"/>
  <c r="FP75" i="1"/>
  <c r="FO75" i="1"/>
  <c r="N75" i="1"/>
  <c r="FX75" i="1" s="1"/>
  <c r="A75" i="1"/>
  <c r="FV74" i="1"/>
  <c r="FU74" i="1"/>
  <c r="FT74" i="1"/>
  <c r="FS74" i="1"/>
  <c r="FR74" i="1"/>
  <c r="FQ74" i="1"/>
  <c r="FP74" i="1"/>
  <c r="FO74" i="1"/>
  <c r="N74" i="1"/>
  <c r="FX74" i="1" s="1"/>
  <c r="A74" i="1"/>
  <c r="FV73" i="1"/>
  <c r="FU73" i="1"/>
  <c r="FT73" i="1"/>
  <c r="FS73" i="1"/>
  <c r="FR73" i="1"/>
  <c r="FQ73" i="1"/>
  <c r="FP73" i="1"/>
  <c r="FO73" i="1"/>
  <c r="N73" i="1"/>
  <c r="FX73" i="1" s="1"/>
  <c r="A73" i="1"/>
  <c r="FV72" i="1"/>
  <c r="FU72" i="1"/>
  <c r="FT72" i="1"/>
  <c r="FS72" i="1"/>
  <c r="FR72" i="1"/>
  <c r="FQ72" i="1"/>
  <c r="FP72" i="1"/>
  <c r="FO72" i="1"/>
  <c r="N72" i="1"/>
  <c r="FX72" i="1" s="1"/>
  <c r="A72" i="1"/>
  <c r="FV71" i="1"/>
  <c r="FU71" i="1"/>
  <c r="FT71" i="1"/>
  <c r="FS71" i="1"/>
  <c r="FR71" i="1"/>
  <c r="FQ71" i="1"/>
  <c r="FP71" i="1"/>
  <c r="FO71" i="1"/>
  <c r="N71" i="1"/>
  <c r="FX71" i="1" s="1"/>
  <c r="A71" i="1"/>
  <c r="FV70" i="1"/>
  <c r="FU70" i="1"/>
  <c r="FT70" i="1"/>
  <c r="FS70" i="1"/>
  <c r="FR70" i="1"/>
  <c r="FQ70" i="1"/>
  <c r="FP70" i="1"/>
  <c r="FO70" i="1"/>
  <c r="N70" i="1"/>
  <c r="FX70" i="1" s="1"/>
  <c r="A70" i="1"/>
  <c r="FV69" i="1"/>
  <c r="FU69" i="1"/>
  <c r="FT69" i="1"/>
  <c r="FS69" i="1"/>
  <c r="FR69" i="1"/>
  <c r="FQ69" i="1"/>
  <c r="FP69" i="1"/>
  <c r="FO69" i="1"/>
  <c r="N69" i="1"/>
  <c r="FX69" i="1" s="1"/>
  <c r="A69" i="1"/>
  <c r="FV68" i="1"/>
  <c r="FU68" i="1"/>
  <c r="FT68" i="1"/>
  <c r="FS68" i="1"/>
  <c r="FR68" i="1"/>
  <c r="FQ68" i="1"/>
  <c r="FP68" i="1"/>
  <c r="FO68" i="1"/>
  <c r="N68" i="1"/>
  <c r="FX68" i="1" s="1"/>
  <c r="A68" i="1"/>
  <c r="FV67" i="1"/>
  <c r="FU67" i="1"/>
  <c r="FT67" i="1"/>
  <c r="FS67" i="1"/>
  <c r="FR67" i="1"/>
  <c r="FQ67" i="1"/>
  <c r="FP67" i="1"/>
  <c r="FO67" i="1"/>
  <c r="N67" i="1"/>
  <c r="FX67" i="1" s="1"/>
  <c r="A67" i="1"/>
  <c r="FV66" i="1"/>
  <c r="FU66" i="1"/>
  <c r="FT66" i="1"/>
  <c r="FS66" i="1"/>
  <c r="FR66" i="1"/>
  <c r="FQ66" i="1"/>
  <c r="FP66" i="1"/>
  <c r="FO66" i="1"/>
  <c r="N66" i="1"/>
  <c r="FX66" i="1" s="1"/>
  <c r="A66" i="1"/>
  <c r="FV65" i="1"/>
  <c r="FU65" i="1"/>
  <c r="FT65" i="1"/>
  <c r="FS65" i="1"/>
  <c r="FR65" i="1"/>
  <c r="FQ65" i="1"/>
  <c r="FP65" i="1"/>
  <c r="FO65" i="1"/>
  <c r="N65" i="1"/>
  <c r="FX65" i="1" s="1"/>
  <c r="A65" i="1"/>
  <c r="FV64" i="1"/>
  <c r="FU64" i="1"/>
  <c r="FT64" i="1"/>
  <c r="FS64" i="1"/>
  <c r="FR64" i="1"/>
  <c r="FQ64" i="1"/>
  <c r="FP64" i="1"/>
  <c r="FO64" i="1"/>
  <c r="N64" i="1"/>
  <c r="FX64" i="1" s="1"/>
  <c r="A64" i="1"/>
  <c r="FV63" i="1"/>
  <c r="FU63" i="1"/>
  <c r="FT63" i="1"/>
  <c r="FS63" i="1"/>
  <c r="FR63" i="1"/>
  <c r="FQ63" i="1"/>
  <c r="FP63" i="1"/>
  <c r="FO63" i="1"/>
  <c r="N63" i="1"/>
  <c r="FX63" i="1" s="1"/>
  <c r="A63" i="1"/>
  <c r="FV62" i="1"/>
  <c r="FU62" i="1"/>
  <c r="FT62" i="1"/>
  <c r="FS62" i="1"/>
  <c r="FR62" i="1"/>
  <c r="FQ62" i="1"/>
  <c r="FP62" i="1"/>
  <c r="FO62" i="1"/>
  <c r="N62" i="1"/>
  <c r="FX62" i="1" s="1"/>
  <c r="A62" i="1"/>
  <c r="FV61" i="1"/>
  <c r="FU61" i="1"/>
  <c r="FT61" i="1"/>
  <c r="FS61" i="1"/>
  <c r="FR61" i="1"/>
  <c r="FQ61" i="1"/>
  <c r="FP61" i="1"/>
  <c r="FO61" i="1"/>
  <c r="N61" i="1"/>
  <c r="FX61" i="1" s="1"/>
  <c r="A61" i="1"/>
  <c r="FV60" i="1"/>
  <c r="FU60" i="1"/>
  <c r="FT60" i="1"/>
  <c r="FS60" i="1"/>
  <c r="FR60" i="1"/>
  <c r="FQ60" i="1"/>
  <c r="FP60" i="1"/>
  <c r="FO60" i="1"/>
  <c r="N60" i="1"/>
  <c r="FX60" i="1" s="1"/>
  <c r="A60" i="1"/>
  <c r="FV59" i="1"/>
  <c r="FU59" i="1"/>
  <c r="FT59" i="1"/>
  <c r="FS59" i="1"/>
  <c r="FR59" i="1"/>
  <c r="FQ59" i="1"/>
  <c r="FP59" i="1"/>
  <c r="FO59" i="1"/>
  <c r="N59" i="1"/>
  <c r="FX59" i="1" s="1"/>
  <c r="A59" i="1"/>
  <c r="FV58" i="1"/>
  <c r="FU58" i="1"/>
  <c r="FT58" i="1"/>
  <c r="FS58" i="1"/>
  <c r="FR58" i="1"/>
  <c r="FQ58" i="1"/>
  <c r="FP58" i="1"/>
  <c r="FO58" i="1"/>
  <c r="N58" i="1"/>
  <c r="FX58" i="1" s="1"/>
  <c r="A58" i="1"/>
  <c r="FV57" i="1"/>
  <c r="FU57" i="1"/>
  <c r="FT57" i="1"/>
  <c r="FS57" i="1"/>
  <c r="FR57" i="1"/>
  <c r="FQ57" i="1"/>
  <c r="FP57" i="1"/>
  <c r="FO57" i="1"/>
  <c r="N57" i="1"/>
  <c r="FX57" i="1" s="1"/>
  <c r="A57" i="1"/>
  <c r="FV56" i="1"/>
  <c r="FU56" i="1"/>
  <c r="FT56" i="1"/>
  <c r="FS56" i="1"/>
  <c r="FR56" i="1"/>
  <c r="FQ56" i="1"/>
  <c r="FP56" i="1"/>
  <c r="FO56" i="1"/>
  <c r="N56" i="1"/>
  <c r="FX56" i="1" s="1"/>
  <c r="A56" i="1"/>
  <c r="FV55" i="1"/>
  <c r="FU55" i="1"/>
  <c r="FT55" i="1"/>
  <c r="FS55" i="1"/>
  <c r="FR55" i="1"/>
  <c r="FQ55" i="1"/>
  <c r="FP55" i="1"/>
  <c r="FO55" i="1"/>
  <c r="N55" i="1"/>
  <c r="FX55" i="1" s="1"/>
  <c r="A55" i="1"/>
  <c r="FV54" i="1"/>
  <c r="FU54" i="1"/>
  <c r="FT54" i="1"/>
  <c r="FS54" i="1"/>
  <c r="FR54" i="1"/>
  <c r="FQ54" i="1"/>
  <c r="FP54" i="1"/>
  <c r="FO54" i="1"/>
  <c r="N54" i="1"/>
  <c r="FX54" i="1" s="1"/>
  <c r="A54" i="1"/>
  <c r="FV53" i="1"/>
  <c r="FU53" i="1"/>
  <c r="FT53" i="1"/>
  <c r="FS53" i="1"/>
  <c r="FR53" i="1"/>
  <c r="FQ53" i="1"/>
  <c r="FP53" i="1"/>
  <c r="FO53" i="1"/>
  <c r="N53" i="1"/>
  <c r="FX53" i="1" s="1"/>
  <c r="A53" i="1"/>
  <c r="FV52" i="1"/>
  <c r="FU52" i="1"/>
  <c r="FT52" i="1"/>
  <c r="FS52" i="1"/>
  <c r="FR52" i="1"/>
  <c r="FQ52" i="1"/>
  <c r="FP52" i="1"/>
  <c r="FO52" i="1"/>
  <c r="N52" i="1"/>
  <c r="FX52" i="1" s="1"/>
  <c r="A52" i="1"/>
  <c r="FV51" i="1"/>
  <c r="FU51" i="1"/>
  <c r="FT51" i="1"/>
  <c r="FS51" i="1"/>
  <c r="FR51" i="1"/>
  <c r="FQ51" i="1"/>
  <c r="FP51" i="1"/>
  <c r="FO51" i="1"/>
  <c r="N51" i="1"/>
  <c r="FX51" i="1" s="1"/>
  <c r="A51" i="1"/>
  <c r="FV50" i="1"/>
  <c r="FU50" i="1"/>
  <c r="FT50" i="1"/>
  <c r="FS50" i="1"/>
  <c r="FR50" i="1"/>
  <c r="FQ50" i="1"/>
  <c r="FP50" i="1"/>
  <c r="FO50" i="1"/>
  <c r="N50" i="1"/>
  <c r="FX50" i="1" s="1"/>
  <c r="A50" i="1"/>
  <c r="FV49" i="1"/>
  <c r="FU49" i="1"/>
  <c r="FT49" i="1"/>
  <c r="FS49" i="1"/>
  <c r="FR49" i="1"/>
  <c r="FQ49" i="1"/>
  <c r="FP49" i="1"/>
  <c r="FO49" i="1"/>
  <c r="N49" i="1"/>
  <c r="FX49" i="1" s="1"/>
  <c r="A49" i="1"/>
  <c r="FV48" i="1"/>
  <c r="FU48" i="1"/>
  <c r="FT48" i="1"/>
  <c r="FS48" i="1"/>
  <c r="FR48" i="1"/>
  <c r="FQ48" i="1"/>
  <c r="FP48" i="1"/>
  <c r="FO48" i="1"/>
  <c r="N48" i="1"/>
  <c r="FX48" i="1" s="1"/>
  <c r="A48" i="1"/>
  <c r="FV47" i="1"/>
  <c r="FU47" i="1"/>
  <c r="FT47" i="1"/>
  <c r="FS47" i="1"/>
  <c r="FR47" i="1"/>
  <c r="FQ47" i="1"/>
  <c r="FP47" i="1"/>
  <c r="FO47" i="1"/>
  <c r="N47" i="1"/>
  <c r="FX47" i="1" s="1"/>
  <c r="A47" i="1"/>
  <c r="FV46" i="1"/>
  <c r="FU46" i="1"/>
  <c r="FT46" i="1"/>
  <c r="FS46" i="1"/>
  <c r="FR46" i="1"/>
  <c r="FQ46" i="1"/>
  <c r="FP46" i="1"/>
  <c r="FO46" i="1"/>
  <c r="N46" i="1"/>
  <c r="FX46" i="1" s="1"/>
  <c r="A46" i="1"/>
  <c r="FV45" i="1"/>
  <c r="FU45" i="1"/>
  <c r="FT45" i="1"/>
  <c r="FS45" i="1"/>
  <c r="FR45" i="1"/>
  <c r="FQ45" i="1"/>
  <c r="FP45" i="1"/>
  <c r="FO45" i="1"/>
  <c r="N45" i="1"/>
  <c r="FX45" i="1" s="1"/>
  <c r="A45" i="1"/>
  <c r="FV44" i="1"/>
  <c r="FU44" i="1"/>
  <c r="FT44" i="1"/>
  <c r="FS44" i="1"/>
  <c r="FR44" i="1"/>
  <c r="FQ44" i="1"/>
  <c r="FP44" i="1"/>
  <c r="FO44" i="1"/>
  <c r="N44" i="1"/>
  <c r="FX44" i="1" s="1"/>
  <c r="A44" i="1"/>
  <c r="FV43" i="1"/>
  <c r="FU43" i="1"/>
  <c r="FT43" i="1"/>
  <c r="FS43" i="1"/>
  <c r="FR43" i="1"/>
  <c r="FQ43" i="1"/>
  <c r="FP43" i="1"/>
  <c r="FO43" i="1"/>
  <c r="N43" i="1"/>
  <c r="FX43" i="1" s="1"/>
  <c r="A43" i="1"/>
  <c r="FV42" i="1"/>
  <c r="FU42" i="1"/>
  <c r="FT42" i="1"/>
  <c r="FS42" i="1"/>
  <c r="FR42" i="1"/>
  <c r="FQ42" i="1"/>
  <c r="FP42" i="1"/>
  <c r="FO42" i="1"/>
  <c r="N42" i="1"/>
  <c r="FX42" i="1" s="1"/>
  <c r="A42" i="1"/>
  <c r="FV41" i="1"/>
  <c r="FU41" i="1"/>
  <c r="FT41" i="1"/>
  <c r="FS41" i="1"/>
  <c r="FR41" i="1"/>
  <c r="FQ41" i="1"/>
  <c r="FP41" i="1"/>
  <c r="FO41" i="1"/>
  <c r="N41" i="1"/>
  <c r="FX41" i="1" s="1"/>
  <c r="A41" i="1"/>
  <c r="FV40" i="1"/>
  <c r="FU40" i="1"/>
  <c r="FT40" i="1"/>
  <c r="FS40" i="1"/>
  <c r="FR40" i="1"/>
  <c r="FQ40" i="1"/>
  <c r="FP40" i="1"/>
  <c r="FO40" i="1"/>
  <c r="N40" i="1"/>
  <c r="FX40" i="1" s="1"/>
  <c r="A40" i="1"/>
  <c r="FV39" i="1"/>
  <c r="FU39" i="1"/>
  <c r="FT39" i="1"/>
  <c r="FS39" i="1"/>
  <c r="FR39" i="1"/>
  <c r="FQ39" i="1"/>
  <c r="FP39" i="1"/>
  <c r="FO39" i="1"/>
  <c r="N39" i="1"/>
  <c r="FX39" i="1" s="1"/>
  <c r="A39" i="1"/>
  <c r="FV38" i="1"/>
  <c r="FU38" i="1"/>
  <c r="FT38" i="1"/>
  <c r="FS38" i="1"/>
  <c r="FR38" i="1"/>
  <c r="FQ38" i="1"/>
  <c r="FP38" i="1"/>
  <c r="FO38" i="1"/>
  <c r="N38" i="1"/>
  <c r="FX38" i="1" s="1"/>
  <c r="A38" i="1"/>
  <c r="FV37" i="1"/>
  <c r="FU37" i="1"/>
  <c r="FT37" i="1"/>
  <c r="FS37" i="1"/>
  <c r="FR37" i="1"/>
  <c r="FQ37" i="1"/>
  <c r="FP37" i="1"/>
  <c r="FO37" i="1"/>
  <c r="N37" i="1"/>
  <c r="FX37" i="1" s="1"/>
  <c r="A37" i="1"/>
  <c r="FV36" i="1"/>
  <c r="FU36" i="1"/>
  <c r="FT36" i="1"/>
  <c r="FS36" i="1"/>
  <c r="FR36" i="1"/>
  <c r="FQ36" i="1"/>
  <c r="FP36" i="1"/>
  <c r="FO36" i="1"/>
  <c r="N36" i="1"/>
  <c r="FX36" i="1" s="1"/>
  <c r="A36" i="1"/>
  <c r="FV35" i="1"/>
  <c r="FU35" i="1"/>
  <c r="FT35" i="1"/>
  <c r="FS35" i="1"/>
  <c r="FR35" i="1"/>
  <c r="FQ35" i="1"/>
  <c r="FP35" i="1"/>
  <c r="FO35" i="1"/>
  <c r="N35" i="1"/>
  <c r="FX35" i="1" s="1"/>
  <c r="A35" i="1"/>
  <c r="FV34" i="1"/>
  <c r="FU34" i="1"/>
  <c r="FT34" i="1"/>
  <c r="FS34" i="1"/>
  <c r="FR34" i="1"/>
  <c r="FQ34" i="1"/>
  <c r="FP34" i="1"/>
  <c r="FO34" i="1"/>
  <c r="N34" i="1"/>
  <c r="FX34" i="1" s="1"/>
  <c r="A34" i="1"/>
  <c r="FV33" i="1"/>
  <c r="FU33" i="1"/>
  <c r="FT33" i="1"/>
  <c r="FS33" i="1"/>
  <c r="FR33" i="1"/>
  <c r="FQ33" i="1"/>
  <c r="FP33" i="1"/>
  <c r="FO33" i="1"/>
  <c r="N33" i="1"/>
  <c r="FX33" i="1" s="1"/>
  <c r="A33" i="1"/>
  <c r="FV32" i="1"/>
  <c r="FU32" i="1"/>
  <c r="FT32" i="1"/>
  <c r="FS32" i="1"/>
  <c r="FR32" i="1"/>
  <c r="FQ32" i="1"/>
  <c r="FP32" i="1"/>
  <c r="FO32" i="1"/>
  <c r="N32" i="1"/>
  <c r="FX32" i="1" s="1"/>
  <c r="A32" i="1"/>
  <c r="FV30" i="1"/>
  <c r="FU30" i="1"/>
  <c r="FT30" i="1"/>
  <c r="FS30" i="1"/>
  <c r="FR30" i="1"/>
  <c r="FQ30" i="1"/>
  <c r="FP30" i="1"/>
  <c r="FO30" i="1"/>
  <c r="N30" i="1"/>
  <c r="FX30" i="1" s="1"/>
  <c r="A30" i="1"/>
  <c r="FV29" i="1"/>
  <c r="FU29" i="1"/>
  <c r="FT29" i="1"/>
  <c r="FS29" i="1"/>
  <c r="FR29" i="1"/>
  <c r="FQ29" i="1"/>
  <c r="FP29" i="1"/>
  <c r="FO29" i="1"/>
  <c r="N29" i="1"/>
  <c r="FX29" i="1" s="1"/>
  <c r="A29" i="1"/>
  <c r="FV28" i="1"/>
  <c r="FU28" i="1"/>
  <c r="FT28" i="1"/>
  <c r="FS28" i="1"/>
  <c r="FR28" i="1"/>
  <c r="FQ28" i="1"/>
  <c r="FP28" i="1"/>
  <c r="FO28" i="1"/>
  <c r="N28" i="1"/>
  <c r="FX28" i="1" s="1"/>
  <c r="A28" i="1"/>
  <c r="FV27" i="1"/>
  <c r="FU27" i="1"/>
  <c r="FT27" i="1"/>
  <c r="FS27" i="1"/>
  <c r="FR27" i="1"/>
  <c r="FQ27" i="1"/>
  <c r="FP27" i="1"/>
  <c r="FO27" i="1"/>
  <c r="N27" i="1"/>
  <c r="FX27" i="1" s="1"/>
  <c r="A27" i="1"/>
  <c r="FV26" i="1"/>
  <c r="FU26" i="1"/>
  <c r="FT26" i="1"/>
  <c r="FS26" i="1"/>
  <c r="FR26" i="1"/>
  <c r="FQ26" i="1"/>
  <c r="FP26" i="1"/>
  <c r="FO26" i="1"/>
  <c r="N26" i="1"/>
  <c r="FX26" i="1" s="1"/>
  <c r="A26" i="1"/>
  <c r="FV25" i="1"/>
  <c r="FU25" i="1"/>
  <c r="FT25" i="1"/>
  <c r="FS25" i="1"/>
  <c r="FR25" i="1"/>
  <c r="FQ25" i="1"/>
  <c r="FP25" i="1"/>
  <c r="FO25" i="1"/>
  <c r="N25" i="1"/>
  <c r="FX25" i="1" s="1"/>
  <c r="A25" i="1"/>
  <c r="FV24" i="1"/>
  <c r="FU24" i="1"/>
  <c r="FT24" i="1"/>
  <c r="FS24" i="1"/>
  <c r="FR24" i="1"/>
  <c r="FQ24" i="1"/>
  <c r="FP24" i="1"/>
  <c r="FO24" i="1"/>
  <c r="N24" i="1"/>
  <c r="FX24" i="1" s="1"/>
  <c r="A24" i="1"/>
  <c r="FV23" i="1"/>
  <c r="FU23" i="1"/>
  <c r="FT23" i="1"/>
  <c r="FS23" i="1"/>
  <c r="FR23" i="1"/>
  <c r="FQ23" i="1"/>
  <c r="FP23" i="1"/>
  <c r="FO23" i="1"/>
  <c r="N23" i="1"/>
  <c r="FX23" i="1" s="1"/>
  <c r="A23" i="1"/>
  <c r="FV22" i="1"/>
  <c r="FU22" i="1"/>
  <c r="FT22" i="1"/>
  <c r="FS22" i="1"/>
  <c r="FR22" i="1"/>
  <c r="FQ22" i="1"/>
  <c r="FP22" i="1"/>
  <c r="FO22" i="1"/>
  <c r="N22" i="1"/>
  <c r="FX22" i="1" s="1"/>
  <c r="A22" i="1"/>
  <c r="FV21" i="1"/>
  <c r="FU21" i="1"/>
  <c r="FT21" i="1"/>
  <c r="FS21" i="1"/>
  <c r="FR21" i="1"/>
  <c r="FQ21" i="1"/>
  <c r="FP21" i="1"/>
  <c r="FO21" i="1"/>
  <c r="N21" i="1"/>
  <c r="FX21" i="1" s="1"/>
  <c r="A21" i="1"/>
  <c r="FV20" i="1"/>
  <c r="FU20" i="1"/>
  <c r="FT20" i="1"/>
  <c r="FS20" i="1"/>
  <c r="FR20" i="1"/>
  <c r="FQ20" i="1"/>
  <c r="FP20" i="1"/>
  <c r="FO20" i="1"/>
  <c r="N20" i="1"/>
  <c r="FX20" i="1" s="1"/>
  <c r="A20" i="1"/>
  <c r="FV19" i="1"/>
  <c r="FU19" i="1"/>
  <c r="FT19" i="1"/>
  <c r="FS19" i="1"/>
  <c r="FR19" i="1"/>
  <c r="FQ19" i="1"/>
  <c r="FP19" i="1"/>
  <c r="FO19" i="1"/>
  <c r="N19" i="1"/>
  <c r="FX19" i="1" s="1"/>
  <c r="A19" i="1"/>
  <c r="FV18" i="1"/>
  <c r="FU18" i="1"/>
  <c r="FT18" i="1"/>
  <c r="FS18" i="1"/>
  <c r="FR18" i="1"/>
  <c r="FQ18" i="1"/>
  <c r="FP18" i="1"/>
  <c r="FO18" i="1"/>
  <c r="N18" i="1"/>
  <c r="FX18" i="1" s="1"/>
  <c r="A18" i="1"/>
  <c r="FV17" i="1"/>
  <c r="FU17" i="1"/>
  <c r="FT17" i="1"/>
  <c r="FS17" i="1"/>
  <c r="FR17" i="1"/>
  <c r="FQ17" i="1"/>
  <c r="FP17" i="1"/>
  <c r="FO17" i="1"/>
  <c r="N17" i="1"/>
  <c r="FX17" i="1" s="1"/>
  <c r="A17" i="1"/>
  <c r="FV16" i="1"/>
  <c r="FU16" i="1"/>
  <c r="FT16" i="1"/>
  <c r="FS16" i="1"/>
  <c r="FR16" i="1"/>
  <c r="FQ16" i="1"/>
  <c r="FP16" i="1"/>
  <c r="FO16" i="1"/>
  <c r="N16" i="1"/>
  <c r="FX16" i="1" s="1"/>
  <c r="A16" i="1"/>
  <c r="FV15" i="1"/>
  <c r="FU15" i="1"/>
  <c r="FT15" i="1"/>
  <c r="FS15" i="1"/>
  <c r="FR15" i="1"/>
  <c r="FQ15" i="1"/>
  <c r="FP15" i="1"/>
  <c r="FO15" i="1"/>
  <c r="N15" i="1"/>
  <c r="FX15" i="1" s="1"/>
  <c r="A15" i="1"/>
  <c r="FV14" i="1"/>
  <c r="FU14" i="1"/>
  <c r="FT14" i="1"/>
  <c r="FS14" i="1"/>
  <c r="FR14" i="1"/>
  <c r="FQ14" i="1"/>
  <c r="FP14" i="1"/>
  <c r="FO14" i="1"/>
  <c r="N14" i="1"/>
  <c r="FX14" i="1" s="1"/>
  <c r="A14" i="1"/>
  <c r="FV13" i="1"/>
  <c r="FU13" i="1"/>
  <c r="FT13" i="1"/>
  <c r="FS13" i="1"/>
  <c r="FR13" i="1"/>
  <c r="FQ13" i="1"/>
  <c r="FP13" i="1"/>
  <c r="FO13" i="1"/>
  <c r="N13" i="1"/>
  <c r="FX13" i="1" s="1"/>
  <c r="A13" i="1"/>
  <c r="FV12" i="1"/>
  <c r="FU12" i="1"/>
  <c r="FT12" i="1"/>
  <c r="FS12" i="1"/>
  <c r="FR12" i="1"/>
  <c r="FQ12" i="1"/>
  <c r="FP12" i="1"/>
  <c r="FO12" i="1"/>
  <c r="N12" i="1"/>
  <c r="FX12" i="1" s="1"/>
  <c r="A12" i="1"/>
  <c r="FV11" i="1"/>
  <c r="FU11" i="1"/>
  <c r="FT11" i="1"/>
  <c r="FS11" i="1"/>
  <c r="FR11" i="1"/>
  <c r="FQ11" i="1"/>
  <c r="FP11" i="1"/>
  <c r="FO11" i="1"/>
  <c r="N11" i="1"/>
  <c r="FX11" i="1" s="1"/>
  <c r="A11" i="1"/>
  <c r="FV10" i="1"/>
  <c r="FU10" i="1"/>
  <c r="FT10" i="1"/>
  <c r="FS10" i="1"/>
  <c r="FR10" i="1"/>
  <c r="FQ10" i="1"/>
  <c r="FP10" i="1"/>
  <c r="FO10" i="1"/>
  <c r="N10" i="1"/>
  <c r="FX10" i="1" s="1"/>
  <c r="A10" i="1"/>
  <c r="FV9" i="1"/>
  <c r="FU9" i="1"/>
  <c r="FT9" i="1"/>
  <c r="FS9" i="1"/>
  <c r="FR9" i="1"/>
  <c r="FQ9" i="1"/>
  <c r="FP9" i="1"/>
  <c r="FO9" i="1"/>
  <c r="N9" i="1"/>
  <c r="FX9" i="1" s="1"/>
  <c r="A9" i="1"/>
  <c r="FV8" i="1"/>
  <c r="FU8" i="1"/>
  <c r="FT8" i="1"/>
  <c r="FS8" i="1"/>
  <c r="FR8" i="1"/>
  <c r="FQ8" i="1"/>
  <c r="FP8" i="1"/>
  <c r="FO8" i="1"/>
  <c r="N8" i="1"/>
  <c r="FX8" i="1" s="1"/>
  <c r="A8" i="1"/>
  <c r="FV7" i="1"/>
  <c r="FU7" i="1"/>
  <c r="FT7" i="1"/>
  <c r="FS7" i="1"/>
  <c r="FR7" i="1"/>
  <c r="FQ7" i="1"/>
  <c r="FP7" i="1"/>
  <c r="FO7" i="1"/>
  <c r="N7" i="1"/>
  <c r="FX7" i="1" s="1"/>
  <c r="A7" i="1"/>
  <c r="FV6" i="1"/>
  <c r="FU6" i="1"/>
  <c r="FT6" i="1"/>
  <c r="FS6" i="1"/>
  <c r="FR6" i="1"/>
  <c r="FQ6" i="1"/>
  <c r="FP6" i="1"/>
  <c r="FO6" i="1"/>
  <c r="N6" i="1"/>
  <c r="FX6" i="1" s="1"/>
  <c r="A6" i="1"/>
  <c r="FV5" i="1"/>
  <c r="FU5" i="1"/>
  <c r="FT5" i="1"/>
  <c r="FS5" i="1"/>
  <c r="FR5" i="1"/>
  <c r="FQ5" i="1"/>
  <c r="FP5" i="1"/>
  <c r="FO5" i="1"/>
  <c r="N5" i="1"/>
  <c r="FX5" i="1" s="1"/>
  <c r="A5" i="1"/>
  <c r="FV4" i="1"/>
  <c r="FU4" i="1"/>
  <c r="FT4" i="1"/>
  <c r="FS4" i="1"/>
  <c r="FR4" i="1"/>
  <c r="FQ4" i="1"/>
  <c r="FP4" i="1"/>
  <c r="FO4" i="1"/>
  <c r="N4" i="1"/>
  <c r="FX4" i="1" s="1"/>
  <c r="A4" i="1"/>
  <c r="FX582" i="1" l="1"/>
  <c r="FX577" i="1"/>
  <c r="FX532" i="1"/>
  <c r="FX589" i="1"/>
  <c r="FX569" i="1"/>
  <c r="FX574" i="1"/>
  <c r="FX581" i="1"/>
  <c r="FX593" i="1"/>
  <c r="FX566" i="1"/>
  <c r="FX573" i="1"/>
  <c r="FX597" i="1"/>
  <c r="FX565" i="1"/>
  <c r="FX585" i="1"/>
  <c r="FX601" i="1"/>
  <c r="FX562" i="1"/>
  <c r="FX570" i="1"/>
  <c r="FX578" i="1"/>
  <c r="FX586" i="1"/>
  <c r="FX594" i="1"/>
  <c r="FX602" i="1"/>
  <c r="FX590" i="1"/>
  <c r="FX598" i="1"/>
  <c r="FX530" i="1"/>
  <c r="FX564" i="1"/>
  <c r="FX568" i="1"/>
  <c r="FX572" i="1"/>
  <c r="FX576" i="1"/>
  <c r="FX580" i="1"/>
  <c r="FX584" i="1"/>
  <c r="FX588" i="1"/>
  <c r="FX592" i="1"/>
  <c r="FX596" i="1"/>
  <c r="FX600" i="1"/>
  <c r="FX604" i="1"/>
  <c r="FX563" i="1"/>
  <c r="FX567" i="1"/>
  <c r="FX571" i="1"/>
  <c r="FX575" i="1"/>
  <c r="FX579" i="1"/>
  <c r="FX583" i="1"/>
  <c r="FX587" i="1"/>
  <c r="FX591" i="1"/>
  <c r="FX595" i="1"/>
  <c r="FX599" i="1"/>
  <c r="FX603" i="1"/>
  <c r="B44" i="2"/>
  <c r="B40" i="2"/>
  <c r="B36" i="2"/>
  <c r="B30" i="2"/>
  <c r="B26" i="2"/>
  <c r="B22" i="2"/>
  <c r="B16" i="2"/>
  <c r="B12" i="2"/>
  <c r="B8" i="2"/>
  <c r="B43" i="2"/>
  <c r="B39" i="2"/>
  <c r="B35" i="2"/>
  <c r="B29" i="2"/>
  <c r="B25" i="2"/>
  <c r="B21" i="2"/>
  <c r="B15" i="2"/>
  <c r="B11" i="2"/>
  <c r="B7" i="2"/>
  <c r="B42" i="2"/>
  <c r="B38" i="2"/>
  <c r="B34" i="2"/>
  <c r="B28" i="2"/>
  <c r="B24" i="2"/>
  <c r="B14" i="2"/>
  <c r="B10" i="2"/>
  <c r="B6" i="2"/>
  <c r="B41" i="2"/>
  <c r="B37" i="2"/>
  <c r="B33" i="2"/>
  <c r="B27" i="2"/>
  <c r="B23" i="2"/>
  <c r="B17" i="2"/>
  <c r="B13" i="2"/>
  <c r="B9" i="2"/>
  <c r="B5" i="2"/>
  <c r="FX276" i="1"/>
  <c r="M276" i="1"/>
  <c r="FX278" i="1"/>
  <c r="M278" i="1"/>
  <c r="FX280" i="1"/>
  <c r="M280" i="1"/>
  <c r="FX282" i="1"/>
  <c r="M282" i="1"/>
  <c r="FX284" i="1"/>
  <c r="M284" i="1"/>
  <c r="FX286" i="1"/>
  <c r="M286" i="1"/>
  <c r="FX288" i="1"/>
  <c r="M288" i="1"/>
  <c r="FX290" i="1"/>
  <c r="M290" i="1"/>
  <c r="FX292" i="1"/>
  <c r="M292" i="1"/>
  <c r="FX294" i="1"/>
  <c r="M294" i="1"/>
  <c r="FX296" i="1"/>
  <c r="M296" i="1"/>
  <c r="FX298" i="1"/>
  <c r="M298" i="1"/>
  <c r="FX300" i="1"/>
  <c r="M300" i="1"/>
  <c r="FX302" i="1"/>
  <c r="M302" i="1"/>
  <c r="FX304" i="1"/>
  <c r="M304" i="1"/>
  <c r="FX306" i="1"/>
  <c r="M306" i="1"/>
  <c r="FX308" i="1"/>
  <c r="M308" i="1"/>
  <c r="FX310" i="1"/>
  <c r="M310" i="1"/>
  <c r="FX312" i="1"/>
  <c r="M312" i="1"/>
  <c r="FX314" i="1"/>
  <c r="M314" i="1"/>
  <c r="FX316" i="1"/>
  <c r="M316" i="1"/>
  <c r="FX318" i="1"/>
  <c r="M318" i="1"/>
  <c r="FX320" i="1"/>
  <c r="M320" i="1"/>
  <c r="M4" i="1"/>
  <c r="M5" i="1"/>
  <c r="M6" i="1"/>
  <c r="M7" i="1"/>
  <c r="M8" i="1"/>
  <c r="M9" i="1"/>
  <c r="M10" i="1"/>
  <c r="M11" i="1"/>
  <c r="B18" i="2" s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3" i="1"/>
  <c r="M84" i="1"/>
  <c r="M85" i="1"/>
  <c r="M86" i="1"/>
  <c r="M87" i="1"/>
  <c r="M89" i="1"/>
  <c r="M90" i="1"/>
  <c r="M91" i="1"/>
  <c r="M92" i="1"/>
  <c r="M94" i="1"/>
  <c r="M95" i="1"/>
  <c r="M96" i="1"/>
  <c r="M97" i="1"/>
  <c r="M98" i="1"/>
  <c r="M99" i="1"/>
  <c r="M100" i="1"/>
  <c r="M101" i="1"/>
  <c r="M102" i="1"/>
  <c r="M103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1" i="1"/>
  <c r="M132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FX277" i="1"/>
  <c r="M277" i="1"/>
  <c r="FX279" i="1"/>
  <c r="M279" i="1"/>
  <c r="FX281" i="1"/>
  <c r="M281" i="1"/>
  <c r="FX283" i="1"/>
  <c r="M283" i="1"/>
  <c r="FX285" i="1"/>
  <c r="M285" i="1"/>
  <c r="FX287" i="1"/>
  <c r="M287" i="1"/>
  <c r="FX289" i="1"/>
  <c r="M289" i="1"/>
  <c r="FX291" i="1"/>
  <c r="M291" i="1"/>
  <c r="FX293" i="1"/>
  <c r="M293" i="1"/>
  <c r="FX295" i="1"/>
  <c r="M295" i="1"/>
  <c r="FX297" i="1"/>
  <c r="M297" i="1"/>
  <c r="FX299" i="1"/>
  <c r="M299" i="1"/>
  <c r="FX301" i="1"/>
  <c r="M301" i="1"/>
  <c r="FX303" i="1"/>
  <c r="M303" i="1"/>
  <c r="FX305" i="1"/>
  <c r="M305" i="1"/>
  <c r="FX307" i="1"/>
  <c r="M307" i="1"/>
  <c r="FX309" i="1"/>
  <c r="M309" i="1"/>
  <c r="FX311" i="1"/>
  <c r="M311" i="1"/>
  <c r="FX313" i="1"/>
  <c r="M313" i="1"/>
  <c r="FX315" i="1"/>
  <c r="M315" i="1"/>
  <c r="FX317" i="1"/>
  <c r="M317" i="1"/>
  <c r="FX319" i="1"/>
  <c r="M319" i="1"/>
  <c r="M446" i="1"/>
  <c r="FX446" i="1"/>
  <c r="M448" i="1"/>
  <c r="FX448" i="1"/>
  <c r="M450" i="1"/>
  <c r="FX450" i="1"/>
  <c r="M452" i="1"/>
  <c r="FX452" i="1"/>
  <c r="M454" i="1"/>
  <c r="FX454" i="1"/>
  <c r="M456" i="1"/>
  <c r="FX456" i="1"/>
  <c r="M458" i="1"/>
  <c r="FX458" i="1"/>
  <c r="M460" i="1"/>
  <c r="FX460" i="1"/>
  <c r="M462" i="1"/>
  <c r="FX462" i="1"/>
  <c r="M464" i="1"/>
  <c r="FX464" i="1"/>
  <c r="M466" i="1"/>
  <c r="FX466" i="1"/>
  <c r="M468" i="1"/>
  <c r="FX468" i="1"/>
  <c r="M470" i="1"/>
  <c r="FX470" i="1"/>
  <c r="M472" i="1"/>
  <c r="FX472" i="1"/>
  <c r="M474" i="1"/>
  <c r="FX474" i="1"/>
  <c r="M476" i="1"/>
  <c r="FX476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7" i="1"/>
  <c r="FX447" i="1"/>
  <c r="M449" i="1"/>
  <c r="FX449" i="1"/>
  <c r="M451" i="1"/>
  <c r="FX451" i="1"/>
  <c r="M453" i="1"/>
  <c r="FX453" i="1"/>
  <c r="M455" i="1"/>
  <c r="FX455" i="1"/>
  <c r="M457" i="1"/>
  <c r="FX457" i="1"/>
  <c r="M459" i="1"/>
  <c r="FX459" i="1"/>
  <c r="M461" i="1"/>
  <c r="FX461" i="1"/>
  <c r="M463" i="1"/>
  <c r="FX463" i="1"/>
  <c r="M465" i="1"/>
  <c r="FX465" i="1"/>
  <c r="M467" i="1"/>
  <c r="FX467" i="1"/>
  <c r="M469" i="1"/>
  <c r="FX469" i="1"/>
  <c r="M471" i="1"/>
  <c r="FX471" i="1"/>
  <c r="M473" i="1"/>
  <c r="FX473" i="1"/>
  <c r="M475" i="1"/>
  <c r="FX475" i="1"/>
  <c r="M477" i="1"/>
  <c r="FX477" i="1"/>
  <c r="FX533" i="1"/>
  <c r="M533" i="1"/>
  <c r="FX535" i="1"/>
  <c r="M535" i="1"/>
  <c r="FX537" i="1"/>
  <c r="M537" i="1"/>
  <c r="FX539" i="1"/>
  <c r="M539" i="1"/>
  <c r="FX541" i="1"/>
  <c r="M541" i="1"/>
  <c r="FX543" i="1"/>
  <c r="M543" i="1"/>
  <c r="FX545" i="1"/>
  <c r="M545" i="1"/>
  <c r="FX547" i="1"/>
  <c r="M547" i="1"/>
  <c r="FX549" i="1"/>
  <c r="M549" i="1"/>
  <c r="FX551" i="1"/>
  <c r="M551" i="1"/>
  <c r="FX553" i="1"/>
  <c r="M553" i="1"/>
  <c r="FX555" i="1"/>
  <c r="M555" i="1"/>
  <c r="FX478" i="1"/>
  <c r="FX479" i="1"/>
  <c r="FX480" i="1"/>
  <c r="FX481" i="1"/>
  <c r="FX482" i="1"/>
  <c r="FX483" i="1"/>
  <c r="FX484" i="1"/>
  <c r="FX485" i="1"/>
  <c r="FX486" i="1"/>
  <c r="FX487" i="1"/>
  <c r="FX488" i="1"/>
  <c r="FX489" i="1"/>
  <c r="FX490" i="1"/>
  <c r="FX491" i="1"/>
  <c r="FX492" i="1"/>
  <c r="FX493" i="1"/>
  <c r="FX494" i="1"/>
  <c r="FX495" i="1"/>
  <c r="FX496" i="1"/>
  <c r="FX497" i="1"/>
  <c r="FX498" i="1"/>
  <c r="FX499" i="1"/>
  <c r="FX500" i="1"/>
  <c r="FX501" i="1"/>
  <c r="FX502" i="1"/>
  <c r="FX503" i="1"/>
  <c r="FX504" i="1"/>
  <c r="FX505" i="1"/>
  <c r="FX506" i="1"/>
  <c r="FX507" i="1"/>
  <c r="FX508" i="1"/>
  <c r="FX509" i="1"/>
  <c r="FX510" i="1"/>
  <c r="FX511" i="1"/>
  <c r="FX512" i="1"/>
  <c r="FX513" i="1"/>
  <c r="FX514" i="1"/>
  <c r="FX515" i="1"/>
  <c r="FX516" i="1"/>
  <c r="FX517" i="1"/>
  <c r="FX518" i="1"/>
  <c r="FX519" i="1"/>
  <c r="FX520" i="1"/>
  <c r="FX521" i="1"/>
  <c r="FX522" i="1"/>
  <c r="FX523" i="1"/>
  <c r="FX524" i="1"/>
  <c r="FX525" i="1"/>
  <c r="FX526" i="1"/>
  <c r="FX527" i="1"/>
  <c r="FX528" i="1"/>
  <c r="FX529" i="1"/>
  <c r="FX534" i="1"/>
  <c r="M534" i="1"/>
  <c r="FX536" i="1"/>
  <c r="M536" i="1"/>
  <c r="FX538" i="1"/>
  <c r="M538" i="1"/>
  <c r="FX540" i="1"/>
  <c r="M540" i="1"/>
  <c r="FX542" i="1"/>
  <c r="M542" i="1"/>
  <c r="FX544" i="1"/>
  <c r="M544" i="1"/>
  <c r="FX546" i="1"/>
  <c r="M546" i="1"/>
  <c r="FX548" i="1"/>
  <c r="M548" i="1"/>
  <c r="FX550" i="1"/>
  <c r="M550" i="1"/>
  <c r="FX552" i="1"/>
  <c r="M552" i="1"/>
  <c r="FX554" i="1"/>
  <c r="M554" i="1"/>
  <c r="FX556" i="1"/>
  <c r="M556" i="1"/>
  <c r="FX531" i="1"/>
  <c r="M557" i="1"/>
  <c r="M558" i="1"/>
  <c r="M559" i="1"/>
  <c r="M560" i="1"/>
  <c r="M561" i="1"/>
  <c r="M605" i="1"/>
</calcChain>
</file>

<file path=xl/sharedStrings.xml><?xml version="1.0" encoding="utf-8"?>
<sst xmlns="http://schemas.openxmlformats.org/spreadsheetml/2006/main" count="1211" uniqueCount="337">
  <si>
    <t>🐛   DRUDGE PEST CONTROL  —  Client &amp; Visit Tracker</t>
  </si>
  <si>
    <t>SITE INFORMATION</t>
  </si>
  <si>
    <t>STATUS</t>
  </si>
  <si>
    <t>VISITS</t>
  </si>
  <si>
    <t>VISIT 1</t>
  </si>
  <si>
    <t>VISIT 2</t>
  </si>
  <si>
    <t>VISIT 3</t>
  </si>
  <si>
    <t>VISIT 4</t>
  </si>
  <si>
    <t>VISIT 5</t>
  </si>
  <si>
    <t>VISIT 6</t>
  </si>
  <si>
    <t>VISIT 7</t>
  </si>
  <si>
    <t>VISIT 8</t>
  </si>
  <si>
    <t>VISIT 9</t>
  </si>
  <si>
    <t>VISIT 10</t>
  </si>
  <si>
    <t>VISIT 11</t>
  </si>
  <si>
    <t>VISIT 12</t>
  </si>
  <si>
    <t>TOTALS SUMMARY</t>
  </si>
  <si>
    <t>EMERGENCY</t>
  </si>
  <si>
    <t>GRAND TOTAL</t>
  </si>
  <si>
    <t>Site ID</t>
  </si>
  <si>
    <t>Site
Administration</t>
  </si>
  <si>
    <t>Site Name</t>
  </si>
  <si>
    <t>Site tibe</t>
  </si>
  <si>
    <t>Location</t>
  </si>
  <si>
    <t>Governorate</t>
  </si>
  <si>
    <t>Visit Day
(Weekday)</t>
  </si>
  <si>
    <t>Visit
Hour</t>
  </si>
  <si>
    <t>Visit
Duration</t>
  </si>
  <si>
    <t>Flybait</t>
  </si>
  <si>
    <t>Scheduled
Visits</t>
  </si>
  <si>
    <t>Visit Status
(Auto)</t>
  </si>
  <si>
    <t>Total Visits
Done</t>
  </si>
  <si>
    <t>Visit
Date</t>
  </si>
  <si>
    <t>Done
✔</t>
  </si>
  <si>
    <t>Spare Parts
Changed</t>
  </si>
  <si>
    <t>Lamps
Used</t>
  </si>
  <si>
    <t>Cables
Used</t>
  </si>
  <si>
    <t>Transformers
Used</t>
  </si>
  <si>
    <t>Light Sheets
Used</t>
  </si>
  <si>
    <t>Fipronil
(ml)</t>
  </si>
  <si>
    <t>Imidacloprid
(gm)</t>
  </si>
  <si>
    <t>Baits
(#)</t>
  </si>
  <si>
    <t>Glo Pieces
(#)</t>
  </si>
  <si>
    <t>Branch
Issue</t>
  </si>
  <si>
    <t>Notes</t>
  </si>
  <si>
    <t>Total Lamps
Used</t>
  </si>
  <si>
    <t>Total Cables
Used</t>
  </si>
  <si>
    <t>Total
Transformers</t>
  </si>
  <si>
    <t>Total Light
Sheets</t>
  </si>
  <si>
    <t>Total Fipronil
(ml)</t>
  </si>
  <si>
    <t>Total Imidacloprid
(gm)</t>
  </si>
  <si>
    <t>Total Baits
(#)</t>
  </si>
  <si>
    <t>Total Glo
Pieces (#)</t>
  </si>
  <si>
    <t>Emergency
Visits (#)</t>
  </si>
  <si>
    <t>Grand Total
All Visits</t>
  </si>
  <si>
    <t>Exception</t>
  </si>
  <si>
    <t>Brunche</t>
  </si>
  <si>
    <t>فيصل</t>
  </si>
  <si>
    <t>Giza</t>
  </si>
  <si>
    <t>Sunday</t>
  </si>
  <si>
    <t>45min</t>
  </si>
  <si>
    <t>✔</t>
  </si>
  <si>
    <t>50mil</t>
  </si>
  <si>
    <t>10g</t>
  </si>
  <si>
    <t xml:space="preserve">سهل حمزه </t>
  </si>
  <si>
    <t>ترسا</t>
  </si>
  <si>
    <t xml:space="preserve">المنصوريه </t>
  </si>
  <si>
    <t>حدائق اكتوبر</t>
  </si>
  <si>
    <t>هضبه أ</t>
  </si>
  <si>
    <t>Cairo</t>
  </si>
  <si>
    <t>هضبه ن</t>
  </si>
  <si>
    <t>هضبه س</t>
  </si>
  <si>
    <t>غرب سوميد</t>
  </si>
  <si>
    <t>60min</t>
  </si>
  <si>
    <t>جمال عبد الناصر</t>
  </si>
  <si>
    <t xml:space="preserve">زايد </t>
  </si>
  <si>
    <t>الحصري</t>
  </si>
  <si>
    <t>الفيوم</t>
  </si>
  <si>
    <t>Fayoum</t>
  </si>
  <si>
    <t>جامعه MSA</t>
  </si>
  <si>
    <t xml:space="preserve">المهندسين </t>
  </si>
  <si>
    <t xml:space="preserve">معادي لاسيلكي </t>
  </si>
  <si>
    <t>معادي بيتشو</t>
  </si>
  <si>
    <t>معادي دائري</t>
  </si>
  <si>
    <t>مقطم</t>
  </si>
  <si>
    <t>تجمع شارع 90</t>
  </si>
  <si>
    <t>رامي هلال</t>
  </si>
  <si>
    <t>مدينتي</t>
  </si>
  <si>
    <t xml:space="preserve">العبور </t>
  </si>
  <si>
    <t>Qalyubia</t>
  </si>
  <si>
    <t>جسر السويس</t>
  </si>
  <si>
    <t>مدينه نصر</t>
  </si>
  <si>
    <t xml:space="preserve">النزهه </t>
  </si>
  <si>
    <t>القرية الذكية</t>
  </si>
  <si>
    <t xml:space="preserve">الحجاز </t>
  </si>
  <si>
    <t>Mehrajaa</t>
  </si>
  <si>
    <t xml:space="preserve">مدينتي </t>
  </si>
  <si>
    <t>أرابيلا</t>
  </si>
  <si>
    <t>بنوك</t>
  </si>
  <si>
    <t>الرحاب</t>
  </si>
  <si>
    <t xml:space="preserve">كايرو </t>
  </si>
  <si>
    <t xml:space="preserve">النحاس </t>
  </si>
  <si>
    <t>شارع 9 المعادي</t>
  </si>
  <si>
    <t xml:space="preserve">شارع 7 المعادي </t>
  </si>
  <si>
    <t>سيتي ستارز</t>
  </si>
  <si>
    <t>الزمالك</t>
  </si>
  <si>
    <t xml:space="preserve">سبورتينج </t>
  </si>
  <si>
    <t>Alexandria</t>
  </si>
  <si>
    <t xml:space="preserve">سموحه </t>
  </si>
  <si>
    <t>KAK</t>
  </si>
  <si>
    <t>Monday</t>
  </si>
  <si>
    <t>كفر عبده</t>
  </si>
  <si>
    <t>فؤاد</t>
  </si>
  <si>
    <t>PFG</t>
  </si>
  <si>
    <t>Aayadena</t>
  </si>
  <si>
    <t>كوف</t>
  </si>
  <si>
    <t>مول العرب</t>
  </si>
  <si>
    <t>الكربة</t>
  </si>
  <si>
    <t>Blaze</t>
  </si>
  <si>
    <t>Bayrouti</t>
  </si>
  <si>
    <t>جاردن 8</t>
  </si>
  <si>
    <t>أركان</t>
  </si>
  <si>
    <t>Bruger in Box</t>
  </si>
  <si>
    <t xml:space="preserve">ألف مسكن </t>
  </si>
  <si>
    <t>عباسيه</t>
  </si>
  <si>
    <t>أول مكرم</t>
  </si>
  <si>
    <t>التجمع</t>
  </si>
  <si>
    <t>أسكندريه</t>
  </si>
  <si>
    <t xml:space="preserve">مخازن </t>
  </si>
  <si>
    <t>Ahmed Nada</t>
  </si>
  <si>
    <t>DoDz</t>
  </si>
  <si>
    <t>ألماظه</t>
  </si>
  <si>
    <t>النعام</t>
  </si>
  <si>
    <t>السرايا مول</t>
  </si>
  <si>
    <t xml:space="preserve">الصوصات </t>
  </si>
  <si>
    <t xml:space="preserve">الثلاجه </t>
  </si>
  <si>
    <t xml:space="preserve">أحمد عصمت </t>
  </si>
  <si>
    <t xml:space="preserve">النعام </t>
  </si>
  <si>
    <t>مصر الجديدة</t>
  </si>
  <si>
    <t xml:space="preserve">السنتر </t>
  </si>
  <si>
    <t>Choco Jel</t>
  </si>
  <si>
    <t>ايست هوب</t>
  </si>
  <si>
    <t xml:space="preserve"> لولو</t>
  </si>
  <si>
    <t xml:space="preserve">المعادي </t>
  </si>
  <si>
    <t xml:space="preserve">عباس  </t>
  </si>
  <si>
    <t>الدقي</t>
  </si>
  <si>
    <t>Fatez</t>
  </si>
  <si>
    <t>D5</t>
  </si>
  <si>
    <t>جاليريا</t>
  </si>
  <si>
    <t>Sweet Ice</t>
  </si>
  <si>
    <t>مسطرد</t>
  </si>
  <si>
    <t>Trobical</t>
  </si>
  <si>
    <t>البراجيل</t>
  </si>
  <si>
    <t>KHMB</t>
  </si>
  <si>
    <t>Berios</t>
  </si>
  <si>
    <t>جاليريا 40</t>
  </si>
  <si>
    <t>نيوجيزه</t>
  </si>
  <si>
    <t>مفيدا</t>
  </si>
  <si>
    <t>Lake Twon</t>
  </si>
  <si>
    <t>Ivory</t>
  </si>
  <si>
    <t>Saturday</t>
  </si>
  <si>
    <t>Park Street</t>
  </si>
  <si>
    <t>Saghaf Café</t>
  </si>
  <si>
    <t>ميدنتي</t>
  </si>
  <si>
    <t>Khairat Baldna</t>
  </si>
  <si>
    <t>اكتوبر</t>
  </si>
  <si>
    <t>Cake Café</t>
  </si>
  <si>
    <t>Coffe Shop</t>
  </si>
  <si>
    <t>المنيل</t>
  </si>
  <si>
    <t>Garden café</t>
  </si>
  <si>
    <t>Map State</t>
  </si>
  <si>
    <t>Go Healthy</t>
  </si>
  <si>
    <t>الشروق</t>
  </si>
  <si>
    <t>مدينة نصر</t>
  </si>
  <si>
    <t xml:space="preserve">GSK </t>
  </si>
  <si>
    <t>السلام</t>
  </si>
  <si>
    <t>هرم</t>
  </si>
  <si>
    <t>Cluture house</t>
  </si>
  <si>
    <t>الصحراوي</t>
  </si>
  <si>
    <t>90min</t>
  </si>
  <si>
    <t>Cooking School</t>
  </si>
  <si>
    <t>Nashy</t>
  </si>
  <si>
    <t>Rosmary</t>
  </si>
  <si>
    <t>Turkish pasha</t>
  </si>
  <si>
    <t>Flip 7</t>
  </si>
  <si>
    <t>Flip 8</t>
  </si>
  <si>
    <t>Meat moot</t>
  </si>
  <si>
    <t>Al marasym</t>
  </si>
  <si>
    <t>جامعة الدول</t>
  </si>
  <si>
    <t>Al dom</t>
  </si>
  <si>
    <t>RAR</t>
  </si>
  <si>
    <t>Terrace bakery</t>
  </si>
  <si>
    <t>Miss chikes</t>
  </si>
  <si>
    <t>خاتم المرسلين</t>
  </si>
  <si>
    <t>Meet Gate</t>
  </si>
  <si>
    <t>Factory</t>
  </si>
  <si>
    <t>التجمع الثالث</t>
  </si>
  <si>
    <t>Faranchezia</t>
  </si>
  <si>
    <t>Testey 1</t>
  </si>
  <si>
    <t>Testey 2</t>
  </si>
  <si>
    <t>Testey</t>
  </si>
  <si>
    <t>KHF</t>
  </si>
  <si>
    <t>Loutas</t>
  </si>
  <si>
    <t>كفر حكيم</t>
  </si>
  <si>
    <t>180min</t>
  </si>
  <si>
    <t>Noodles</t>
  </si>
  <si>
    <t>Smothy Paradies</t>
  </si>
  <si>
    <t>Seeds</t>
  </si>
  <si>
    <t>Albarka</t>
  </si>
  <si>
    <t>Andalos</t>
  </si>
  <si>
    <t>El Moustaner</t>
  </si>
  <si>
    <t>شبرا الخيمة</t>
  </si>
  <si>
    <t>Rozina chocolate</t>
  </si>
  <si>
    <t xml:space="preserve">Rozina </t>
  </si>
  <si>
    <t>Nawara</t>
  </si>
  <si>
    <t xml:space="preserve">Segam </t>
  </si>
  <si>
    <t>الفيوم الجديدة</t>
  </si>
  <si>
    <t>impryal</t>
  </si>
  <si>
    <t>easy eats</t>
  </si>
  <si>
    <t>weirdough</t>
  </si>
  <si>
    <t>oven</t>
  </si>
  <si>
    <t>اسكندرية</t>
  </si>
  <si>
    <t>Borg al arab</t>
  </si>
  <si>
    <t>الضبعة</t>
  </si>
  <si>
    <t>Matrouh</t>
  </si>
  <si>
    <t>rest Borg al arab</t>
  </si>
  <si>
    <t>capital</t>
  </si>
  <si>
    <t xml:space="preserve">R.W </t>
  </si>
  <si>
    <t>R.W russian</t>
  </si>
  <si>
    <t>R.W Egyption</t>
  </si>
  <si>
    <t xml:space="preserve">R.W bakery </t>
  </si>
  <si>
    <t>R.W soap</t>
  </si>
  <si>
    <t>R.W food truck</t>
  </si>
  <si>
    <t xml:space="preserve">MMK </t>
  </si>
  <si>
    <t>MMK kitchen</t>
  </si>
  <si>
    <t>MMK bakery</t>
  </si>
  <si>
    <t>MMK club</t>
  </si>
  <si>
    <t>🔍   DRUDGE  —  Site Dashboard  |  Search by Site ID</t>
  </si>
  <si>
    <t>Enter Site ID:</t>
  </si>
  <si>
    <t>DRG-008</t>
  </si>
  <si>
    <t>SITE DETAILS</t>
  </si>
  <si>
    <t>Site Administration</t>
  </si>
  <si>
    <t>Location (Governorate)</t>
  </si>
  <si>
    <t>District / Area</t>
  </si>
  <si>
    <t>Responsible Engineer</t>
  </si>
  <si>
    <t>Visit Day (Weekday)</t>
  </si>
  <si>
    <t>Day of Month</t>
  </si>
  <si>
    <t>Visit Hour</t>
  </si>
  <si>
    <t>Visit Duration</t>
  </si>
  <si>
    <t>Flybase Bags Consumed</t>
  </si>
  <si>
    <t>Scheduled Visits</t>
  </si>
  <si>
    <t>Visit Status</t>
  </si>
  <si>
    <t>Total Visits Done</t>
  </si>
  <si>
    <t>MATERIAL &amp; EQUIPMENT TOTALS</t>
  </si>
  <si>
    <t>Total Lamps Used</t>
  </si>
  <si>
    <t>Total Cables Used</t>
  </si>
  <si>
    <t>Total Transformers</t>
  </si>
  <si>
    <t>Total Light Sheets</t>
  </si>
  <si>
    <t>Total Fipronil (ml)</t>
  </si>
  <si>
    <t>Total Imidacloprid (gm)</t>
  </si>
  <si>
    <t>Total Baits (#)</t>
  </si>
  <si>
    <t>Total Glo Pieces (#)</t>
  </si>
  <si>
    <t>Emergency Visits</t>
  </si>
  <si>
    <t>Grand Total Visits</t>
  </si>
  <si>
    <t>VISIT DATES LOG</t>
  </si>
  <si>
    <t>Visit 1 — Date</t>
  </si>
  <si>
    <t>Visit 2 — Date</t>
  </si>
  <si>
    <t>Visit 3 — Date</t>
  </si>
  <si>
    <t>Visit 4 — Date</t>
  </si>
  <si>
    <t>Visit 5 — Date</t>
  </si>
  <si>
    <t>Visit 6 — Date</t>
  </si>
  <si>
    <t>Visit 7 — Date</t>
  </si>
  <si>
    <t>Visit 8 — Date</t>
  </si>
  <si>
    <t>Visit 9 — Date</t>
  </si>
  <si>
    <t>Visit 10 — Date</t>
  </si>
  <si>
    <t>Visit 11 — Date</t>
  </si>
  <si>
    <t>Visit 12 — Date</t>
  </si>
  <si>
    <t>DRUDGE — User Guide &amp; Color Legend</t>
  </si>
  <si>
    <t>COLUMN</t>
  </si>
  <si>
    <t>DESCRIPTION</t>
  </si>
  <si>
    <t>Auto-generated unique ID (DRG-001, DRG-002…). Appears when you enter a Site Name. Use this in the Dashboard to look up any site — even if two sites share the same name.</t>
  </si>
  <si>
    <t>Department or administration responsible for the site.</t>
  </si>
  <si>
    <t>Full name of the client site.</t>
  </si>
  <si>
    <t>Egyptian governorate where the site is located.</t>
  </si>
  <si>
    <t>Neighborhood or sub-district.</t>
  </si>
  <si>
    <t>Name of the engineer assigned to this site.</t>
  </si>
  <si>
    <t>Click dropdown → choose the scheduled weekday.</t>
  </si>
  <si>
    <t>Click dropdown → choose day number 1–31.</t>
  </si>
  <si>
    <t>Click dropdown → choose the time slot (06:00–22:00).</t>
  </si>
  <si>
    <t>Duration per visit (e.g., 2h, 3.5h).</t>
  </si>
  <si>
    <t>Total number of Flybase bags used at this site.</t>
  </si>
  <si>
    <t>Always 4 — pre-filled automatically. Do not edit.</t>
  </si>
  <si>
    <t>AUTO: Green ✔ Completed (≥4 visits). Red ✘ Pending (&lt;4 visits).</t>
  </si>
  <si>
    <t>AUTO: counts ✔ ticks across all 12 visits.</t>
  </si>
  <si>
    <t>Visit Date</t>
  </si>
  <si>
    <t>Enter or pick the visit date — displays as DD/MM/YYYY.</t>
  </si>
  <si>
    <t>Done ✔</t>
  </si>
  <si>
    <t>Click dropdown arrow → select ✔ to mark the visit complete. Counts automatically.</t>
  </si>
  <si>
    <t>Spare Parts Changed</t>
  </si>
  <si>
    <t>Yes/No or describe parts replaced.</t>
  </si>
  <si>
    <t>Lamps / Cables / etc.</t>
  </si>
  <si>
    <t>Quantity consumed during that visit.</t>
  </si>
  <si>
    <t>Fipronil (ml)</t>
  </si>
  <si>
    <t>Volume of Fipronil applied.</t>
  </si>
  <si>
    <t>Imidacloprid (gm)</t>
  </si>
  <si>
    <t>Weight of Imidacloprid applied.</t>
  </si>
  <si>
    <t>Baits / Glo Pieces</t>
  </si>
  <si>
    <t>Number of units placed or replaced.</t>
  </si>
  <si>
    <t>Branch Issue</t>
  </si>
  <si>
    <t>Describe any problem found.</t>
  </si>
  <si>
    <t>Additional remarks.</t>
  </si>
  <si>
    <t>Enter manually: number of unscheduled extra visits.</t>
  </si>
  <si>
    <t>AUTO: Total Visits Done + Emergency Visits.</t>
  </si>
  <si>
    <t>Totals Summary</t>
  </si>
  <si>
    <t>AUTO: material totals across all 12 regular visits per site.</t>
  </si>
  <si>
    <t>Site Dashboard sheet</t>
  </si>
  <si>
    <t>Choose a Site ID from the dropdown → all site data appears instantly. Works even when multiple sites share the same name.</t>
  </si>
  <si>
    <t>محمد نجيب</t>
  </si>
  <si>
    <t>Garden 8</t>
  </si>
  <si>
    <t>Kitchen</t>
  </si>
  <si>
    <t>الساحل</t>
  </si>
  <si>
    <t>warehouse</t>
  </si>
  <si>
    <t>Club</t>
  </si>
  <si>
    <t>Marinz</t>
  </si>
  <si>
    <t>alphabiato</t>
  </si>
  <si>
    <t>Atomic</t>
  </si>
  <si>
    <t>3k</t>
  </si>
  <si>
    <t>Hum Um Food</t>
  </si>
  <si>
    <t>المعادي</t>
  </si>
  <si>
    <t>wagyu</t>
  </si>
  <si>
    <t>الشيخ زايد</t>
  </si>
  <si>
    <t>City Drink</t>
  </si>
  <si>
    <t>أبو شقره</t>
  </si>
  <si>
    <t>Ishtar</t>
  </si>
  <si>
    <t>Ahmed nada</t>
  </si>
  <si>
    <t>مخزن أحمد ندا</t>
  </si>
  <si>
    <t>عين شمس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</si>
</sst>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1"/>
      <color theme="1"/>
      <name val="Calibri"/>
      <scheme val="minor"/>
    </font>
    <font>
      <b/>
      <sz val="15"/>
      <color rgb="FFFFFFFF"/>
      <name val="Arial"/>
    </font>
    <font>
      <sz val="11"/>
      <name val="Calibri"/>
    </font>
    <font>
      <b/>
      <sz val="8"/>
      <color rgb="FFFFFFFF"/>
      <name val="Arial"/>
    </font>
    <font>
      <b/>
      <sz val="8"/>
      <color rgb="FF000000"/>
      <name val="Arial"/>
    </font>
    <font>
      <b/>
      <sz val="9"/>
      <color rgb="FFFFD700"/>
      <name val="Arial"/>
    </font>
    <font>
      <b/>
      <sz val="8"/>
      <color rgb="FFFFC000"/>
      <name val="Arial"/>
    </font>
    <font>
      <b/>
      <sz val="8"/>
      <color theme="1"/>
      <name val="Arial"/>
    </font>
    <font>
      <sz val="11"/>
      <color rgb="FFFFC000"/>
      <name val="Calibri"/>
    </font>
    <font>
      <b/>
      <sz val="11"/>
      <color theme="1"/>
      <name val="Calibri"/>
    </font>
    <font>
      <b/>
      <sz val="9"/>
      <color theme="1"/>
      <name val="Arial"/>
    </font>
    <font>
      <sz val="9"/>
      <color theme="1"/>
      <name val="Arial"/>
    </font>
    <font>
      <b/>
      <sz val="10"/>
      <color rgb="FF276221"/>
      <name val="Arial"/>
    </font>
    <font>
      <b/>
      <sz val="9"/>
      <color rgb="FF7030A0"/>
      <name val="Arial"/>
    </font>
    <font>
      <b/>
      <sz val="9"/>
      <color rgb="FFC00000"/>
      <name val="Arial"/>
    </font>
    <font>
      <b/>
      <sz val="9"/>
      <color rgb="FFFFFFFF"/>
      <name val="Arial"/>
    </font>
    <font>
      <sz val="9"/>
      <color rgb="FFFFC000"/>
      <name val="Arial"/>
    </font>
    <font>
      <sz val="11"/>
      <color theme="1"/>
      <name val="Calibri"/>
    </font>
    <font>
      <b/>
      <sz val="9"/>
      <color rgb="FF2E75B6"/>
      <name val="Arial"/>
    </font>
    <font>
      <b/>
      <sz val="13"/>
      <color rgb="FFFFFFFF"/>
      <name val="Arial"/>
    </font>
    <font>
      <b/>
      <sz val="11"/>
      <color rgb="FF2E75B6"/>
      <name val="Arial"/>
    </font>
    <font>
      <b/>
      <sz val="12"/>
      <color rgb="FF1A3C5E"/>
      <name val="Arial"/>
    </font>
    <font>
      <b/>
      <sz val="11"/>
      <color rgb="FF1A3C5E"/>
      <name val="Arial"/>
    </font>
    <font>
      <b/>
      <sz val="10"/>
      <color rgb="FFFFFFFF"/>
      <name val="Arial"/>
    </font>
    <font>
      <b/>
      <sz val="9"/>
      <color rgb="FF1A3C5E"/>
      <name val="Arial"/>
    </font>
    <font>
      <b/>
      <sz val="9"/>
      <color rgb="FF404040"/>
      <name val="Arial"/>
    </font>
    <font>
      <b/>
      <sz val="9"/>
      <name val="Arial"/>
    </font>
    <font>
      <sz val="9"/>
      <name val="Arial"/>
    </font>
    <font>
      <b/>
      <sz val="11"/>
      <name val="Calibri"/>
    </font>
    <font>
      <b/>
      <sz val="10"/>
      <name val="Arial"/>
    </font>
    <font>
      <sz val="11"/>
      <name val="Calibri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A3C5E"/>
        <bgColor rgb="FF1A3C5E"/>
      </patternFill>
    </fill>
    <fill>
      <patternFill patternType="solid">
        <fgColor rgb="FF2E75B6"/>
        <bgColor rgb="FF2E75B6"/>
      </patternFill>
    </fill>
    <fill>
      <patternFill patternType="solid">
        <fgColor rgb="FF404040"/>
        <bgColor rgb="FF404040"/>
      </patternFill>
    </fill>
    <fill>
      <patternFill patternType="solid">
        <fgColor rgb="FFED7D31"/>
        <bgColor rgb="FFED7D31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5B9BD5"/>
        <bgColor rgb="FF5B9BD5"/>
      </patternFill>
    </fill>
    <fill>
      <patternFill patternType="solid">
        <fgColor rgb="FFFF7C80"/>
        <bgColor rgb="FFFF7C80"/>
      </patternFill>
    </fill>
    <fill>
      <patternFill patternType="solid">
        <fgColor rgb="FF92D050"/>
        <bgColor rgb="FF92D050"/>
      </patternFill>
    </fill>
    <fill>
      <patternFill patternType="solid">
        <fgColor rgb="FFFFBF00"/>
        <bgColor rgb="FFFFBF00"/>
      </patternFill>
    </fill>
    <fill>
      <patternFill patternType="solid">
        <fgColor rgb="FF9DC3E6"/>
        <bgColor rgb="FF9DC3E6"/>
      </patternFill>
    </fill>
    <fill>
      <patternFill patternType="solid">
        <fgColor rgb="FFF4B8B2"/>
        <bgColor rgb="FFF4B8B2"/>
      </patternFill>
    </fill>
    <fill>
      <patternFill patternType="solid">
        <fgColor rgb="FFC9E0B4"/>
        <bgColor rgb="FFC9E0B4"/>
      </patternFill>
    </fill>
    <fill>
      <patternFill patternType="solid">
        <fgColor rgb="FFFFE699"/>
        <bgColor rgb="FFFFE699"/>
      </patternFill>
    </fill>
    <fill>
      <patternFill patternType="solid">
        <fgColor rgb="FFD9D9D9"/>
        <bgColor rgb="FFD9D9D9"/>
      </patternFill>
    </fill>
    <fill>
      <patternFill patternType="solid">
        <fgColor rgb="FF7030A0"/>
        <bgColor rgb="FF7030A0"/>
      </patternFill>
    </fill>
    <fill>
      <patternFill patternType="solid">
        <fgColor rgb="FFC00000"/>
        <bgColor rgb="FFC00000"/>
      </patternFill>
    </fill>
    <fill>
      <patternFill patternType="solid">
        <fgColor rgb="FF17365D"/>
        <bgColor rgb="FF17365D"/>
      </patternFill>
    </fill>
    <fill>
      <patternFill patternType="solid">
        <fgColor rgb="FFC6D9F0"/>
        <bgColor rgb="FFC6D9F0"/>
      </patternFill>
    </fill>
    <fill>
      <patternFill patternType="solid">
        <fgColor rgb="FFF0F5FF"/>
        <bgColor rgb="FFF0F5FF"/>
      </patternFill>
    </fill>
    <fill>
      <patternFill patternType="solid">
        <fgColor rgb="FFFFD7D7"/>
        <bgColor rgb="FFFFD7D7"/>
      </patternFill>
    </fill>
    <fill>
      <patternFill patternType="solid">
        <fgColor rgb="FF333333"/>
        <bgColor rgb="FF33333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EBF3FB"/>
        <bgColor rgb="FFEBF3FB"/>
      </patternFill>
    </fill>
    <fill>
      <patternFill patternType="solid">
        <fgColor rgb="FFF5F5F5"/>
        <bgColor rgb="FFF5F5F5"/>
      </patternFill>
    </fill>
    <fill>
      <patternFill patternType="solid">
        <fgColor theme="9" tint="-0.249977111117893"/>
        <bgColor rgb="FF1A3C5E"/>
      </patternFill>
    </fill>
    <fill>
      <patternFill patternType="solid">
        <fgColor theme="9" tint="-0.249977111117893"/>
        <bgColor rgb="FF17365D"/>
      </patternFill>
    </fill>
    <fill>
      <patternFill patternType="solid">
        <fgColor theme="9" tint="-0.249977111117893"/>
        <bgColor rgb="FFC6D9F0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FFD7D7"/>
      </patternFill>
    </fill>
    <fill>
      <patternFill patternType="solid">
        <fgColor theme="9" tint="-0.249977111117893"/>
        <bgColor rgb="FF333333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249977111117893"/>
        <bgColor rgb="FFF0F5FF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35">
    <xf numFmtId="0" fontId="0" fillId="0" borderId="0" xfId="0" applyFont="1" applyAlignment="1"/>
    <xf numFmtId="0" fontId="3" fillId="4" borderId="4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6" fillId="19" borderId="4" xfId="0" applyFont="1" applyFill="1" applyBorder="1" applyAlignment="1">
      <alignment horizontal="center" vertical="center" wrapText="1"/>
    </xf>
    <xf numFmtId="0" fontId="7" fillId="20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4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4" fillId="13" borderId="4" xfId="0" applyFont="1" applyFill="1" applyBorder="1" applyAlignment="1">
      <alignment horizontal="center" vertical="center" wrapText="1"/>
    </xf>
    <xf numFmtId="0" fontId="4" fillId="14" borderId="4" xfId="0" applyFont="1" applyFill="1" applyBorder="1" applyAlignment="1">
      <alignment horizontal="center" vertical="center" wrapText="1"/>
    </xf>
    <xf numFmtId="0" fontId="4" fillId="15" borderId="4" xfId="0" applyFont="1" applyFill="1" applyBorder="1" applyAlignment="1">
      <alignment horizontal="center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8" fillId="19" borderId="4" xfId="0" applyFont="1" applyFill="1" applyBorder="1" applyAlignment="1">
      <alignment horizontal="center" vertical="center"/>
    </xf>
    <xf numFmtId="0" fontId="9" fillId="20" borderId="4" xfId="0" applyFont="1" applyFill="1" applyBorder="1" applyAlignment="1">
      <alignment horizontal="center" vertical="center"/>
    </xf>
    <xf numFmtId="0" fontId="10" fillId="20" borderId="4" xfId="0" applyFont="1" applyFill="1" applyBorder="1" applyAlignment="1">
      <alignment horizontal="center" vertical="center" wrapText="1"/>
    </xf>
    <xf numFmtId="20" fontId="10" fillId="20" borderId="4" xfId="0" applyNumberFormat="1" applyFont="1" applyFill="1" applyBorder="1" applyAlignment="1">
      <alignment horizontal="center" vertical="center" wrapText="1"/>
    </xf>
    <xf numFmtId="0" fontId="10" fillId="21" borderId="4" xfId="0" applyFont="1" applyFill="1" applyBorder="1" applyAlignment="1">
      <alignment horizontal="center" vertical="center" wrapText="1"/>
    </xf>
    <xf numFmtId="0" fontId="11" fillId="21" borderId="4" xfId="0" applyFont="1" applyFill="1" applyBorder="1" applyAlignment="1">
      <alignment horizontal="center" vertical="center" wrapText="1"/>
    </xf>
    <xf numFmtId="14" fontId="11" fillId="21" borderId="4" xfId="0" applyNumberFormat="1" applyFont="1" applyFill="1" applyBorder="1" applyAlignment="1">
      <alignment horizontal="center" vertical="center" wrapText="1"/>
    </xf>
    <xf numFmtId="0" fontId="12" fillId="21" borderId="4" xfId="0" applyFont="1" applyFill="1" applyBorder="1" applyAlignment="1">
      <alignment horizontal="center" vertical="center" wrapText="1"/>
    </xf>
    <xf numFmtId="0" fontId="13" fillId="21" borderId="4" xfId="0" applyFont="1" applyFill="1" applyBorder="1" applyAlignment="1">
      <alignment horizontal="center" vertical="center" wrapText="1"/>
    </xf>
    <xf numFmtId="0" fontId="14" fillId="22" borderId="4" xfId="0" applyFont="1" applyFill="1" applyBorder="1" applyAlignment="1">
      <alignment horizontal="center" vertical="center" wrapText="1"/>
    </xf>
    <xf numFmtId="0" fontId="15" fillId="23" borderId="4" xfId="0" applyFont="1" applyFill="1" applyBorder="1" applyAlignment="1">
      <alignment horizontal="center" vertical="center" wrapText="1"/>
    </xf>
    <xf numFmtId="0" fontId="10" fillId="24" borderId="4" xfId="0" applyFont="1" applyFill="1" applyBorder="1" applyAlignment="1">
      <alignment horizontal="center" vertical="center" wrapText="1"/>
    </xf>
    <xf numFmtId="14" fontId="11" fillId="24" borderId="4" xfId="0" applyNumberFormat="1" applyFont="1" applyFill="1" applyBorder="1" applyAlignment="1">
      <alignment horizontal="center" vertical="center" wrapText="1"/>
    </xf>
    <xf numFmtId="0" fontId="12" fillId="24" borderId="4" xfId="0" applyFont="1" applyFill="1" applyBorder="1" applyAlignment="1">
      <alignment horizontal="center" vertical="center" wrapText="1"/>
    </xf>
    <xf numFmtId="0" fontId="11" fillId="24" borderId="4" xfId="0" applyFont="1" applyFill="1" applyBorder="1" applyAlignment="1">
      <alignment horizontal="center" vertical="center" wrapText="1"/>
    </xf>
    <xf numFmtId="0" fontId="13" fillId="24" borderId="4" xfId="0" applyFont="1" applyFill="1" applyBorder="1" applyAlignment="1">
      <alignment horizontal="center" vertical="center" wrapText="1"/>
    </xf>
    <xf numFmtId="0" fontId="16" fillId="19" borderId="4" xfId="0" applyFont="1" applyFill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8" fillId="24" borderId="4" xfId="0" applyFont="1" applyFill="1" applyBorder="1" applyAlignment="1">
      <alignment horizontal="center" vertical="center" wrapText="1"/>
    </xf>
    <xf numFmtId="0" fontId="18" fillId="21" borderId="4" xfId="0" applyFont="1" applyFill="1" applyBorder="1" applyAlignment="1">
      <alignment horizontal="center" vertical="center" wrapText="1"/>
    </xf>
    <xf numFmtId="0" fontId="20" fillId="0" borderId="0" xfId="0" applyFont="1" applyAlignment="1">
      <alignment horizontal="left" vertical="center" wrapText="1"/>
    </xf>
    <xf numFmtId="0" fontId="21" fillId="25" borderId="8" xfId="0" applyFont="1" applyFill="1" applyBorder="1" applyAlignment="1">
      <alignment horizontal="center" vertical="center" wrapText="1"/>
    </xf>
    <xf numFmtId="0" fontId="22" fillId="26" borderId="8" xfId="0" applyFont="1" applyFill="1" applyBorder="1" applyAlignment="1">
      <alignment horizontal="left" vertical="center" wrapText="1"/>
    </xf>
    <xf numFmtId="0" fontId="24" fillId="24" borderId="9" xfId="0" applyFont="1" applyFill="1" applyBorder="1" applyAlignment="1">
      <alignment horizontal="left" vertical="center" wrapText="1"/>
    </xf>
    <xf numFmtId="0" fontId="24" fillId="26" borderId="9" xfId="0" applyFont="1" applyFill="1" applyBorder="1" applyAlignment="1">
      <alignment horizontal="left" vertical="center" wrapText="1"/>
    </xf>
    <xf numFmtId="0" fontId="25" fillId="27" borderId="9" xfId="0" applyFont="1" applyFill="1" applyBorder="1" applyAlignment="1">
      <alignment horizontal="left" vertical="center" wrapText="1"/>
    </xf>
    <xf numFmtId="0" fontId="25" fillId="24" borderId="9" xfId="0" applyFont="1" applyFill="1" applyBorder="1" applyAlignment="1">
      <alignment horizontal="left" vertical="center" wrapText="1"/>
    </xf>
    <xf numFmtId="0" fontId="15" fillId="3" borderId="9" xfId="0" applyFont="1" applyFill="1" applyBorder="1" applyAlignment="1">
      <alignment horizontal="left" vertical="center" wrapText="1"/>
    </xf>
    <xf numFmtId="0" fontId="10" fillId="24" borderId="9" xfId="0" applyFont="1" applyFill="1" applyBorder="1" applyAlignment="1">
      <alignment horizontal="left" vertical="center" wrapText="1"/>
    </xf>
    <xf numFmtId="0" fontId="11" fillId="24" borderId="9" xfId="0" applyFont="1" applyFill="1" applyBorder="1" applyAlignment="1">
      <alignment horizontal="left" vertical="center" wrapText="1"/>
    </xf>
    <xf numFmtId="0" fontId="10" fillId="26" borderId="9" xfId="0" applyFont="1" applyFill="1" applyBorder="1" applyAlignment="1">
      <alignment horizontal="left" vertical="center" wrapText="1"/>
    </xf>
    <xf numFmtId="0" fontId="11" fillId="26" borderId="9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23" fillId="3" borderId="5" xfId="0" applyFont="1" applyFill="1" applyBorder="1" applyAlignment="1">
      <alignment horizontal="center" vertical="center" wrapText="1"/>
    </xf>
    <xf numFmtId="0" fontId="11" fillId="24" borderId="10" xfId="0" applyFont="1" applyFill="1" applyBorder="1" applyAlignment="1">
      <alignment horizontal="center" vertical="center" wrapText="1"/>
    </xf>
    <xf numFmtId="0" fontId="2" fillId="0" borderId="11" xfId="0" applyFont="1" applyBorder="1"/>
    <xf numFmtId="0" fontId="11" fillId="26" borderId="10" xfId="0" applyFont="1" applyFill="1" applyBorder="1" applyAlignment="1">
      <alignment horizontal="center" vertical="center" wrapText="1"/>
    </xf>
    <xf numFmtId="0" fontId="23" fillId="17" borderId="5" xfId="0" applyFont="1" applyFill="1" applyBorder="1" applyAlignment="1">
      <alignment horizontal="center" vertical="center" wrapText="1"/>
    </xf>
    <xf numFmtId="0" fontId="23" fillId="4" borderId="5" xfId="0" applyFont="1" applyFill="1" applyBorder="1" applyAlignment="1">
      <alignment horizontal="center" vertical="center" wrapText="1"/>
    </xf>
    <xf numFmtId="0" fontId="11" fillId="27" borderId="10" xfId="0" applyFont="1" applyFill="1" applyBorder="1" applyAlignment="1">
      <alignment horizontal="center" vertical="center" wrapText="1"/>
    </xf>
    <xf numFmtId="0" fontId="26" fillId="28" borderId="4" xfId="0" applyFont="1" applyFill="1" applyBorder="1" applyAlignment="1">
      <alignment horizontal="center" vertical="center" wrapText="1"/>
    </xf>
    <xf numFmtId="0" fontId="27" fillId="29" borderId="4" xfId="0" applyFont="1" applyFill="1" applyBorder="1" applyAlignment="1">
      <alignment horizontal="center" vertical="center" wrapText="1"/>
    </xf>
    <xf numFmtId="0" fontId="28" fillId="30" borderId="4" xfId="0" applyFont="1" applyFill="1" applyBorder="1" applyAlignment="1">
      <alignment horizontal="center" vertical="center"/>
    </xf>
    <xf numFmtId="0" fontId="26" fillId="30" borderId="4" xfId="0" applyFont="1" applyFill="1" applyBorder="1" applyAlignment="1">
      <alignment horizontal="center" vertical="center" wrapText="1"/>
    </xf>
    <xf numFmtId="0" fontId="26" fillId="31" borderId="4" xfId="0" applyFont="1" applyFill="1" applyBorder="1" applyAlignment="1">
      <alignment horizontal="center" vertical="center" wrapText="1"/>
    </xf>
    <xf numFmtId="14" fontId="27" fillId="31" borderId="4" xfId="0" applyNumberFormat="1" applyFont="1" applyFill="1" applyBorder="1" applyAlignment="1">
      <alignment horizontal="center" vertical="center" wrapText="1"/>
    </xf>
    <xf numFmtId="0" fontId="29" fillId="31" borderId="4" xfId="0" applyFont="1" applyFill="1" applyBorder="1" applyAlignment="1">
      <alignment horizontal="center" vertical="center" wrapText="1"/>
    </xf>
    <xf numFmtId="0" fontId="27" fillId="31" borderId="4" xfId="0" applyFont="1" applyFill="1" applyBorder="1" applyAlignment="1">
      <alignment horizontal="center" vertical="center" wrapText="1"/>
    </xf>
    <xf numFmtId="0" fontId="26" fillId="32" borderId="4" xfId="0" applyFont="1" applyFill="1" applyBorder="1" applyAlignment="1">
      <alignment horizontal="center" vertical="center" wrapText="1"/>
    </xf>
    <xf numFmtId="0" fontId="26" fillId="33" borderId="4" xfId="0" applyFont="1" applyFill="1" applyBorder="1" applyAlignment="1">
      <alignment horizontal="center" vertical="center" wrapText="1"/>
    </xf>
    <xf numFmtId="0" fontId="30" fillId="34" borderId="0" xfId="0" applyFont="1" applyFill="1" applyAlignment="1"/>
    <xf numFmtId="0" fontId="5" fillId="28" borderId="4" xfId="0" applyFont="1" applyFill="1" applyBorder="1" applyAlignment="1">
      <alignment horizontal="center" vertical="center" wrapText="1"/>
    </xf>
    <xf numFmtId="0" fontId="16" fillId="29" borderId="4" xfId="0" applyFont="1" applyFill="1" applyBorder="1" applyAlignment="1">
      <alignment horizontal="center" vertical="center" wrapText="1"/>
    </xf>
    <xf numFmtId="0" fontId="9" fillId="30" borderId="4" xfId="0" applyFont="1" applyFill="1" applyBorder="1" applyAlignment="1">
      <alignment horizontal="center" vertical="center"/>
    </xf>
    <xf numFmtId="0" fontId="10" fillId="30" borderId="4" xfId="0" applyFont="1" applyFill="1" applyBorder="1" applyAlignment="1">
      <alignment horizontal="center" vertical="center" wrapText="1"/>
    </xf>
    <xf numFmtId="0" fontId="10" fillId="35" borderId="4" xfId="0" applyFont="1" applyFill="1" applyBorder="1" applyAlignment="1">
      <alignment horizontal="center" vertical="center" wrapText="1"/>
    </xf>
    <xf numFmtId="14" fontId="11" fillId="35" borderId="4" xfId="0" applyNumberFormat="1" applyFont="1" applyFill="1" applyBorder="1" applyAlignment="1">
      <alignment horizontal="center" vertical="center" wrapText="1"/>
    </xf>
    <xf numFmtId="0" fontId="12" fillId="35" borderId="4" xfId="0" applyFont="1" applyFill="1" applyBorder="1" applyAlignment="1">
      <alignment horizontal="center" vertical="center" wrapText="1"/>
    </xf>
    <xf numFmtId="0" fontId="11" fillId="35" borderId="4" xfId="0" applyFont="1" applyFill="1" applyBorder="1" applyAlignment="1">
      <alignment horizontal="center" vertical="center" wrapText="1"/>
    </xf>
    <xf numFmtId="0" fontId="13" fillId="35" borderId="4" xfId="0" applyFont="1" applyFill="1" applyBorder="1" applyAlignment="1">
      <alignment horizontal="center" vertical="center" wrapText="1"/>
    </xf>
    <xf numFmtId="0" fontId="14" fillId="32" borderId="4" xfId="0" applyFont="1" applyFill="1" applyBorder="1" applyAlignment="1">
      <alignment horizontal="center" vertical="center" wrapText="1"/>
    </xf>
    <xf numFmtId="0" fontId="15" fillId="33" borderId="4" xfId="0" applyFont="1" applyFill="1" applyBorder="1" applyAlignment="1">
      <alignment horizontal="center" vertical="center" wrapText="1"/>
    </xf>
    <xf numFmtId="0" fontId="0" fillId="34" borderId="0" xfId="0" applyFont="1" applyFill="1" applyAlignment="1"/>
    <xf numFmtId="0" fontId="8" fillId="29" borderId="4" xfId="0" applyFont="1" applyFill="1" applyBorder="1" applyAlignment="1">
      <alignment horizontal="center" vertical="center"/>
    </xf>
    <xf numFmtId="0" fontId="10" fillId="31" borderId="4" xfId="0" applyFont="1" applyFill="1" applyBorder="1" applyAlignment="1">
      <alignment horizontal="center" vertical="center" wrapText="1"/>
    </xf>
    <xf numFmtId="14" fontId="11" fillId="31" borderId="4" xfId="0" applyNumberFormat="1" applyFont="1" applyFill="1" applyBorder="1" applyAlignment="1">
      <alignment horizontal="center" vertical="center" wrapText="1"/>
    </xf>
    <xf numFmtId="0" fontId="12" fillId="31" borderId="4" xfId="0" applyFont="1" applyFill="1" applyBorder="1" applyAlignment="1">
      <alignment horizontal="center" vertical="center" wrapText="1"/>
    </xf>
    <xf numFmtId="0" fontId="11" fillId="31" borderId="4" xfId="0" applyFont="1" applyFill="1" applyBorder="1" applyAlignment="1">
      <alignment horizontal="center" vertical="center" wrapText="1"/>
    </xf>
    <xf numFmtId="0" fontId="13" fillId="31" borderId="4" xfId="0" applyFont="1" applyFill="1" applyBorder="1" applyAlignment="1">
      <alignment horizontal="center" vertical="center" wrapText="1"/>
    </xf>
    <xf numFmtId="0" fontId="4" fillId="14" borderId="2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4" fillId="13" borderId="2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4" fillId="16" borderId="2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4" fillId="15" borderId="2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b/>
        <sz val="10"/>
        <color rgb="FF276221"/>
        <name val="Arial"/>
      </font>
      <fill>
        <patternFill patternType="solid">
          <fgColor rgb="FFC6EFCE"/>
          <bgColor rgb="FFC6EFCE"/>
        </patternFill>
      </fill>
    </dxf>
    <dxf>
      <font>
        <b/>
        <sz val="9"/>
        <color rgb="FF9C0006"/>
        <name val="Arial"/>
      </font>
      <fill>
        <patternFill patternType="solid">
          <fgColor rgb="FFFFC7CE"/>
          <bgColor rgb="FFFFC7CE"/>
        </patternFill>
      </fill>
    </dxf>
    <dxf>
      <font>
        <b/>
        <sz val="9"/>
        <color rgb="FF276221"/>
        <name val="Arial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X605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I17" sqref="I17"/>
    </sheetView>
  </sheetViews>
  <sheetFormatPr defaultColWidth="14.42578125" defaultRowHeight="15" customHeight="1" x14ac:dyDescent="0.25"/>
  <cols>
    <col min="1" max="1" width="11" customWidth="1"/>
    <col min="2" max="2" width="20" customWidth="1"/>
    <col min="3" max="3" width="23.85546875" customWidth="1"/>
    <col min="4" max="4" width="16" customWidth="1"/>
    <col min="5" max="5" width="14" customWidth="1"/>
    <col min="6" max="6" width="18" customWidth="1"/>
    <col min="7" max="7" width="14" customWidth="1"/>
    <col min="8" max="9" width="9.85546875" customWidth="1"/>
    <col min="10" max="10" width="12" customWidth="1"/>
    <col min="11" max="11" width="9.5703125" customWidth="1"/>
    <col min="12" max="12" width="9.85546875" customWidth="1"/>
    <col min="13" max="13" width="14.85546875" customWidth="1"/>
    <col min="14" max="14" width="12" customWidth="1"/>
    <col min="15" max="15" width="13" customWidth="1"/>
    <col min="16" max="16" width="7" customWidth="1"/>
    <col min="17" max="17" width="11" customWidth="1"/>
    <col min="18" max="19" width="7.85546875" customWidth="1"/>
    <col min="20" max="21" width="11" customWidth="1"/>
    <col min="22" max="22" width="9" customWidth="1"/>
    <col min="23" max="23" width="13" customWidth="1"/>
    <col min="24" max="24" width="7.85546875" customWidth="1"/>
    <col min="25" max="25" width="9" customWidth="1"/>
    <col min="26" max="26" width="14" customWidth="1"/>
    <col min="27" max="27" width="16" customWidth="1"/>
    <col min="28" max="28" width="13" customWidth="1"/>
    <col min="29" max="29" width="7" customWidth="1"/>
    <col min="30" max="30" width="11" customWidth="1"/>
    <col min="31" max="32" width="7.85546875" customWidth="1"/>
    <col min="33" max="34" width="11" customWidth="1"/>
    <col min="35" max="35" width="9" customWidth="1"/>
    <col min="36" max="36" width="13" customWidth="1"/>
    <col min="37" max="37" width="7.85546875" customWidth="1"/>
    <col min="38" max="38" width="9" customWidth="1"/>
    <col min="39" max="39" width="14" customWidth="1"/>
    <col min="40" max="40" width="16" customWidth="1"/>
    <col min="41" max="41" width="13" customWidth="1"/>
    <col min="42" max="42" width="7" customWidth="1"/>
    <col min="43" max="43" width="11" customWidth="1"/>
    <col min="44" max="45" width="7.85546875" customWidth="1"/>
    <col min="46" max="47" width="11" customWidth="1"/>
    <col min="48" max="48" width="9" customWidth="1"/>
    <col min="49" max="49" width="13" customWidth="1"/>
    <col min="50" max="50" width="7.85546875" customWidth="1"/>
    <col min="51" max="51" width="9" customWidth="1"/>
    <col min="52" max="52" width="14" customWidth="1"/>
    <col min="53" max="53" width="16" customWidth="1"/>
    <col min="54" max="54" width="13" customWidth="1"/>
    <col min="55" max="55" width="7" customWidth="1"/>
    <col min="56" max="56" width="11" customWidth="1"/>
    <col min="57" max="58" width="7.85546875" customWidth="1"/>
    <col min="59" max="60" width="11" customWidth="1"/>
    <col min="61" max="61" width="9" customWidth="1"/>
    <col min="62" max="62" width="13" customWidth="1"/>
    <col min="63" max="63" width="7.85546875" customWidth="1"/>
    <col min="64" max="64" width="9" customWidth="1"/>
    <col min="65" max="65" width="14" customWidth="1"/>
    <col min="66" max="66" width="16" customWidth="1"/>
    <col min="67" max="67" width="13" customWidth="1"/>
    <col min="68" max="68" width="7" customWidth="1"/>
    <col min="69" max="69" width="11" customWidth="1"/>
    <col min="70" max="71" width="7.85546875" customWidth="1"/>
    <col min="72" max="73" width="11" customWidth="1"/>
    <col min="74" max="74" width="9" customWidth="1"/>
    <col min="75" max="75" width="13" customWidth="1"/>
    <col min="76" max="76" width="7.85546875" customWidth="1"/>
    <col min="77" max="77" width="9" customWidth="1"/>
    <col min="78" max="78" width="14" customWidth="1"/>
    <col min="79" max="79" width="16" customWidth="1"/>
    <col min="80" max="80" width="13" customWidth="1"/>
    <col min="81" max="81" width="7" customWidth="1"/>
    <col min="82" max="82" width="11" customWidth="1"/>
    <col min="83" max="84" width="7.85546875" customWidth="1"/>
    <col min="85" max="86" width="11" customWidth="1"/>
    <col min="87" max="87" width="9" customWidth="1"/>
    <col min="88" max="88" width="13" customWidth="1"/>
    <col min="89" max="89" width="7.85546875" customWidth="1"/>
    <col min="90" max="90" width="9" customWidth="1"/>
    <col min="91" max="91" width="14" customWidth="1"/>
    <col min="92" max="92" width="16" customWidth="1"/>
    <col min="93" max="93" width="13" customWidth="1"/>
    <col min="94" max="94" width="7" customWidth="1"/>
    <col min="95" max="95" width="11" customWidth="1"/>
    <col min="96" max="97" width="7.85546875" customWidth="1"/>
    <col min="98" max="99" width="11" customWidth="1"/>
    <col min="100" max="100" width="9" customWidth="1"/>
    <col min="101" max="101" width="13" customWidth="1"/>
    <col min="102" max="102" width="7.85546875" customWidth="1"/>
    <col min="103" max="103" width="9" customWidth="1"/>
    <col min="104" max="104" width="14" customWidth="1"/>
    <col min="105" max="105" width="16" customWidth="1"/>
    <col min="106" max="106" width="13" customWidth="1"/>
    <col min="107" max="107" width="7" customWidth="1"/>
    <col min="108" max="108" width="11" customWidth="1"/>
    <col min="109" max="110" width="7.85546875" customWidth="1"/>
    <col min="111" max="112" width="11" customWidth="1"/>
    <col min="113" max="113" width="9" customWidth="1"/>
    <col min="114" max="114" width="13" customWidth="1"/>
    <col min="115" max="115" width="7.85546875" customWidth="1"/>
    <col min="116" max="116" width="9" customWidth="1"/>
    <col min="117" max="117" width="14" customWidth="1"/>
    <col min="118" max="118" width="16" customWidth="1"/>
    <col min="119" max="119" width="13" customWidth="1"/>
    <col min="120" max="120" width="7" customWidth="1"/>
    <col min="121" max="121" width="11" customWidth="1"/>
    <col min="122" max="123" width="7.85546875" customWidth="1"/>
    <col min="124" max="125" width="11" customWidth="1"/>
    <col min="126" max="126" width="9" customWidth="1"/>
    <col min="127" max="127" width="13" customWidth="1"/>
    <col min="128" max="128" width="7.85546875" customWidth="1"/>
    <col min="129" max="129" width="9" customWidth="1"/>
    <col min="130" max="130" width="14" customWidth="1"/>
    <col min="131" max="131" width="16" customWidth="1"/>
    <col min="132" max="132" width="13" customWidth="1"/>
    <col min="133" max="133" width="7" customWidth="1"/>
    <col min="134" max="134" width="11" customWidth="1"/>
    <col min="135" max="136" width="7.85546875" customWidth="1"/>
    <col min="137" max="138" width="11" customWidth="1"/>
    <col min="139" max="139" width="9" customWidth="1"/>
    <col min="140" max="140" width="13" customWidth="1"/>
    <col min="141" max="141" width="7.85546875" customWidth="1"/>
    <col min="142" max="142" width="9" customWidth="1"/>
    <col min="143" max="143" width="14" customWidth="1"/>
    <col min="144" max="144" width="16" customWidth="1"/>
    <col min="145" max="145" width="13" customWidth="1"/>
    <col min="146" max="146" width="7" customWidth="1"/>
    <col min="147" max="147" width="11" customWidth="1"/>
    <col min="148" max="149" width="7.85546875" customWidth="1"/>
    <col min="150" max="151" width="11" customWidth="1"/>
    <col min="152" max="152" width="9" customWidth="1"/>
    <col min="153" max="153" width="13" customWidth="1"/>
    <col min="154" max="154" width="7.85546875" customWidth="1"/>
    <col min="155" max="155" width="9" customWidth="1"/>
    <col min="156" max="156" width="14" customWidth="1"/>
    <col min="157" max="157" width="16" customWidth="1"/>
    <col min="158" max="158" width="13" customWidth="1"/>
    <col min="159" max="159" width="7" customWidth="1"/>
    <col min="160" max="160" width="11" customWidth="1"/>
    <col min="161" max="162" width="7.85546875" customWidth="1"/>
    <col min="163" max="164" width="11" customWidth="1"/>
    <col min="165" max="165" width="9" customWidth="1"/>
    <col min="166" max="166" width="13" customWidth="1"/>
    <col min="167" max="167" width="7.85546875" customWidth="1"/>
    <col min="168" max="168" width="9" customWidth="1"/>
    <col min="169" max="169" width="14" customWidth="1"/>
    <col min="170" max="170" width="16" customWidth="1"/>
    <col min="171" max="180" width="13" customWidth="1"/>
  </cols>
  <sheetData>
    <row r="1" spans="1:180" ht="31.5" customHeight="1" x14ac:dyDescent="0.25">
      <c r="A1" s="59" t="s">
        <v>0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127"/>
      <c r="AF1" s="127"/>
      <c r="AG1" s="127"/>
      <c r="AH1" s="127"/>
      <c r="AI1" s="127"/>
      <c r="AJ1" s="127"/>
      <c r="AK1" s="127"/>
      <c r="AL1" s="127"/>
      <c r="AM1" s="127"/>
      <c r="AN1" s="127"/>
      <c r="AO1" s="127"/>
      <c r="AP1" s="127"/>
      <c r="AQ1" s="127"/>
      <c r="AR1" s="127"/>
      <c r="AS1" s="127"/>
      <c r="AT1" s="127"/>
      <c r="AU1" s="127"/>
      <c r="AV1" s="127"/>
      <c r="AW1" s="127"/>
      <c r="AX1" s="127"/>
      <c r="AY1" s="127"/>
      <c r="AZ1" s="127"/>
      <c r="BA1" s="127"/>
      <c r="BB1" s="127"/>
      <c r="BC1" s="127"/>
      <c r="BD1" s="127"/>
      <c r="BE1" s="127"/>
      <c r="BF1" s="127"/>
      <c r="BG1" s="127"/>
      <c r="BH1" s="127"/>
      <c r="BI1" s="127"/>
      <c r="BJ1" s="127"/>
      <c r="BK1" s="127"/>
      <c r="BL1" s="127"/>
      <c r="BM1" s="127"/>
      <c r="BN1" s="127"/>
      <c r="BO1" s="127"/>
      <c r="BP1" s="127"/>
      <c r="BQ1" s="127"/>
      <c r="BR1" s="127"/>
      <c r="BS1" s="127"/>
      <c r="BT1" s="127"/>
      <c r="BU1" s="127"/>
      <c r="BV1" s="127"/>
      <c r="BW1" s="127"/>
      <c r="BX1" s="127"/>
      <c r="BY1" s="127"/>
      <c r="BZ1" s="127"/>
      <c r="CA1" s="127"/>
      <c r="CB1" s="127"/>
      <c r="CC1" s="127"/>
      <c r="CD1" s="127"/>
      <c r="CE1" s="127"/>
      <c r="CF1" s="127"/>
      <c r="CG1" s="127"/>
      <c r="CH1" s="127"/>
      <c r="CI1" s="127"/>
      <c r="CJ1" s="127"/>
      <c r="CK1" s="127"/>
      <c r="CL1" s="127"/>
      <c r="CM1" s="127"/>
      <c r="CN1" s="127"/>
      <c r="CO1" s="127"/>
      <c r="CP1" s="127"/>
      <c r="CQ1" s="127"/>
      <c r="CR1" s="127"/>
      <c r="CS1" s="127"/>
      <c r="CT1" s="127"/>
      <c r="CU1" s="127"/>
      <c r="CV1" s="127"/>
      <c r="CW1" s="127"/>
      <c r="CX1" s="127"/>
      <c r="CY1" s="127"/>
      <c r="CZ1" s="127"/>
      <c r="DA1" s="127"/>
      <c r="DB1" s="127"/>
      <c r="DC1" s="127"/>
      <c r="DD1" s="127"/>
      <c r="DE1" s="127"/>
      <c r="DF1" s="127"/>
      <c r="DG1" s="127"/>
      <c r="DH1" s="127"/>
      <c r="DI1" s="127"/>
      <c r="DJ1" s="127"/>
      <c r="DK1" s="127"/>
      <c r="DL1" s="127"/>
      <c r="DM1" s="127"/>
      <c r="DN1" s="127"/>
      <c r="DO1" s="127"/>
      <c r="DP1" s="127"/>
      <c r="DQ1" s="127"/>
      <c r="DR1" s="127"/>
      <c r="DS1" s="127"/>
      <c r="DT1" s="127"/>
      <c r="DU1" s="127"/>
      <c r="DV1" s="127"/>
      <c r="DW1" s="127"/>
      <c r="DX1" s="127"/>
      <c r="DY1" s="127"/>
      <c r="DZ1" s="127"/>
      <c r="EA1" s="127"/>
      <c r="EB1" s="127"/>
      <c r="EC1" s="127"/>
      <c r="ED1" s="127"/>
      <c r="EE1" s="127"/>
      <c r="EF1" s="127"/>
      <c r="EG1" s="127"/>
      <c r="EH1" s="127"/>
      <c r="EI1" s="127"/>
      <c r="EJ1" s="127"/>
      <c r="EK1" s="127"/>
      <c r="EL1" s="127"/>
      <c r="EM1" s="127"/>
      <c r="EN1" s="127"/>
      <c r="EO1" s="127"/>
      <c r="EP1" s="127"/>
      <c r="EQ1" s="127"/>
      <c r="ER1" s="127"/>
      <c r="ES1" s="127"/>
      <c r="ET1" s="127"/>
      <c r="EU1" s="127"/>
      <c r="EV1" s="127"/>
      <c r="EW1" s="127"/>
      <c r="EX1" s="127"/>
      <c r="EY1" s="127"/>
      <c r="EZ1" s="127"/>
      <c r="FA1" s="127"/>
      <c r="FB1" s="127"/>
      <c r="FC1" s="127"/>
      <c r="FD1" s="127"/>
      <c r="FE1" s="127"/>
      <c r="FF1" s="127"/>
      <c r="FG1" s="127"/>
      <c r="FH1" s="127"/>
      <c r="FI1" s="127"/>
      <c r="FJ1" s="127"/>
      <c r="FK1" s="127"/>
      <c r="FL1" s="127"/>
      <c r="FM1" s="127"/>
      <c r="FN1" s="127"/>
      <c r="FO1" s="127"/>
      <c r="FP1" s="127"/>
      <c r="FQ1" s="127"/>
      <c r="FR1" s="127"/>
      <c r="FS1" s="127"/>
      <c r="FT1" s="127"/>
      <c r="FU1" s="127"/>
      <c r="FV1" s="127"/>
      <c r="FW1" s="127"/>
      <c r="FX1" s="128"/>
    </row>
    <row r="2" spans="1:180" ht="18" customHeight="1" x14ac:dyDescent="0.25">
      <c r="A2" s="60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6"/>
      <c r="M2" s="1" t="s">
        <v>2</v>
      </c>
      <c r="N2" s="1" t="s">
        <v>3</v>
      </c>
      <c r="O2" s="61" t="s">
        <v>4</v>
      </c>
      <c r="P2" s="123"/>
      <c r="Q2" s="123"/>
      <c r="R2" s="123"/>
      <c r="S2" s="123"/>
      <c r="T2" s="123"/>
      <c r="U2" s="123"/>
      <c r="V2" s="123"/>
      <c r="W2" s="123"/>
      <c r="X2" s="123"/>
      <c r="Y2" s="123"/>
      <c r="Z2" s="123"/>
      <c r="AA2" s="124"/>
      <c r="AB2" s="62" t="s">
        <v>5</v>
      </c>
      <c r="AC2" s="121"/>
      <c r="AD2" s="121"/>
      <c r="AE2" s="121"/>
      <c r="AF2" s="121"/>
      <c r="AG2" s="121"/>
      <c r="AH2" s="121"/>
      <c r="AI2" s="121"/>
      <c r="AJ2" s="121"/>
      <c r="AK2" s="121"/>
      <c r="AL2" s="121"/>
      <c r="AM2" s="121"/>
      <c r="AN2" s="122"/>
      <c r="AO2" s="63" t="s">
        <v>6</v>
      </c>
      <c r="AP2" s="119"/>
      <c r="AQ2" s="119"/>
      <c r="AR2" s="119"/>
      <c r="AS2" s="119"/>
      <c r="AT2" s="119"/>
      <c r="AU2" s="119"/>
      <c r="AV2" s="119"/>
      <c r="AW2" s="119"/>
      <c r="AX2" s="119"/>
      <c r="AY2" s="119"/>
      <c r="AZ2" s="119"/>
      <c r="BA2" s="120"/>
      <c r="BB2" s="64" t="s">
        <v>7</v>
      </c>
      <c r="BC2" s="117"/>
      <c r="BD2" s="117"/>
      <c r="BE2" s="117"/>
      <c r="BF2" s="117"/>
      <c r="BG2" s="117"/>
      <c r="BH2" s="117"/>
      <c r="BI2" s="117"/>
      <c r="BJ2" s="117"/>
      <c r="BK2" s="117"/>
      <c r="BL2" s="117"/>
      <c r="BM2" s="117"/>
      <c r="BN2" s="118"/>
      <c r="BO2" s="65" t="s">
        <v>8</v>
      </c>
      <c r="BP2" s="115"/>
      <c r="BQ2" s="115"/>
      <c r="BR2" s="115"/>
      <c r="BS2" s="115"/>
      <c r="BT2" s="115"/>
      <c r="BU2" s="115"/>
      <c r="BV2" s="115"/>
      <c r="BW2" s="115"/>
      <c r="BX2" s="115"/>
      <c r="BY2" s="115"/>
      <c r="BZ2" s="115"/>
      <c r="CA2" s="116"/>
      <c r="CB2" s="51" t="s">
        <v>9</v>
      </c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  <c r="CN2" s="114"/>
      <c r="CO2" s="52" t="s">
        <v>10</v>
      </c>
      <c r="CP2" s="111"/>
      <c r="CQ2" s="111"/>
      <c r="CR2" s="111"/>
      <c r="CS2" s="111"/>
      <c r="CT2" s="111"/>
      <c r="CU2" s="111"/>
      <c r="CV2" s="111"/>
      <c r="CW2" s="111"/>
      <c r="CX2" s="111"/>
      <c r="CY2" s="111"/>
      <c r="CZ2" s="111"/>
      <c r="DA2" s="112"/>
      <c r="DB2" s="53" t="s">
        <v>11</v>
      </c>
      <c r="DC2" s="109"/>
      <c r="DD2" s="109"/>
      <c r="DE2" s="109"/>
      <c r="DF2" s="109"/>
      <c r="DG2" s="109"/>
      <c r="DH2" s="109"/>
      <c r="DI2" s="109"/>
      <c r="DJ2" s="109"/>
      <c r="DK2" s="109"/>
      <c r="DL2" s="109"/>
      <c r="DM2" s="109"/>
      <c r="DN2" s="110"/>
      <c r="DO2" s="54" t="s">
        <v>12</v>
      </c>
      <c r="DP2" s="107"/>
      <c r="DQ2" s="107"/>
      <c r="DR2" s="107"/>
      <c r="DS2" s="107"/>
      <c r="DT2" s="107"/>
      <c r="DU2" s="107"/>
      <c r="DV2" s="107"/>
      <c r="DW2" s="107"/>
      <c r="DX2" s="107"/>
      <c r="DY2" s="107"/>
      <c r="DZ2" s="107"/>
      <c r="EA2" s="108"/>
      <c r="EB2" s="55" t="s">
        <v>13</v>
      </c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6"/>
      <c r="EO2" s="56" t="s">
        <v>14</v>
      </c>
      <c r="EP2" s="133"/>
      <c r="EQ2" s="133"/>
      <c r="ER2" s="133"/>
      <c r="ES2" s="133"/>
      <c r="ET2" s="133"/>
      <c r="EU2" s="133"/>
      <c r="EV2" s="133"/>
      <c r="EW2" s="133"/>
      <c r="EX2" s="133"/>
      <c r="EY2" s="133"/>
      <c r="EZ2" s="133"/>
      <c r="FA2" s="134"/>
      <c r="FB2" s="57" t="s">
        <v>15</v>
      </c>
      <c r="FC2" s="131"/>
      <c r="FD2" s="131"/>
      <c r="FE2" s="131"/>
      <c r="FF2" s="131"/>
      <c r="FG2" s="131"/>
      <c r="FH2" s="131"/>
      <c r="FI2" s="131"/>
      <c r="FJ2" s="131"/>
      <c r="FK2" s="131"/>
      <c r="FL2" s="131"/>
      <c r="FM2" s="131"/>
      <c r="FN2" s="132"/>
      <c r="FO2" s="58" t="s">
        <v>16</v>
      </c>
      <c r="FP2" s="129"/>
      <c r="FQ2" s="129"/>
      <c r="FR2" s="129"/>
      <c r="FS2" s="129"/>
      <c r="FT2" s="129"/>
      <c r="FU2" s="129"/>
      <c r="FV2" s="130"/>
      <c r="FW2" s="2" t="s">
        <v>17</v>
      </c>
      <c r="FX2" s="1" t="s">
        <v>18</v>
      </c>
    </row>
    <row r="3" spans="1:180" ht="48" customHeight="1" x14ac:dyDescent="0.25">
      <c r="A3" s="3" t="s">
        <v>19</v>
      </c>
      <c r="B3" s="4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/>
      <c r="I3" s="5" t="s">
        <v>26</v>
      </c>
      <c r="J3" s="5" t="s">
        <v>27</v>
      </c>
      <c r="K3" s="5" t="s">
        <v>28</v>
      </c>
      <c r="L3" s="5" t="s">
        <v>29</v>
      </c>
      <c r="M3" s="1" t="s">
        <v>30</v>
      </c>
      <c r="N3" s="1" t="s">
        <v>31</v>
      </c>
      <c r="O3" s="6" t="s">
        <v>32</v>
      </c>
      <c r="P3" s="6" t="s">
        <v>33</v>
      </c>
      <c r="Q3" s="6" t="s">
        <v>34</v>
      </c>
      <c r="R3" s="6" t="s">
        <v>35</v>
      </c>
      <c r="S3" s="6" t="s">
        <v>36</v>
      </c>
      <c r="T3" s="6" t="s">
        <v>37</v>
      </c>
      <c r="U3" s="6" t="s">
        <v>38</v>
      </c>
      <c r="V3" s="6" t="s">
        <v>39</v>
      </c>
      <c r="W3" s="6" t="s">
        <v>40</v>
      </c>
      <c r="X3" s="6" t="s">
        <v>41</v>
      </c>
      <c r="Y3" s="6" t="s">
        <v>42</v>
      </c>
      <c r="Z3" s="6" t="s">
        <v>43</v>
      </c>
      <c r="AA3" s="6" t="s">
        <v>44</v>
      </c>
      <c r="AB3" s="7" t="s">
        <v>32</v>
      </c>
      <c r="AC3" s="7" t="s">
        <v>33</v>
      </c>
      <c r="AD3" s="7" t="s">
        <v>34</v>
      </c>
      <c r="AE3" s="7" t="s">
        <v>35</v>
      </c>
      <c r="AF3" s="7" t="s">
        <v>36</v>
      </c>
      <c r="AG3" s="7" t="s">
        <v>37</v>
      </c>
      <c r="AH3" s="7" t="s">
        <v>38</v>
      </c>
      <c r="AI3" s="7" t="s">
        <v>39</v>
      </c>
      <c r="AJ3" s="7" t="s">
        <v>40</v>
      </c>
      <c r="AK3" s="7" t="s">
        <v>41</v>
      </c>
      <c r="AL3" s="7" t="s">
        <v>42</v>
      </c>
      <c r="AM3" s="7" t="s">
        <v>43</v>
      </c>
      <c r="AN3" s="7" t="s">
        <v>44</v>
      </c>
      <c r="AO3" s="8" t="s">
        <v>32</v>
      </c>
      <c r="AP3" s="8" t="s">
        <v>33</v>
      </c>
      <c r="AQ3" s="8" t="s">
        <v>34</v>
      </c>
      <c r="AR3" s="8" t="s">
        <v>35</v>
      </c>
      <c r="AS3" s="8" t="s">
        <v>36</v>
      </c>
      <c r="AT3" s="8" t="s">
        <v>37</v>
      </c>
      <c r="AU3" s="8" t="s">
        <v>38</v>
      </c>
      <c r="AV3" s="8" t="s">
        <v>39</v>
      </c>
      <c r="AW3" s="8" t="s">
        <v>40</v>
      </c>
      <c r="AX3" s="8" t="s">
        <v>41</v>
      </c>
      <c r="AY3" s="8" t="s">
        <v>42</v>
      </c>
      <c r="AZ3" s="8" t="s">
        <v>43</v>
      </c>
      <c r="BA3" s="8" t="s">
        <v>44</v>
      </c>
      <c r="BB3" s="9" t="s">
        <v>32</v>
      </c>
      <c r="BC3" s="9" t="s">
        <v>33</v>
      </c>
      <c r="BD3" s="9" t="s">
        <v>34</v>
      </c>
      <c r="BE3" s="9" t="s">
        <v>35</v>
      </c>
      <c r="BF3" s="9" t="s">
        <v>36</v>
      </c>
      <c r="BG3" s="9" t="s">
        <v>37</v>
      </c>
      <c r="BH3" s="9" t="s">
        <v>38</v>
      </c>
      <c r="BI3" s="9" t="s">
        <v>39</v>
      </c>
      <c r="BJ3" s="9" t="s">
        <v>40</v>
      </c>
      <c r="BK3" s="9" t="s">
        <v>41</v>
      </c>
      <c r="BL3" s="9" t="s">
        <v>42</v>
      </c>
      <c r="BM3" s="9" t="s">
        <v>43</v>
      </c>
      <c r="BN3" s="9" t="s">
        <v>44</v>
      </c>
      <c r="BO3" s="10" t="s">
        <v>32</v>
      </c>
      <c r="BP3" s="10" t="s">
        <v>33</v>
      </c>
      <c r="BQ3" s="10" t="s">
        <v>34</v>
      </c>
      <c r="BR3" s="10" t="s">
        <v>35</v>
      </c>
      <c r="BS3" s="10" t="s">
        <v>36</v>
      </c>
      <c r="BT3" s="10" t="s">
        <v>37</v>
      </c>
      <c r="BU3" s="10" t="s">
        <v>38</v>
      </c>
      <c r="BV3" s="10" t="s">
        <v>39</v>
      </c>
      <c r="BW3" s="10" t="s">
        <v>40</v>
      </c>
      <c r="BX3" s="10" t="s">
        <v>41</v>
      </c>
      <c r="BY3" s="10" t="s">
        <v>42</v>
      </c>
      <c r="BZ3" s="10" t="s">
        <v>43</v>
      </c>
      <c r="CA3" s="10" t="s">
        <v>44</v>
      </c>
      <c r="CB3" s="11" t="s">
        <v>32</v>
      </c>
      <c r="CC3" s="11" t="s">
        <v>33</v>
      </c>
      <c r="CD3" s="11" t="s">
        <v>34</v>
      </c>
      <c r="CE3" s="11" t="s">
        <v>35</v>
      </c>
      <c r="CF3" s="11" t="s">
        <v>36</v>
      </c>
      <c r="CG3" s="11" t="s">
        <v>37</v>
      </c>
      <c r="CH3" s="11" t="s">
        <v>38</v>
      </c>
      <c r="CI3" s="11" t="s">
        <v>39</v>
      </c>
      <c r="CJ3" s="11" t="s">
        <v>40</v>
      </c>
      <c r="CK3" s="11" t="s">
        <v>41</v>
      </c>
      <c r="CL3" s="11" t="s">
        <v>42</v>
      </c>
      <c r="CM3" s="11" t="s">
        <v>43</v>
      </c>
      <c r="CN3" s="11" t="s">
        <v>44</v>
      </c>
      <c r="CO3" s="12" t="s">
        <v>32</v>
      </c>
      <c r="CP3" s="12" t="s">
        <v>33</v>
      </c>
      <c r="CQ3" s="12" t="s">
        <v>34</v>
      </c>
      <c r="CR3" s="12" t="s">
        <v>35</v>
      </c>
      <c r="CS3" s="12" t="s">
        <v>36</v>
      </c>
      <c r="CT3" s="12" t="s">
        <v>37</v>
      </c>
      <c r="CU3" s="12" t="s">
        <v>38</v>
      </c>
      <c r="CV3" s="12" t="s">
        <v>39</v>
      </c>
      <c r="CW3" s="12" t="s">
        <v>40</v>
      </c>
      <c r="CX3" s="12" t="s">
        <v>41</v>
      </c>
      <c r="CY3" s="12" t="s">
        <v>42</v>
      </c>
      <c r="CZ3" s="12" t="s">
        <v>43</v>
      </c>
      <c r="DA3" s="12" t="s">
        <v>44</v>
      </c>
      <c r="DB3" s="13" t="s">
        <v>32</v>
      </c>
      <c r="DC3" s="13" t="s">
        <v>33</v>
      </c>
      <c r="DD3" s="13" t="s">
        <v>34</v>
      </c>
      <c r="DE3" s="13" t="s">
        <v>35</v>
      </c>
      <c r="DF3" s="13" t="s">
        <v>36</v>
      </c>
      <c r="DG3" s="13" t="s">
        <v>37</v>
      </c>
      <c r="DH3" s="13" t="s">
        <v>38</v>
      </c>
      <c r="DI3" s="13" t="s">
        <v>39</v>
      </c>
      <c r="DJ3" s="13" t="s">
        <v>40</v>
      </c>
      <c r="DK3" s="13" t="s">
        <v>41</v>
      </c>
      <c r="DL3" s="13" t="s">
        <v>42</v>
      </c>
      <c r="DM3" s="13" t="s">
        <v>43</v>
      </c>
      <c r="DN3" s="13" t="s">
        <v>44</v>
      </c>
      <c r="DO3" s="14" t="s">
        <v>32</v>
      </c>
      <c r="DP3" s="14" t="s">
        <v>33</v>
      </c>
      <c r="DQ3" s="14" t="s">
        <v>34</v>
      </c>
      <c r="DR3" s="14" t="s">
        <v>35</v>
      </c>
      <c r="DS3" s="14" t="s">
        <v>36</v>
      </c>
      <c r="DT3" s="14" t="s">
        <v>37</v>
      </c>
      <c r="DU3" s="14" t="s">
        <v>38</v>
      </c>
      <c r="DV3" s="14" t="s">
        <v>39</v>
      </c>
      <c r="DW3" s="14" t="s">
        <v>40</v>
      </c>
      <c r="DX3" s="14" t="s">
        <v>41</v>
      </c>
      <c r="DY3" s="14" t="s">
        <v>42</v>
      </c>
      <c r="DZ3" s="14" t="s">
        <v>43</v>
      </c>
      <c r="EA3" s="14" t="s">
        <v>44</v>
      </c>
      <c r="EB3" s="15" t="s">
        <v>32</v>
      </c>
      <c r="EC3" s="15" t="s">
        <v>33</v>
      </c>
      <c r="ED3" s="15" t="s">
        <v>34</v>
      </c>
      <c r="EE3" s="15" t="s">
        <v>35</v>
      </c>
      <c r="EF3" s="15" t="s">
        <v>36</v>
      </c>
      <c r="EG3" s="15" t="s">
        <v>37</v>
      </c>
      <c r="EH3" s="15" t="s">
        <v>38</v>
      </c>
      <c r="EI3" s="15" t="s">
        <v>39</v>
      </c>
      <c r="EJ3" s="15" t="s">
        <v>40</v>
      </c>
      <c r="EK3" s="15" t="s">
        <v>41</v>
      </c>
      <c r="EL3" s="15" t="s">
        <v>42</v>
      </c>
      <c r="EM3" s="15" t="s">
        <v>43</v>
      </c>
      <c r="EN3" s="15" t="s">
        <v>44</v>
      </c>
      <c r="EO3" s="16" t="s">
        <v>32</v>
      </c>
      <c r="EP3" s="16" t="s">
        <v>33</v>
      </c>
      <c r="EQ3" s="16" t="s">
        <v>34</v>
      </c>
      <c r="ER3" s="16" t="s">
        <v>35</v>
      </c>
      <c r="ES3" s="16" t="s">
        <v>36</v>
      </c>
      <c r="ET3" s="16" t="s">
        <v>37</v>
      </c>
      <c r="EU3" s="16" t="s">
        <v>38</v>
      </c>
      <c r="EV3" s="16" t="s">
        <v>39</v>
      </c>
      <c r="EW3" s="16" t="s">
        <v>40</v>
      </c>
      <c r="EX3" s="16" t="s">
        <v>41</v>
      </c>
      <c r="EY3" s="16" t="s">
        <v>42</v>
      </c>
      <c r="EZ3" s="16" t="s">
        <v>43</v>
      </c>
      <c r="FA3" s="16" t="s">
        <v>44</v>
      </c>
      <c r="FB3" s="17" t="s">
        <v>32</v>
      </c>
      <c r="FC3" s="17" t="s">
        <v>33</v>
      </c>
      <c r="FD3" s="17" t="s">
        <v>34</v>
      </c>
      <c r="FE3" s="17" t="s">
        <v>35</v>
      </c>
      <c r="FF3" s="17" t="s">
        <v>36</v>
      </c>
      <c r="FG3" s="17" t="s">
        <v>37</v>
      </c>
      <c r="FH3" s="17" t="s">
        <v>38</v>
      </c>
      <c r="FI3" s="17" t="s">
        <v>39</v>
      </c>
      <c r="FJ3" s="17" t="s">
        <v>40</v>
      </c>
      <c r="FK3" s="17" t="s">
        <v>41</v>
      </c>
      <c r="FL3" s="17" t="s">
        <v>42</v>
      </c>
      <c r="FM3" s="17" t="s">
        <v>43</v>
      </c>
      <c r="FN3" s="17" t="s">
        <v>44</v>
      </c>
      <c r="FO3" s="18" t="s">
        <v>45</v>
      </c>
      <c r="FP3" s="18" t="s">
        <v>46</v>
      </c>
      <c r="FQ3" s="18" t="s">
        <v>47</v>
      </c>
      <c r="FR3" s="18" t="s">
        <v>48</v>
      </c>
      <c r="FS3" s="18" t="s">
        <v>49</v>
      </c>
      <c r="FT3" s="18" t="s">
        <v>50</v>
      </c>
      <c r="FU3" s="18" t="s">
        <v>51</v>
      </c>
      <c r="FV3" s="18" t="s">
        <v>52</v>
      </c>
      <c r="FW3" s="2" t="s">
        <v>53</v>
      </c>
      <c r="FX3" s="1" t="s">
        <v>54</v>
      </c>
    </row>
    <row r="4" spans="1:180" ht="18" customHeight="1" x14ac:dyDescent="0.25">
      <c r="A4" s="3" t="str">
        <f>IF(C4&lt;&gt;"","DRG-"&amp;TEXT(1,"000"),"")</f>
        <v>DRG-001</v>
      </c>
      <c r="B4" s="19" t="s">
        <v>55</v>
      </c>
      <c r="C4" s="20" t="s">
        <v>55</v>
      </c>
      <c r="D4" s="20" t="s">
        <v>56</v>
      </c>
      <c r="E4" s="20" t="s">
        <v>57</v>
      </c>
      <c r="F4" s="20" t="s">
        <v>58</v>
      </c>
      <c r="G4" s="21" t="s">
        <v>59</v>
      </c>
      <c r="H4" s="21"/>
      <c r="I4" s="22">
        <v>0.95833333333333337</v>
      </c>
      <c r="J4" s="21" t="s">
        <v>60</v>
      </c>
      <c r="K4" s="21">
        <v>2</v>
      </c>
      <c r="L4" s="21">
        <v>4</v>
      </c>
      <c r="M4" s="23" t="str">
        <f t="shared" ref="M4:M605" si="0">IF(N4&gt;=4,"✔ Completed","✘ Pending")</f>
        <v>✔ Completed</v>
      </c>
      <c r="N4" s="23">
        <f t="shared" ref="N4:N605" si="1">(P4="✔")+(AC4="✔")+(AP4="✔")+(BC4="✔")+(BP4="✔")+(CC4="✔")+(CP4="✔")+(DC4="✔")+(DP4="✔")+(EC4="✔")+(EP4="✔")+(FC4="✔")</f>
        <v>4</v>
      </c>
      <c r="O4" s="25">
        <v>46028</v>
      </c>
      <c r="P4" s="26" t="s">
        <v>61</v>
      </c>
      <c r="Q4" s="24"/>
      <c r="R4" s="24">
        <v>2</v>
      </c>
      <c r="S4" s="24">
        <v>0</v>
      </c>
      <c r="T4" s="24">
        <v>1</v>
      </c>
      <c r="U4" s="24">
        <v>1</v>
      </c>
      <c r="V4" s="24" t="s">
        <v>62</v>
      </c>
      <c r="W4" s="24" t="s">
        <v>63</v>
      </c>
      <c r="X4" s="24">
        <v>10</v>
      </c>
      <c r="Y4" s="24">
        <v>5</v>
      </c>
      <c r="Z4" s="24"/>
      <c r="AA4" s="24"/>
      <c r="AB4" s="25"/>
      <c r="AC4" s="26" t="s">
        <v>61</v>
      </c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5"/>
      <c r="AP4" s="26" t="s">
        <v>61</v>
      </c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5"/>
      <c r="BC4" s="26" t="s">
        <v>61</v>
      </c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5"/>
      <c r="BP4" s="26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5"/>
      <c r="CC4" s="26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5"/>
      <c r="CP4" s="26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5"/>
      <c r="DC4" s="26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5"/>
      <c r="DP4" s="26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5"/>
      <c r="EC4" s="26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5"/>
      <c r="EP4" s="26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5"/>
      <c r="FC4" s="26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7">
        <f t="shared" ref="FO4:FV4" si="2">IFERROR(R4*1,0)+IFERROR(AE4*1,0)+IFERROR(AR4*1,0)+IFERROR(BE4*1,0)+IFERROR(BR4*1,0)+IFERROR(CE4*1,0)+IFERROR(CR4*1,0)+IFERROR(DE4*1,0)+IFERROR(DR4*1,0)+IFERROR(EE4*1,0)+IFERROR(ER4*1,0)+IFERROR(FE4*1,0)</f>
        <v>2</v>
      </c>
      <c r="FP4" s="27">
        <f t="shared" si="2"/>
        <v>0</v>
      </c>
      <c r="FQ4" s="27">
        <f t="shared" si="2"/>
        <v>1</v>
      </c>
      <c r="FR4" s="27">
        <f t="shared" si="2"/>
        <v>1</v>
      </c>
      <c r="FS4" s="27">
        <f t="shared" si="2"/>
        <v>0</v>
      </c>
      <c r="FT4" s="27">
        <f t="shared" si="2"/>
        <v>0</v>
      </c>
      <c r="FU4" s="27">
        <f t="shared" si="2"/>
        <v>10</v>
      </c>
      <c r="FV4" s="27">
        <f t="shared" si="2"/>
        <v>5</v>
      </c>
      <c r="FW4" s="28"/>
      <c r="FX4" s="29">
        <f t="shared" ref="FX4:FX605" si="3">N4+IFERROR(FW4*1,0)</f>
        <v>4</v>
      </c>
    </row>
    <row r="5" spans="1:180" ht="18" customHeight="1" x14ac:dyDescent="0.25">
      <c r="A5" s="3" t="str">
        <f>IF(C5&lt;&gt;"","DRG-"&amp;TEXT(2,"000"),"")</f>
        <v>DRG-002</v>
      </c>
      <c r="B5" s="19" t="s">
        <v>55</v>
      </c>
      <c r="C5" s="20" t="s">
        <v>55</v>
      </c>
      <c r="D5" s="20" t="s">
        <v>56</v>
      </c>
      <c r="E5" s="20" t="s">
        <v>64</v>
      </c>
      <c r="F5" s="20" t="s">
        <v>58</v>
      </c>
      <c r="G5" s="21"/>
      <c r="H5" s="21"/>
      <c r="I5" s="22">
        <v>0.95833333333333337</v>
      </c>
      <c r="J5" s="21"/>
      <c r="K5" s="21"/>
      <c r="L5" s="21">
        <v>4</v>
      </c>
      <c r="M5" s="30" t="str">
        <f t="shared" si="0"/>
        <v>✘ Pending</v>
      </c>
      <c r="N5" s="30">
        <f t="shared" si="1"/>
        <v>0</v>
      </c>
      <c r="O5" s="31"/>
      <c r="P5" s="32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1"/>
      <c r="AC5" s="32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1"/>
      <c r="AP5" s="32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1"/>
      <c r="BC5" s="32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1"/>
      <c r="BP5" s="32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1"/>
      <c r="CC5" s="32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1"/>
      <c r="CP5" s="32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1"/>
      <c r="DC5" s="32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1"/>
      <c r="DP5" s="32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1"/>
      <c r="EC5" s="32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1"/>
      <c r="EP5" s="32"/>
      <c r="EQ5" s="33"/>
      <c r="ER5" s="33"/>
      <c r="ES5" s="33"/>
      <c r="ET5" s="33"/>
      <c r="EU5" s="33"/>
      <c r="EV5" s="33"/>
      <c r="EW5" s="33"/>
      <c r="EX5" s="33"/>
      <c r="EY5" s="33"/>
      <c r="EZ5" s="33"/>
      <c r="FA5" s="33"/>
      <c r="FB5" s="31"/>
      <c r="FC5" s="32"/>
      <c r="FD5" s="33"/>
      <c r="FE5" s="33"/>
      <c r="FF5" s="33"/>
      <c r="FG5" s="33"/>
      <c r="FH5" s="33"/>
      <c r="FI5" s="33"/>
      <c r="FJ5" s="33"/>
      <c r="FK5" s="33"/>
      <c r="FL5" s="33"/>
      <c r="FM5" s="33"/>
      <c r="FN5" s="33"/>
      <c r="FO5" s="34">
        <f t="shared" ref="FO5:FV5" si="4">IFERROR(R5*1,0)+IFERROR(AE5*1,0)+IFERROR(AR5*1,0)+IFERROR(BE5*1,0)+IFERROR(BR5*1,0)+IFERROR(CE5*1,0)+IFERROR(CR5*1,0)+IFERROR(DE5*1,0)+IFERROR(DR5*1,0)+IFERROR(EE5*1,0)+IFERROR(ER5*1,0)+IFERROR(FE5*1,0)</f>
        <v>0</v>
      </c>
      <c r="FP5" s="34">
        <f t="shared" si="4"/>
        <v>0</v>
      </c>
      <c r="FQ5" s="34">
        <f t="shared" si="4"/>
        <v>0</v>
      </c>
      <c r="FR5" s="34">
        <f t="shared" si="4"/>
        <v>0</v>
      </c>
      <c r="FS5" s="34">
        <f t="shared" si="4"/>
        <v>0</v>
      </c>
      <c r="FT5" s="34">
        <f t="shared" si="4"/>
        <v>0</v>
      </c>
      <c r="FU5" s="34">
        <f t="shared" si="4"/>
        <v>0</v>
      </c>
      <c r="FV5" s="34">
        <f t="shared" si="4"/>
        <v>0</v>
      </c>
      <c r="FW5" s="28"/>
      <c r="FX5" s="29">
        <f t="shared" si="3"/>
        <v>0</v>
      </c>
    </row>
    <row r="6" spans="1:180" ht="18" customHeight="1" x14ac:dyDescent="0.25">
      <c r="A6" s="3" t="str">
        <f>IF(C6&lt;&gt;"","DRG-"&amp;TEXT(3,"000"),"")</f>
        <v>DRG-003</v>
      </c>
      <c r="B6" s="19" t="s">
        <v>55</v>
      </c>
      <c r="C6" s="20" t="s">
        <v>55</v>
      </c>
      <c r="D6" s="20" t="s">
        <v>56</v>
      </c>
      <c r="E6" s="20" t="s">
        <v>65</v>
      </c>
      <c r="F6" s="20" t="s">
        <v>58</v>
      </c>
      <c r="G6" s="21"/>
      <c r="H6" s="21"/>
      <c r="I6" s="22">
        <v>0.95833333333333337</v>
      </c>
      <c r="J6" s="21"/>
      <c r="K6" s="21"/>
      <c r="L6" s="21">
        <v>4</v>
      </c>
      <c r="M6" s="23" t="str">
        <f t="shared" si="0"/>
        <v>✘ Pending</v>
      </c>
      <c r="N6" s="23">
        <f t="shared" si="1"/>
        <v>0</v>
      </c>
      <c r="O6" s="25"/>
      <c r="P6" s="26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5"/>
      <c r="AC6" s="26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5"/>
      <c r="AP6" s="26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5"/>
      <c r="BC6" s="26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5"/>
      <c r="BP6" s="26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5"/>
      <c r="CC6" s="26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5"/>
      <c r="CP6" s="26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5"/>
      <c r="DC6" s="26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5"/>
      <c r="DP6" s="26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5"/>
      <c r="EC6" s="26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5"/>
      <c r="EP6" s="26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5"/>
      <c r="FC6" s="26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7">
        <f t="shared" ref="FO6:FV6" si="5">IFERROR(R6*1,0)+IFERROR(AE6*1,0)+IFERROR(AR6*1,0)+IFERROR(BE6*1,0)+IFERROR(BR6*1,0)+IFERROR(CE6*1,0)+IFERROR(CR6*1,0)+IFERROR(DE6*1,0)+IFERROR(DR6*1,0)+IFERROR(EE6*1,0)+IFERROR(ER6*1,0)+IFERROR(FE6*1,0)</f>
        <v>0</v>
      </c>
      <c r="FP6" s="27">
        <f t="shared" si="5"/>
        <v>0</v>
      </c>
      <c r="FQ6" s="27">
        <f t="shared" si="5"/>
        <v>0</v>
      </c>
      <c r="FR6" s="27">
        <f t="shared" si="5"/>
        <v>0</v>
      </c>
      <c r="FS6" s="27">
        <f t="shared" si="5"/>
        <v>0</v>
      </c>
      <c r="FT6" s="27">
        <f t="shared" si="5"/>
        <v>0</v>
      </c>
      <c r="FU6" s="27">
        <f t="shared" si="5"/>
        <v>0</v>
      </c>
      <c r="FV6" s="27">
        <f t="shared" si="5"/>
        <v>0</v>
      </c>
      <c r="FW6" s="28"/>
      <c r="FX6" s="29">
        <f t="shared" si="3"/>
        <v>0</v>
      </c>
    </row>
    <row r="7" spans="1:180" ht="18" customHeight="1" x14ac:dyDescent="0.25">
      <c r="A7" s="3" t="str">
        <f>IF(C7&lt;&gt;"","DRG-"&amp;TEXT(4,"000"),"")</f>
        <v>DRG-004</v>
      </c>
      <c r="B7" s="19" t="s">
        <v>55</v>
      </c>
      <c r="C7" s="20" t="s">
        <v>55</v>
      </c>
      <c r="D7" s="20" t="s">
        <v>56</v>
      </c>
      <c r="E7" s="20" t="s">
        <v>66</v>
      </c>
      <c r="F7" s="20" t="s">
        <v>58</v>
      </c>
      <c r="G7" s="21"/>
      <c r="H7" s="21"/>
      <c r="I7" s="22">
        <v>0.95833333333333337</v>
      </c>
      <c r="J7" s="21"/>
      <c r="K7" s="21"/>
      <c r="L7" s="21">
        <v>4</v>
      </c>
      <c r="M7" s="30" t="str">
        <f t="shared" si="0"/>
        <v>✘ Pending</v>
      </c>
      <c r="N7" s="30">
        <f t="shared" si="1"/>
        <v>0</v>
      </c>
      <c r="O7" s="31"/>
      <c r="P7" s="32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1"/>
      <c r="AC7" s="32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1"/>
      <c r="AP7" s="32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1"/>
      <c r="BC7" s="32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1"/>
      <c r="BP7" s="32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1"/>
      <c r="CC7" s="32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1"/>
      <c r="CP7" s="32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1"/>
      <c r="DC7" s="32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1"/>
      <c r="DP7" s="32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1"/>
      <c r="EC7" s="32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1"/>
      <c r="EP7" s="32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1"/>
      <c r="FC7" s="32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4">
        <f t="shared" ref="FO7:FV7" si="6">IFERROR(R7*1,0)+IFERROR(AE7*1,0)+IFERROR(AR7*1,0)+IFERROR(BE7*1,0)+IFERROR(BR7*1,0)+IFERROR(CE7*1,0)+IFERROR(CR7*1,0)+IFERROR(DE7*1,0)+IFERROR(DR7*1,0)+IFERROR(EE7*1,0)+IFERROR(ER7*1,0)+IFERROR(FE7*1,0)</f>
        <v>0</v>
      </c>
      <c r="FP7" s="34">
        <f t="shared" si="6"/>
        <v>0</v>
      </c>
      <c r="FQ7" s="34">
        <f t="shared" si="6"/>
        <v>0</v>
      </c>
      <c r="FR7" s="34">
        <f t="shared" si="6"/>
        <v>0</v>
      </c>
      <c r="FS7" s="34">
        <f t="shared" si="6"/>
        <v>0</v>
      </c>
      <c r="FT7" s="34">
        <f t="shared" si="6"/>
        <v>0</v>
      </c>
      <c r="FU7" s="34">
        <f t="shared" si="6"/>
        <v>0</v>
      </c>
      <c r="FV7" s="34">
        <f t="shared" si="6"/>
        <v>0</v>
      </c>
      <c r="FW7" s="28"/>
      <c r="FX7" s="29">
        <f t="shared" si="3"/>
        <v>0</v>
      </c>
    </row>
    <row r="8" spans="1:180" ht="18" customHeight="1" x14ac:dyDescent="0.25">
      <c r="A8" s="3" t="str">
        <f>IF(C8&lt;&gt;"","DRG-"&amp;TEXT(5,"000"),"")</f>
        <v>DRG-005</v>
      </c>
      <c r="B8" s="19" t="s">
        <v>55</v>
      </c>
      <c r="C8" s="20" t="s">
        <v>55</v>
      </c>
      <c r="D8" s="20" t="s">
        <v>56</v>
      </c>
      <c r="E8" s="20" t="s">
        <v>67</v>
      </c>
      <c r="F8" s="20" t="s">
        <v>58</v>
      </c>
      <c r="G8" s="21"/>
      <c r="H8" s="21"/>
      <c r="I8" s="22">
        <v>0.95833333333333337</v>
      </c>
      <c r="J8" s="21"/>
      <c r="K8" s="21"/>
      <c r="L8" s="21">
        <v>4</v>
      </c>
      <c r="M8" s="23" t="str">
        <f t="shared" si="0"/>
        <v>✘ Pending</v>
      </c>
      <c r="N8" s="23">
        <f t="shared" si="1"/>
        <v>0</v>
      </c>
      <c r="O8" s="25"/>
      <c r="P8" s="26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5"/>
      <c r="AC8" s="26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5"/>
      <c r="AP8" s="26"/>
      <c r="AQ8" s="24"/>
      <c r="AR8" s="24"/>
      <c r="AS8" s="24"/>
      <c r="AT8" s="24"/>
      <c r="AU8" s="24"/>
      <c r="AV8" s="24"/>
      <c r="AW8" s="24"/>
      <c r="AX8" s="24"/>
      <c r="AY8" s="24"/>
      <c r="AZ8" s="24"/>
      <c r="BA8" s="24"/>
      <c r="BB8" s="25"/>
      <c r="BC8" s="26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5"/>
      <c r="BP8" s="26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5"/>
      <c r="CC8" s="26"/>
      <c r="CD8" s="24"/>
      <c r="CE8" s="24"/>
      <c r="CF8" s="24"/>
      <c r="CG8" s="24"/>
      <c r="CH8" s="24"/>
      <c r="CI8" s="24"/>
      <c r="CJ8" s="24"/>
      <c r="CK8" s="24"/>
      <c r="CL8" s="24"/>
      <c r="CM8" s="24"/>
      <c r="CN8" s="24"/>
      <c r="CO8" s="25"/>
      <c r="CP8" s="26"/>
      <c r="CQ8" s="24"/>
      <c r="CR8" s="24"/>
      <c r="CS8" s="24"/>
      <c r="CT8" s="24"/>
      <c r="CU8" s="24"/>
      <c r="CV8" s="24"/>
      <c r="CW8" s="24"/>
      <c r="CX8" s="24"/>
      <c r="CY8" s="24"/>
      <c r="CZ8" s="24"/>
      <c r="DA8" s="24"/>
      <c r="DB8" s="25"/>
      <c r="DC8" s="26"/>
      <c r="DD8" s="24"/>
      <c r="DE8" s="24"/>
      <c r="DF8" s="24"/>
      <c r="DG8" s="24"/>
      <c r="DH8" s="24"/>
      <c r="DI8" s="24"/>
      <c r="DJ8" s="24"/>
      <c r="DK8" s="24"/>
      <c r="DL8" s="24"/>
      <c r="DM8" s="24"/>
      <c r="DN8" s="24"/>
      <c r="DO8" s="25"/>
      <c r="DP8" s="26"/>
      <c r="DQ8" s="24"/>
      <c r="DR8" s="24"/>
      <c r="DS8" s="24"/>
      <c r="DT8" s="24"/>
      <c r="DU8" s="24"/>
      <c r="DV8" s="24"/>
      <c r="DW8" s="24"/>
      <c r="DX8" s="24"/>
      <c r="DY8" s="24"/>
      <c r="DZ8" s="24"/>
      <c r="EA8" s="24"/>
      <c r="EB8" s="25"/>
      <c r="EC8" s="26"/>
      <c r="ED8" s="24"/>
      <c r="EE8" s="24"/>
      <c r="EF8" s="24"/>
      <c r="EG8" s="24"/>
      <c r="EH8" s="24"/>
      <c r="EI8" s="24"/>
      <c r="EJ8" s="24"/>
      <c r="EK8" s="24"/>
      <c r="EL8" s="24"/>
      <c r="EM8" s="24"/>
      <c r="EN8" s="24"/>
      <c r="EO8" s="25"/>
      <c r="EP8" s="26"/>
      <c r="EQ8" s="24"/>
      <c r="ER8" s="24"/>
      <c r="ES8" s="24"/>
      <c r="ET8" s="24"/>
      <c r="EU8" s="24"/>
      <c r="EV8" s="24"/>
      <c r="EW8" s="24"/>
      <c r="EX8" s="24"/>
      <c r="EY8" s="24"/>
      <c r="EZ8" s="24"/>
      <c r="FA8" s="24"/>
      <c r="FB8" s="25"/>
      <c r="FC8" s="26"/>
      <c r="FD8" s="24"/>
      <c r="FE8" s="24"/>
      <c r="FF8" s="24"/>
      <c r="FG8" s="24"/>
      <c r="FH8" s="24"/>
      <c r="FI8" s="24"/>
      <c r="FJ8" s="24"/>
      <c r="FK8" s="24"/>
      <c r="FL8" s="24"/>
      <c r="FM8" s="24"/>
      <c r="FN8" s="24"/>
      <c r="FO8" s="27">
        <f t="shared" ref="FO8:FV8" si="7">IFERROR(R8*1,0)+IFERROR(AE8*1,0)+IFERROR(AR8*1,0)+IFERROR(BE8*1,0)+IFERROR(BR8*1,0)+IFERROR(CE8*1,0)+IFERROR(CR8*1,0)+IFERROR(DE8*1,0)+IFERROR(DR8*1,0)+IFERROR(EE8*1,0)+IFERROR(ER8*1,0)+IFERROR(FE8*1,0)</f>
        <v>0</v>
      </c>
      <c r="FP8" s="27">
        <f t="shared" si="7"/>
        <v>0</v>
      </c>
      <c r="FQ8" s="27">
        <f t="shared" si="7"/>
        <v>0</v>
      </c>
      <c r="FR8" s="27">
        <f t="shared" si="7"/>
        <v>0</v>
      </c>
      <c r="FS8" s="27">
        <f t="shared" si="7"/>
        <v>0</v>
      </c>
      <c r="FT8" s="27">
        <f t="shared" si="7"/>
        <v>0</v>
      </c>
      <c r="FU8" s="27">
        <f t="shared" si="7"/>
        <v>0</v>
      </c>
      <c r="FV8" s="27">
        <f t="shared" si="7"/>
        <v>0</v>
      </c>
      <c r="FW8" s="28"/>
      <c r="FX8" s="29">
        <f t="shared" si="3"/>
        <v>0</v>
      </c>
    </row>
    <row r="9" spans="1:180" ht="18" customHeight="1" x14ac:dyDescent="0.25">
      <c r="A9" s="3" t="str">
        <f>IF(C9&lt;&gt;"","DRG-"&amp;TEXT(6,"000"),"")</f>
        <v>DRG-006</v>
      </c>
      <c r="B9" s="19" t="s">
        <v>55</v>
      </c>
      <c r="C9" s="20" t="s">
        <v>55</v>
      </c>
      <c r="D9" s="20" t="s">
        <v>56</v>
      </c>
      <c r="E9" s="20" t="s">
        <v>68</v>
      </c>
      <c r="F9" s="20" t="s">
        <v>69</v>
      </c>
      <c r="G9" s="21"/>
      <c r="H9" s="21"/>
      <c r="I9" s="22">
        <v>0.95833333333333337</v>
      </c>
      <c r="J9" s="21"/>
      <c r="K9" s="21"/>
      <c r="L9" s="21">
        <v>4</v>
      </c>
      <c r="M9" s="30" t="str">
        <f t="shared" si="0"/>
        <v>✘ Pending</v>
      </c>
      <c r="N9" s="30">
        <f t="shared" si="1"/>
        <v>0</v>
      </c>
      <c r="O9" s="31"/>
      <c r="P9" s="32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1"/>
      <c r="AC9" s="32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1"/>
      <c r="AP9" s="32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1"/>
      <c r="BC9" s="32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1"/>
      <c r="BP9" s="32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1"/>
      <c r="CC9" s="32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1"/>
      <c r="CP9" s="32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1"/>
      <c r="DC9" s="32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1"/>
      <c r="DP9" s="32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1"/>
      <c r="EC9" s="32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1"/>
      <c r="EP9" s="32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1"/>
      <c r="FC9" s="32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4">
        <f t="shared" ref="FO9:FV9" si="8">IFERROR(R9*1,0)+IFERROR(AE9*1,0)+IFERROR(AR9*1,0)+IFERROR(BE9*1,0)+IFERROR(BR9*1,0)+IFERROR(CE9*1,0)+IFERROR(CR9*1,0)+IFERROR(DE9*1,0)+IFERROR(DR9*1,0)+IFERROR(EE9*1,0)+IFERROR(ER9*1,0)+IFERROR(FE9*1,0)</f>
        <v>0</v>
      </c>
      <c r="FP9" s="34">
        <f t="shared" si="8"/>
        <v>0</v>
      </c>
      <c r="FQ9" s="34">
        <f t="shared" si="8"/>
        <v>0</v>
      </c>
      <c r="FR9" s="34">
        <f t="shared" si="8"/>
        <v>0</v>
      </c>
      <c r="FS9" s="34">
        <f t="shared" si="8"/>
        <v>0</v>
      </c>
      <c r="FT9" s="34">
        <f t="shared" si="8"/>
        <v>0</v>
      </c>
      <c r="FU9" s="34">
        <f t="shared" si="8"/>
        <v>0</v>
      </c>
      <c r="FV9" s="34">
        <f t="shared" si="8"/>
        <v>0</v>
      </c>
      <c r="FW9" s="28"/>
      <c r="FX9" s="29">
        <f t="shared" si="3"/>
        <v>0</v>
      </c>
    </row>
    <row r="10" spans="1:180" ht="18" customHeight="1" x14ac:dyDescent="0.25">
      <c r="A10" s="3" t="str">
        <f>IF(C10&lt;&gt;"","DRG-"&amp;TEXT(7,"000"),"")</f>
        <v>DRG-007</v>
      </c>
      <c r="B10" s="19" t="s">
        <v>55</v>
      </c>
      <c r="C10" s="20" t="s">
        <v>55</v>
      </c>
      <c r="D10" s="20" t="s">
        <v>56</v>
      </c>
      <c r="E10" s="20" t="s">
        <v>70</v>
      </c>
      <c r="F10" s="20" t="s">
        <v>69</v>
      </c>
      <c r="G10" s="21"/>
      <c r="H10" s="21"/>
      <c r="I10" s="22">
        <v>0.95833333333333337</v>
      </c>
      <c r="J10" s="21"/>
      <c r="K10" s="21"/>
      <c r="L10" s="21">
        <v>4</v>
      </c>
      <c r="M10" s="23" t="str">
        <f t="shared" si="0"/>
        <v>✘ Pending</v>
      </c>
      <c r="N10" s="23">
        <f t="shared" si="1"/>
        <v>0</v>
      </c>
      <c r="O10" s="25"/>
      <c r="P10" s="26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5"/>
      <c r="AC10" s="26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5"/>
      <c r="AP10" s="26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5"/>
      <c r="BC10" s="26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5"/>
      <c r="BP10" s="26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5"/>
      <c r="CC10" s="26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5"/>
      <c r="CP10" s="26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5"/>
      <c r="DC10" s="26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5"/>
      <c r="DP10" s="26"/>
      <c r="DQ10" s="24"/>
      <c r="DR10" s="24"/>
      <c r="DS10" s="24"/>
      <c r="DT10" s="24"/>
      <c r="DU10" s="24"/>
      <c r="DV10" s="24"/>
      <c r="DW10" s="24"/>
      <c r="DX10" s="24"/>
      <c r="DY10" s="24"/>
      <c r="DZ10" s="24"/>
      <c r="EA10" s="24"/>
      <c r="EB10" s="25"/>
      <c r="EC10" s="26"/>
      <c r="ED10" s="24"/>
      <c r="EE10" s="24"/>
      <c r="EF10" s="24"/>
      <c r="EG10" s="24"/>
      <c r="EH10" s="24"/>
      <c r="EI10" s="24"/>
      <c r="EJ10" s="24"/>
      <c r="EK10" s="24"/>
      <c r="EL10" s="24"/>
      <c r="EM10" s="24"/>
      <c r="EN10" s="24"/>
      <c r="EO10" s="25"/>
      <c r="EP10" s="26"/>
      <c r="EQ10" s="24"/>
      <c r="ER10" s="24"/>
      <c r="ES10" s="24"/>
      <c r="ET10" s="24"/>
      <c r="EU10" s="24"/>
      <c r="EV10" s="24"/>
      <c r="EW10" s="24"/>
      <c r="EX10" s="24"/>
      <c r="EY10" s="24"/>
      <c r="EZ10" s="24"/>
      <c r="FA10" s="24"/>
      <c r="FB10" s="25"/>
      <c r="FC10" s="26"/>
      <c r="FD10" s="24"/>
      <c r="FE10" s="24"/>
      <c r="FF10" s="24"/>
      <c r="FG10" s="24"/>
      <c r="FH10" s="24"/>
      <c r="FI10" s="24"/>
      <c r="FJ10" s="24"/>
      <c r="FK10" s="24"/>
      <c r="FL10" s="24"/>
      <c r="FM10" s="24"/>
      <c r="FN10" s="24"/>
      <c r="FO10" s="27">
        <f t="shared" ref="FO10:FV10" si="9">IFERROR(R10*1,0)+IFERROR(AE10*1,0)+IFERROR(AR10*1,0)+IFERROR(BE10*1,0)+IFERROR(BR10*1,0)+IFERROR(CE10*1,0)+IFERROR(CR10*1,0)+IFERROR(DE10*1,0)+IFERROR(DR10*1,0)+IFERROR(EE10*1,0)+IFERROR(ER10*1,0)+IFERROR(FE10*1,0)</f>
        <v>0</v>
      </c>
      <c r="FP10" s="27">
        <f t="shared" si="9"/>
        <v>0</v>
      </c>
      <c r="FQ10" s="27">
        <f t="shared" si="9"/>
        <v>0</v>
      </c>
      <c r="FR10" s="27">
        <f t="shared" si="9"/>
        <v>0</v>
      </c>
      <c r="FS10" s="27">
        <f t="shared" si="9"/>
        <v>0</v>
      </c>
      <c r="FT10" s="27">
        <f t="shared" si="9"/>
        <v>0</v>
      </c>
      <c r="FU10" s="27">
        <f t="shared" si="9"/>
        <v>0</v>
      </c>
      <c r="FV10" s="27">
        <f t="shared" si="9"/>
        <v>0</v>
      </c>
      <c r="FW10" s="28"/>
      <c r="FX10" s="29">
        <f t="shared" si="3"/>
        <v>0</v>
      </c>
    </row>
    <row r="11" spans="1:180" ht="18" customHeight="1" x14ac:dyDescent="0.25">
      <c r="A11" s="3" t="str">
        <f>IF(C11&lt;&gt;"","DRG-"&amp;TEXT(8,"000"),"")</f>
        <v>DRG-008</v>
      </c>
      <c r="B11" s="19" t="s">
        <v>55</v>
      </c>
      <c r="C11" s="20" t="s">
        <v>55</v>
      </c>
      <c r="D11" s="20" t="s">
        <v>56</v>
      </c>
      <c r="E11" s="20" t="s">
        <v>71</v>
      </c>
      <c r="F11" s="20" t="s">
        <v>69</v>
      </c>
      <c r="G11" s="21"/>
      <c r="H11" s="21"/>
      <c r="I11" s="22">
        <v>0.95833333333333337</v>
      </c>
      <c r="J11" s="21"/>
      <c r="K11" s="21"/>
      <c r="L11" s="21">
        <v>4</v>
      </c>
      <c r="M11" s="30" t="str">
        <f t="shared" si="0"/>
        <v>✘ Pending</v>
      </c>
      <c r="N11" s="30">
        <f t="shared" si="1"/>
        <v>0</v>
      </c>
      <c r="O11" s="31"/>
      <c r="P11" s="32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1"/>
      <c r="AC11" s="32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1"/>
      <c r="AP11" s="32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1"/>
      <c r="BC11" s="32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1"/>
      <c r="BP11" s="32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1"/>
      <c r="CC11" s="32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1"/>
      <c r="CP11" s="32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1"/>
      <c r="DC11" s="32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1"/>
      <c r="DP11" s="32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1"/>
      <c r="EC11" s="32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1"/>
      <c r="EP11" s="32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1"/>
      <c r="FC11" s="32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4">
        <f t="shared" ref="FO11:FV11" si="10">IFERROR(R11*1,0)+IFERROR(AE11*1,0)+IFERROR(AR11*1,0)+IFERROR(BE11*1,0)+IFERROR(BR11*1,0)+IFERROR(CE11*1,0)+IFERROR(CR11*1,0)+IFERROR(DE11*1,0)+IFERROR(DR11*1,0)+IFERROR(EE11*1,0)+IFERROR(ER11*1,0)+IFERROR(FE11*1,0)</f>
        <v>0</v>
      </c>
      <c r="FP11" s="34">
        <f t="shared" si="10"/>
        <v>0</v>
      </c>
      <c r="FQ11" s="34">
        <f t="shared" si="10"/>
        <v>0</v>
      </c>
      <c r="FR11" s="34">
        <f t="shared" si="10"/>
        <v>0</v>
      </c>
      <c r="FS11" s="34">
        <f t="shared" si="10"/>
        <v>0</v>
      </c>
      <c r="FT11" s="34">
        <f t="shared" si="10"/>
        <v>0</v>
      </c>
      <c r="FU11" s="34">
        <f t="shared" si="10"/>
        <v>0</v>
      </c>
      <c r="FV11" s="34">
        <f t="shared" si="10"/>
        <v>0</v>
      </c>
      <c r="FW11" s="28"/>
      <c r="FX11" s="29">
        <f t="shared" si="3"/>
        <v>0</v>
      </c>
    </row>
    <row r="12" spans="1:180" ht="18" customHeight="1" x14ac:dyDescent="0.25">
      <c r="A12" s="3" t="str">
        <f>IF(C12&lt;&gt;"","DRG-"&amp;TEXT(9,"000"),"")</f>
        <v>DRG-009</v>
      </c>
      <c r="B12" s="19" t="s">
        <v>55</v>
      </c>
      <c r="C12" s="20" t="s">
        <v>55</v>
      </c>
      <c r="D12" s="20" t="s">
        <v>56</v>
      </c>
      <c r="E12" s="20" t="s">
        <v>72</v>
      </c>
      <c r="F12" s="20" t="s">
        <v>58</v>
      </c>
      <c r="G12" s="21" t="s">
        <v>59</v>
      </c>
      <c r="H12" s="21"/>
      <c r="I12" s="22">
        <v>0.95833333333333337</v>
      </c>
      <c r="J12" s="21" t="s">
        <v>73</v>
      </c>
      <c r="K12" s="21">
        <v>4</v>
      </c>
      <c r="L12" s="21">
        <v>4</v>
      </c>
      <c r="M12" s="23" t="str">
        <f t="shared" si="0"/>
        <v>✘ Pending</v>
      </c>
      <c r="N12" s="23">
        <f t="shared" si="1"/>
        <v>0</v>
      </c>
      <c r="O12" s="25"/>
      <c r="P12" s="26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5"/>
      <c r="AC12" s="26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5"/>
      <c r="AP12" s="26"/>
      <c r="AQ12" s="24"/>
      <c r="AR12" s="24"/>
      <c r="AS12" s="24"/>
      <c r="AT12" s="24"/>
      <c r="AU12" s="24"/>
      <c r="AV12" s="24"/>
      <c r="AW12" s="24"/>
      <c r="AX12" s="24"/>
      <c r="AY12" s="24"/>
      <c r="AZ12" s="24"/>
      <c r="BA12" s="24"/>
      <c r="BB12" s="25"/>
      <c r="BC12" s="26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5"/>
      <c r="BP12" s="26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5"/>
      <c r="CC12" s="26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5"/>
      <c r="CP12" s="26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5"/>
      <c r="DC12" s="26"/>
      <c r="DD12" s="24"/>
      <c r="DE12" s="24"/>
      <c r="DF12" s="24"/>
      <c r="DG12" s="24"/>
      <c r="DH12" s="24"/>
      <c r="DI12" s="24"/>
      <c r="DJ12" s="24"/>
      <c r="DK12" s="24"/>
      <c r="DL12" s="24"/>
      <c r="DM12" s="24"/>
      <c r="DN12" s="24"/>
      <c r="DO12" s="25"/>
      <c r="DP12" s="26"/>
      <c r="DQ12" s="24"/>
      <c r="DR12" s="24"/>
      <c r="DS12" s="24"/>
      <c r="DT12" s="24"/>
      <c r="DU12" s="24"/>
      <c r="DV12" s="24"/>
      <c r="DW12" s="24"/>
      <c r="DX12" s="24"/>
      <c r="DY12" s="24"/>
      <c r="DZ12" s="24"/>
      <c r="EA12" s="24"/>
      <c r="EB12" s="25"/>
      <c r="EC12" s="26"/>
      <c r="ED12" s="24"/>
      <c r="EE12" s="24"/>
      <c r="EF12" s="24"/>
      <c r="EG12" s="24"/>
      <c r="EH12" s="24"/>
      <c r="EI12" s="24"/>
      <c r="EJ12" s="24"/>
      <c r="EK12" s="24"/>
      <c r="EL12" s="24"/>
      <c r="EM12" s="24"/>
      <c r="EN12" s="24"/>
      <c r="EO12" s="25"/>
      <c r="EP12" s="26"/>
      <c r="EQ12" s="24"/>
      <c r="ER12" s="24"/>
      <c r="ES12" s="24"/>
      <c r="ET12" s="24"/>
      <c r="EU12" s="24"/>
      <c r="EV12" s="24"/>
      <c r="EW12" s="24"/>
      <c r="EX12" s="24"/>
      <c r="EY12" s="24"/>
      <c r="EZ12" s="24"/>
      <c r="FA12" s="24"/>
      <c r="FB12" s="25"/>
      <c r="FC12" s="26"/>
      <c r="FD12" s="24"/>
      <c r="FE12" s="24"/>
      <c r="FF12" s="24"/>
      <c r="FG12" s="24"/>
      <c r="FH12" s="24"/>
      <c r="FI12" s="24"/>
      <c r="FJ12" s="24"/>
      <c r="FK12" s="24"/>
      <c r="FL12" s="24"/>
      <c r="FM12" s="24"/>
      <c r="FN12" s="24"/>
      <c r="FO12" s="27">
        <f t="shared" ref="FO12:FV12" si="11">IFERROR(R12*1,0)+IFERROR(AE12*1,0)+IFERROR(AR12*1,0)+IFERROR(BE12*1,0)+IFERROR(BR12*1,0)+IFERROR(CE12*1,0)+IFERROR(CR12*1,0)+IFERROR(DE12*1,0)+IFERROR(DR12*1,0)+IFERROR(EE12*1,0)+IFERROR(ER12*1,0)+IFERROR(FE12*1,0)</f>
        <v>0</v>
      </c>
      <c r="FP12" s="27">
        <f t="shared" si="11"/>
        <v>0</v>
      </c>
      <c r="FQ12" s="27">
        <f t="shared" si="11"/>
        <v>0</v>
      </c>
      <c r="FR12" s="27">
        <f t="shared" si="11"/>
        <v>0</v>
      </c>
      <c r="FS12" s="27">
        <f t="shared" si="11"/>
        <v>0</v>
      </c>
      <c r="FT12" s="27">
        <f t="shared" si="11"/>
        <v>0</v>
      </c>
      <c r="FU12" s="27">
        <f t="shared" si="11"/>
        <v>0</v>
      </c>
      <c r="FV12" s="27">
        <f t="shared" si="11"/>
        <v>0</v>
      </c>
      <c r="FW12" s="28"/>
      <c r="FX12" s="29">
        <f t="shared" si="3"/>
        <v>0</v>
      </c>
    </row>
    <row r="13" spans="1:180" ht="18" customHeight="1" x14ac:dyDescent="0.25">
      <c r="A13" s="3" t="str">
        <f>IF(C13&lt;&gt;"","DRG-"&amp;TEXT(10,"000"),"")</f>
        <v>DRG-010</v>
      </c>
      <c r="B13" s="19" t="s">
        <v>55</v>
      </c>
      <c r="C13" s="20" t="s">
        <v>55</v>
      </c>
      <c r="D13" s="20" t="s">
        <v>56</v>
      </c>
      <c r="E13" s="20" t="s">
        <v>74</v>
      </c>
      <c r="F13" s="20" t="s">
        <v>58</v>
      </c>
      <c r="G13" s="21" t="s">
        <v>59</v>
      </c>
      <c r="H13" s="21"/>
      <c r="I13" s="22">
        <v>0.95833333333333337</v>
      </c>
      <c r="J13" s="21" t="s">
        <v>73</v>
      </c>
      <c r="K13" s="21">
        <v>3</v>
      </c>
      <c r="L13" s="21">
        <v>4</v>
      </c>
      <c r="M13" s="30" t="str">
        <f t="shared" si="0"/>
        <v>✘ Pending</v>
      </c>
      <c r="N13" s="30">
        <f t="shared" si="1"/>
        <v>0</v>
      </c>
      <c r="O13" s="31"/>
      <c r="P13" s="32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1"/>
      <c r="AC13" s="32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1"/>
      <c r="AP13" s="32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1"/>
      <c r="BC13" s="32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1"/>
      <c r="BP13" s="32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1"/>
      <c r="CC13" s="32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1"/>
      <c r="CP13" s="32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1"/>
      <c r="DC13" s="32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1"/>
      <c r="DP13" s="32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1"/>
      <c r="EC13" s="32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1"/>
      <c r="EP13" s="32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1"/>
      <c r="FC13" s="32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4">
        <f t="shared" ref="FO13:FV13" si="12">IFERROR(R13*1,0)+IFERROR(AE13*1,0)+IFERROR(AR13*1,0)+IFERROR(BE13*1,0)+IFERROR(BR13*1,0)+IFERROR(CE13*1,0)+IFERROR(CR13*1,0)+IFERROR(DE13*1,0)+IFERROR(DR13*1,0)+IFERROR(EE13*1,0)+IFERROR(ER13*1,0)+IFERROR(FE13*1,0)</f>
        <v>0</v>
      </c>
      <c r="FP13" s="34">
        <f t="shared" si="12"/>
        <v>0</v>
      </c>
      <c r="FQ13" s="34">
        <f t="shared" si="12"/>
        <v>0</v>
      </c>
      <c r="FR13" s="34">
        <f t="shared" si="12"/>
        <v>0</v>
      </c>
      <c r="FS13" s="34">
        <f t="shared" si="12"/>
        <v>0</v>
      </c>
      <c r="FT13" s="34">
        <f t="shared" si="12"/>
        <v>0</v>
      </c>
      <c r="FU13" s="34">
        <f t="shared" si="12"/>
        <v>0</v>
      </c>
      <c r="FV13" s="34">
        <f t="shared" si="12"/>
        <v>0</v>
      </c>
      <c r="FW13" s="28"/>
      <c r="FX13" s="29">
        <f t="shared" si="3"/>
        <v>0</v>
      </c>
    </row>
    <row r="14" spans="1:180" ht="18" customHeight="1" x14ac:dyDescent="0.25">
      <c r="A14" s="3" t="str">
        <f>IF(C14&lt;&gt;"","DRG-"&amp;TEXT(11,"000"),"")</f>
        <v>DRG-011</v>
      </c>
      <c r="B14" s="19" t="s">
        <v>55</v>
      </c>
      <c r="C14" s="20" t="s">
        <v>55</v>
      </c>
      <c r="D14" s="20" t="s">
        <v>56</v>
      </c>
      <c r="E14" s="20" t="s">
        <v>75</v>
      </c>
      <c r="F14" s="20" t="s">
        <v>58</v>
      </c>
      <c r="G14" s="21" t="s">
        <v>59</v>
      </c>
      <c r="H14" s="21"/>
      <c r="I14" s="22">
        <v>0.95833333333333337</v>
      </c>
      <c r="J14" s="21" t="s">
        <v>73</v>
      </c>
      <c r="K14" s="21">
        <v>2</v>
      </c>
      <c r="L14" s="21">
        <v>4</v>
      </c>
      <c r="M14" s="23" t="str">
        <f t="shared" si="0"/>
        <v>✘ Pending</v>
      </c>
      <c r="N14" s="23">
        <f t="shared" si="1"/>
        <v>0</v>
      </c>
      <c r="O14" s="25"/>
      <c r="P14" s="26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5"/>
      <c r="AC14" s="26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5"/>
      <c r="AP14" s="26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5"/>
      <c r="BC14" s="26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5"/>
      <c r="BP14" s="26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5"/>
      <c r="CC14" s="26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5"/>
      <c r="CP14" s="26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5"/>
      <c r="DC14" s="26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5"/>
      <c r="DP14" s="26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5"/>
      <c r="EC14" s="26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5"/>
      <c r="EP14" s="26"/>
      <c r="EQ14" s="24"/>
      <c r="ER14" s="24"/>
      <c r="ES14" s="24"/>
      <c r="ET14" s="24"/>
      <c r="EU14" s="24"/>
      <c r="EV14" s="24"/>
      <c r="EW14" s="24"/>
      <c r="EX14" s="24"/>
      <c r="EY14" s="24"/>
      <c r="EZ14" s="24"/>
      <c r="FA14" s="24"/>
      <c r="FB14" s="25"/>
      <c r="FC14" s="26"/>
      <c r="FD14" s="24"/>
      <c r="FE14" s="24"/>
      <c r="FF14" s="24"/>
      <c r="FG14" s="24"/>
      <c r="FH14" s="24"/>
      <c r="FI14" s="24"/>
      <c r="FJ14" s="24"/>
      <c r="FK14" s="24"/>
      <c r="FL14" s="24"/>
      <c r="FM14" s="24"/>
      <c r="FN14" s="24"/>
      <c r="FO14" s="27">
        <f t="shared" ref="FO14:FV14" si="13">IFERROR(R14*1,0)+IFERROR(AE14*1,0)+IFERROR(AR14*1,0)+IFERROR(BE14*1,0)+IFERROR(BR14*1,0)+IFERROR(CE14*1,0)+IFERROR(CR14*1,0)+IFERROR(DE14*1,0)+IFERROR(DR14*1,0)+IFERROR(EE14*1,0)+IFERROR(ER14*1,0)+IFERROR(FE14*1,0)</f>
        <v>0</v>
      </c>
      <c r="FP14" s="27">
        <f t="shared" si="13"/>
        <v>0</v>
      </c>
      <c r="FQ14" s="27">
        <f t="shared" si="13"/>
        <v>0</v>
      </c>
      <c r="FR14" s="27">
        <f t="shared" si="13"/>
        <v>0</v>
      </c>
      <c r="FS14" s="27">
        <f t="shared" si="13"/>
        <v>0</v>
      </c>
      <c r="FT14" s="27">
        <f t="shared" si="13"/>
        <v>0</v>
      </c>
      <c r="FU14" s="27">
        <f t="shared" si="13"/>
        <v>0</v>
      </c>
      <c r="FV14" s="27">
        <f t="shared" si="13"/>
        <v>0</v>
      </c>
      <c r="FW14" s="28"/>
      <c r="FX14" s="29">
        <f t="shared" si="3"/>
        <v>0</v>
      </c>
    </row>
    <row r="15" spans="1:180" ht="18" customHeight="1" x14ac:dyDescent="0.25">
      <c r="A15" s="3" t="str">
        <f>IF(C15&lt;&gt;"","DRG-"&amp;TEXT(12,"000"),"")</f>
        <v>DRG-012</v>
      </c>
      <c r="B15" s="19" t="s">
        <v>55</v>
      </c>
      <c r="C15" s="20" t="s">
        <v>55</v>
      </c>
      <c r="D15" s="20" t="s">
        <v>56</v>
      </c>
      <c r="E15" s="20" t="s">
        <v>76</v>
      </c>
      <c r="F15" s="20" t="s">
        <v>58</v>
      </c>
      <c r="G15" s="21" t="s">
        <v>59</v>
      </c>
      <c r="H15" s="21"/>
      <c r="I15" s="22">
        <v>0.95833333333333337</v>
      </c>
      <c r="J15" s="21" t="s">
        <v>73</v>
      </c>
      <c r="K15" s="21">
        <v>2</v>
      </c>
      <c r="L15" s="21">
        <v>4</v>
      </c>
      <c r="M15" s="30" t="str">
        <f t="shared" si="0"/>
        <v>✘ Pending</v>
      </c>
      <c r="N15" s="30">
        <f t="shared" si="1"/>
        <v>0</v>
      </c>
      <c r="O15" s="31"/>
      <c r="P15" s="32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1"/>
      <c r="AC15" s="32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1"/>
      <c r="AP15" s="32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1"/>
      <c r="BC15" s="32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1"/>
      <c r="BP15" s="32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1"/>
      <c r="CC15" s="32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1"/>
      <c r="CP15" s="32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1"/>
      <c r="DC15" s="32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1"/>
      <c r="DP15" s="32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1"/>
      <c r="EC15" s="32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1"/>
      <c r="EP15" s="32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1"/>
      <c r="FC15" s="32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4">
        <f t="shared" ref="FO15:FV15" si="14">IFERROR(R15*1,0)+IFERROR(AE15*1,0)+IFERROR(AR15*1,0)+IFERROR(BE15*1,0)+IFERROR(BR15*1,0)+IFERROR(CE15*1,0)+IFERROR(CR15*1,0)+IFERROR(DE15*1,0)+IFERROR(DR15*1,0)+IFERROR(EE15*1,0)+IFERROR(ER15*1,0)+IFERROR(FE15*1,0)</f>
        <v>0</v>
      </c>
      <c r="FP15" s="34">
        <f t="shared" si="14"/>
        <v>0</v>
      </c>
      <c r="FQ15" s="34">
        <f t="shared" si="14"/>
        <v>0</v>
      </c>
      <c r="FR15" s="34">
        <f t="shared" si="14"/>
        <v>0</v>
      </c>
      <c r="FS15" s="34">
        <f t="shared" si="14"/>
        <v>0</v>
      </c>
      <c r="FT15" s="34">
        <f t="shared" si="14"/>
        <v>0</v>
      </c>
      <c r="FU15" s="34">
        <f t="shared" si="14"/>
        <v>0</v>
      </c>
      <c r="FV15" s="34">
        <f t="shared" si="14"/>
        <v>0</v>
      </c>
      <c r="FW15" s="28"/>
      <c r="FX15" s="29">
        <f t="shared" si="3"/>
        <v>0</v>
      </c>
    </row>
    <row r="16" spans="1:180" ht="18" customHeight="1" x14ac:dyDescent="0.25">
      <c r="A16" s="3" t="str">
        <f>IF(C16&lt;&gt;"","DRG-"&amp;TEXT(13,"000"),"")</f>
        <v>DRG-013</v>
      </c>
      <c r="B16" s="19" t="s">
        <v>55</v>
      </c>
      <c r="C16" s="20" t="s">
        <v>55</v>
      </c>
      <c r="D16" s="20" t="s">
        <v>56</v>
      </c>
      <c r="E16" s="20" t="s">
        <v>77</v>
      </c>
      <c r="F16" s="20" t="s">
        <v>78</v>
      </c>
      <c r="G16" s="21"/>
      <c r="H16" s="21"/>
      <c r="I16" s="22">
        <v>0.95833333333333337</v>
      </c>
      <c r="J16" s="21"/>
      <c r="K16" s="21"/>
      <c r="L16" s="21">
        <v>4</v>
      </c>
      <c r="M16" s="23" t="str">
        <f t="shared" si="0"/>
        <v>✘ Pending</v>
      </c>
      <c r="N16" s="23">
        <f t="shared" si="1"/>
        <v>0</v>
      </c>
      <c r="O16" s="25"/>
      <c r="P16" s="26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5"/>
      <c r="AC16" s="26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5"/>
      <c r="AP16" s="26"/>
      <c r="AQ16" s="24"/>
      <c r="AR16" s="24"/>
      <c r="AS16" s="24"/>
      <c r="AT16" s="24"/>
      <c r="AU16" s="24"/>
      <c r="AV16" s="24"/>
      <c r="AW16" s="24"/>
      <c r="AX16" s="24"/>
      <c r="AY16" s="24"/>
      <c r="AZ16" s="24"/>
      <c r="BA16" s="24"/>
      <c r="BB16" s="25"/>
      <c r="BC16" s="26"/>
      <c r="BD16" s="24"/>
      <c r="BE16" s="24"/>
      <c r="BF16" s="24"/>
      <c r="BG16" s="24"/>
      <c r="BH16" s="24"/>
      <c r="BI16" s="24"/>
      <c r="BJ16" s="24"/>
      <c r="BK16" s="24"/>
      <c r="BL16" s="24"/>
      <c r="BM16" s="24"/>
      <c r="BN16" s="24"/>
      <c r="BO16" s="25"/>
      <c r="BP16" s="26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5"/>
      <c r="CC16" s="26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5"/>
      <c r="CP16" s="26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5"/>
      <c r="DC16" s="26"/>
      <c r="DD16" s="24"/>
      <c r="DE16" s="24"/>
      <c r="DF16" s="24"/>
      <c r="DG16" s="24"/>
      <c r="DH16" s="24"/>
      <c r="DI16" s="24"/>
      <c r="DJ16" s="24"/>
      <c r="DK16" s="24"/>
      <c r="DL16" s="24"/>
      <c r="DM16" s="24"/>
      <c r="DN16" s="24"/>
      <c r="DO16" s="25"/>
      <c r="DP16" s="26"/>
      <c r="DQ16" s="24"/>
      <c r="DR16" s="24"/>
      <c r="DS16" s="24"/>
      <c r="DT16" s="24"/>
      <c r="DU16" s="24"/>
      <c r="DV16" s="24"/>
      <c r="DW16" s="24"/>
      <c r="DX16" s="24"/>
      <c r="DY16" s="24"/>
      <c r="DZ16" s="24"/>
      <c r="EA16" s="24"/>
      <c r="EB16" s="25"/>
      <c r="EC16" s="26"/>
      <c r="ED16" s="24"/>
      <c r="EE16" s="24"/>
      <c r="EF16" s="24"/>
      <c r="EG16" s="24"/>
      <c r="EH16" s="24"/>
      <c r="EI16" s="24"/>
      <c r="EJ16" s="24"/>
      <c r="EK16" s="24"/>
      <c r="EL16" s="24"/>
      <c r="EM16" s="24"/>
      <c r="EN16" s="24"/>
      <c r="EO16" s="25"/>
      <c r="EP16" s="26"/>
      <c r="EQ16" s="24"/>
      <c r="ER16" s="24"/>
      <c r="ES16" s="24"/>
      <c r="ET16" s="24"/>
      <c r="EU16" s="24"/>
      <c r="EV16" s="24"/>
      <c r="EW16" s="24"/>
      <c r="EX16" s="24"/>
      <c r="EY16" s="24"/>
      <c r="EZ16" s="24"/>
      <c r="FA16" s="24"/>
      <c r="FB16" s="25"/>
      <c r="FC16" s="26"/>
      <c r="FD16" s="24"/>
      <c r="FE16" s="24"/>
      <c r="FF16" s="24"/>
      <c r="FG16" s="24"/>
      <c r="FH16" s="24"/>
      <c r="FI16" s="24"/>
      <c r="FJ16" s="24"/>
      <c r="FK16" s="24"/>
      <c r="FL16" s="24"/>
      <c r="FM16" s="24"/>
      <c r="FN16" s="24"/>
      <c r="FO16" s="27">
        <f t="shared" ref="FO16:FV16" si="15">IFERROR(R16*1,0)+IFERROR(AE16*1,0)+IFERROR(AR16*1,0)+IFERROR(BE16*1,0)+IFERROR(BR16*1,0)+IFERROR(CE16*1,0)+IFERROR(CR16*1,0)+IFERROR(DE16*1,0)+IFERROR(DR16*1,0)+IFERROR(EE16*1,0)+IFERROR(ER16*1,0)+IFERROR(FE16*1,0)</f>
        <v>0</v>
      </c>
      <c r="FP16" s="27">
        <f t="shared" si="15"/>
        <v>0</v>
      </c>
      <c r="FQ16" s="27">
        <f t="shared" si="15"/>
        <v>0</v>
      </c>
      <c r="FR16" s="27">
        <f t="shared" si="15"/>
        <v>0</v>
      </c>
      <c r="FS16" s="27">
        <f t="shared" si="15"/>
        <v>0</v>
      </c>
      <c r="FT16" s="27">
        <f t="shared" si="15"/>
        <v>0</v>
      </c>
      <c r="FU16" s="27">
        <f t="shared" si="15"/>
        <v>0</v>
      </c>
      <c r="FV16" s="27">
        <f t="shared" si="15"/>
        <v>0</v>
      </c>
      <c r="FW16" s="28"/>
      <c r="FX16" s="29">
        <f t="shared" si="3"/>
        <v>0</v>
      </c>
    </row>
    <row r="17" spans="1:180" ht="18" customHeight="1" x14ac:dyDescent="0.25">
      <c r="A17" s="3" t="str">
        <f>IF(C17&lt;&gt;"","DRG-"&amp;TEXT(14,"000"),"")</f>
        <v>DRG-014</v>
      </c>
      <c r="B17" s="19" t="s">
        <v>55</v>
      </c>
      <c r="C17" s="20" t="s">
        <v>55</v>
      </c>
      <c r="D17" s="20" t="s">
        <v>56</v>
      </c>
      <c r="E17" s="20" t="s">
        <v>79</v>
      </c>
      <c r="F17" s="20" t="s">
        <v>58</v>
      </c>
      <c r="G17" s="21"/>
      <c r="H17" s="21"/>
      <c r="I17" s="22">
        <v>0.95833333333333337</v>
      </c>
      <c r="J17" s="21"/>
      <c r="K17" s="21"/>
      <c r="L17" s="21">
        <v>4</v>
      </c>
      <c r="M17" s="30" t="str">
        <f t="shared" si="0"/>
        <v>✘ Pending</v>
      </c>
      <c r="N17" s="30">
        <f t="shared" si="1"/>
        <v>0</v>
      </c>
      <c r="O17" s="31"/>
      <c r="P17" s="32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1"/>
      <c r="AC17" s="32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1"/>
      <c r="AP17" s="32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1"/>
      <c r="BC17" s="32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1"/>
      <c r="BP17" s="32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1"/>
      <c r="CC17" s="32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1"/>
      <c r="CP17" s="32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1"/>
      <c r="DC17" s="32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1"/>
      <c r="DP17" s="32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1"/>
      <c r="EC17" s="32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1"/>
      <c r="EP17" s="32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1"/>
      <c r="FC17" s="32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4">
        <f t="shared" ref="FO17:FV17" si="16">IFERROR(R17*1,0)+IFERROR(AE17*1,0)+IFERROR(AR17*1,0)+IFERROR(BE17*1,0)+IFERROR(BR17*1,0)+IFERROR(CE17*1,0)+IFERROR(CR17*1,0)+IFERROR(DE17*1,0)+IFERROR(DR17*1,0)+IFERROR(EE17*1,0)+IFERROR(ER17*1,0)+IFERROR(FE17*1,0)</f>
        <v>0</v>
      </c>
      <c r="FP17" s="34">
        <f t="shared" si="16"/>
        <v>0</v>
      </c>
      <c r="FQ17" s="34">
        <f t="shared" si="16"/>
        <v>0</v>
      </c>
      <c r="FR17" s="34">
        <f t="shared" si="16"/>
        <v>0</v>
      </c>
      <c r="FS17" s="34">
        <f t="shared" si="16"/>
        <v>0</v>
      </c>
      <c r="FT17" s="34">
        <f t="shared" si="16"/>
        <v>0</v>
      </c>
      <c r="FU17" s="34">
        <f t="shared" si="16"/>
        <v>0</v>
      </c>
      <c r="FV17" s="34">
        <f t="shared" si="16"/>
        <v>0</v>
      </c>
      <c r="FW17" s="28"/>
      <c r="FX17" s="29">
        <f t="shared" si="3"/>
        <v>0</v>
      </c>
    </row>
    <row r="18" spans="1:180" ht="18" customHeight="1" x14ac:dyDescent="0.25">
      <c r="A18" s="3" t="str">
        <f>IF(C18&lt;&gt;"","DRG-"&amp;TEXT(15,"000"),"")</f>
        <v>DRG-015</v>
      </c>
      <c r="B18" s="19" t="s">
        <v>55</v>
      </c>
      <c r="C18" s="20" t="s">
        <v>55</v>
      </c>
      <c r="D18" s="20" t="s">
        <v>56</v>
      </c>
      <c r="E18" s="20" t="s">
        <v>80</v>
      </c>
      <c r="F18" s="20" t="s">
        <v>58</v>
      </c>
      <c r="G18" s="21"/>
      <c r="H18" s="21"/>
      <c r="I18" s="21"/>
      <c r="J18" s="21"/>
      <c r="K18" s="21"/>
      <c r="L18" s="21">
        <v>4</v>
      </c>
      <c r="M18" s="23" t="str">
        <f t="shared" si="0"/>
        <v>✘ Pending</v>
      </c>
      <c r="N18" s="23">
        <f t="shared" si="1"/>
        <v>0</v>
      </c>
      <c r="O18" s="25"/>
      <c r="P18" s="26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5"/>
      <c r="AC18" s="26"/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5"/>
      <c r="AP18" s="26"/>
      <c r="AQ18" s="24"/>
      <c r="AR18" s="24"/>
      <c r="AS18" s="24"/>
      <c r="AT18" s="24"/>
      <c r="AU18" s="24"/>
      <c r="AV18" s="24"/>
      <c r="AW18" s="24"/>
      <c r="AX18" s="24"/>
      <c r="AY18" s="24"/>
      <c r="AZ18" s="24"/>
      <c r="BA18" s="24"/>
      <c r="BB18" s="25"/>
      <c r="BC18" s="26"/>
      <c r="BD18" s="24"/>
      <c r="BE18" s="24"/>
      <c r="BF18" s="24"/>
      <c r="BG18" s="24"/>
      <c r="BH18" s="24"/>
      <c r="BI18" s="24"/>
      <c r="BJ18" s="24"/>
      <c r="BK18" s="24"/>
      <c r="BL18" s="24"/>
      <c r="BM18" s="24"/>
      <c r="BN18" s="24"/>
      <c r="BO18" s="25"/>
      <c r="BP18" s="26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5"/>
      <c r="CC18" s="26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5"/>
      <c r="CP18" s="26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5"/>
      <c r="DC18" s="26"/>
      <c r="DD18" s="24"/>
      <c r="DE18" s="24"/>
      <c r="DF18" s="24"/>
      <c r="DG18" s="24"/>
      <c r="DH18" s="24"/>
      <c r="DI18" s="24"/>
      <c r="DJ18" s="24"/>
      <c r="DK18" s="24"/>
      <c r="DL18" s="24"/>
      <c r="DM18" s="24"/>
      <c r="DN18" s="24"/>
      <c r="DO18" s="25"/>
      <c r="DP18" s="26"/>
      <c r="DQ18" s="24"/>
      <c r="DR18" s="24"/>
      <c r="DS18" s="24"/>
      <c r="DT18" s="24"/>
      <c r="DU18" s="24"/>
      <c r="DV18" s="24"/>
      <c r="DW18" s="24"/>
      <c r="DX18" s="24"/>
      <c r="DY18" s="24"/>
      <c r="DZ18" s="24"/>
      <c r="EA18" s="24"/>
      <c r="EB18" s="25"/>
      <c r="EC18" s="26"/>
      <c r="ED18" s="24"/>
      <c r="EE18" s="24"/>
      <c r="EF18" s="24"/>
      <c r="EG18" s="24"/>
      <c r="EH18" s="24"/>
      <c r="EI18" s="24"/>
      <c r="EJ18" s="24"/>
      <c r="EK18" s="24"/>
      <c r="EL18" s="24"/>
      <c r="EM18" s="24"/>
      <c r="EN18" s="24"/>
      <c r="EO18" s="25"/>
      <c r="EP18" s="26"/>
      <c r="EQ18" s="24"/>
      <c r="ER18" s="24"/>
      <c r="ES18" s="24"/>
      <c r="ET18" s="24"/>
      <c r="EU18" s="24"/>
      <c r="EV18" s="24"/>
      <c r="EW18" s="24"/>
      <c r="EX18" s="24"/>
      <c r="EY18" s="24"/>
      <c r="EZ18" s="24"/>
      <c r="FA18" s="24"/>
      <c r="FB18" s="25"/>
      <c r="FC18" s="26"/>
      <c r="FD18" s="24"/>
      <c r="FE18" s="24"/>
      <c r="FF18" s="24"/>
      <c r="FG18" s="24"/>
      <c r="FH18" s="24"/>
      <c r="FI18" s="24"/>
      <c r="FJ18" s="24"/>
      <c r="FK18" s="24"/>
      <c r="FL18" s="24"/>
      <c r="FM18" s="24"/>
      <c r="FN18" s="24"/>
      <c r="FO18" s="27">
        <f t="shared" ref="FO18:FV18" si="17">IFERROR(R18*1,0)+IFERROR(AE18*1,0)+IFERROR(AR18*1,0)+IFERROR(BE18*1,0)+IFERROR(BR18*1,0)+IFERROR(CE18*1,0)+IFERROR(CR18*1,0)+IFERROR(DE18*1,0)+IFERROR(DR18*1,0)+IFERROR(EE18*1,0)+IFERROR(ER18*1,0)+IFERROR(FE18*1,0)</f>
        <v>0</v>
      </c>
      <c r="FP18" s="27">
        <f t="shared" si="17"/>
        <v>0</v>
      </c>
      <c r="FQ18" s="27">
        <f t="shared" si="17"/>
        <v>0</v>
      </c>
      <c r="FR18" s="27">
        <f t="shared" si="17"/>
        <v>0</v>
      </c>
      <c r="FS18" s="27">
        <f t="shared" si="17"/>
        <v>0</v>
      </c>
      <c r="FT18" s="27">
        <f t="shared" si="17"/>
        <v>0</v>
      </c>
      <c r="FU18" s="27">
        <f t="shared" si="17"/>
        <v>0</v>
      </c>
      <c r="FV18" s="27">
        <f t="shared" si="17"/>
        <v>0</v>
      </c>
      <c r="FW18" s="28"/>
      <c r="FX18" s="29">
        <f t="shared" si="3"/>
        <v>0</v>
      </c>
    </row>
    <row r="19" spans="1:180" ht="18" customHeight="1" x14ac:dyDescent="0.25">
      <c r="A19" s="3" t="str">
        <f>IF(C19&lt;&gt;"","DRG-"&amp;TEXT(16,"000"),"")</f>
        <v>DRG-016</v>
      </c>
      <c r="B19" s="19" t="s">
        <v>55</v>
      </c>
      <c r="C19" s="20" t="s">
        <v>55</v>
      </c>
      <c r="D19" s="20" t="s">
        <v>56</v>
      </c>
      <c r="E19" s="20" t="s">
        <v>81</v>
      </c>
      <c r="F19" s="20" t="s">
        <v>69</v>
      </c>
      <c r="G19" s="21"/>
      <c r="H19" s="21"/>
      <c r="I19" s="21"/>
      <c r="J19" s="21"/>
      <c r="K19" s="21"/>
      <c r="L19" s="21">
        <v>4</v>
      </c>
      <c r="M19" s="30" t="str">
        <f t="shared" si="0"/>
        <v>✘ Pending</v>
      </c>
      <c r="N19" s="30">
        <f t="shared" si="1"/>
        <v>0</v>
      </c>
      <c r="O19" s="31"/>
      <c r="P19" s="32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1"/>
      <c r="AC19" s="32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1"/>
      <c r="AP19" s="32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1"/>
      <c r="BC19" s="32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1"/>
      <c r="BP19" s="32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1"/>
      <c r="CC19" s="32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1"/>
      <c r="CP19" s="32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1"/>
      <c r="DC19" s="32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1"/>
      <c r="DP19" s="32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1"/>
      <c r="EC19" s="32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1"/>
      <c r="EP19" s="32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1"/>
      <c r="FC19" s="32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4">
        <f t="shared" ref="FO19:FV19" si="18">IFERROR(R19*1,0)+IFERROR(AE19*1,0)+IFERROR(AR19*1,0)+IFERROR(BE19*1,0)+IFERROR(BR19*1,0)+IFERROR(CE19*1,0)+IFERROR(CR19*1,0)+IFERROR(DE19*1,0)+IFERROR(DR19*1,0)+IFERROR(EE19*1,0)+IFERROR(ER19*1,0)+IFERROR(FE19*1,0)</f>
        <v>0</v>
      </c>
      <c r="FP19" s="34">
        <f t="shared" si="18"/>
        <v>0</v>
      </c>
      <c r="FQ19" s="34">
        <f t="shared" si="18"/>
        <v>0</v>
      </c>
      <c r="FR19" s="34">
        <f t="shared" si="18"/>
        <v>0</v>
      </c>
      <c r="FS19" s="34">
        <f t="shared" si="18"/>
        <v>0</v>
      </c>
      <c r="FT19" s="34">
        <f t="shared" si="18"/>
        <v>0</v>
      </c>
      <c r="FU19" s="34">
        <f t="shared" si="18"/>
        <v>0</v>
      </c>
      <c r="FV19" s="34">
        <f t="shared" si="18"/>
        <v>0</v>
      </c>
      <c r="FW19" s="28"/>
      <c r="FX19" s="29">
        <f t="shared" si="3"/>
        <v>0</v>
      </c>
    </row>
    <row r="20" spans="1:180" ht="18" customHeight="1" x14ac:dyDescent="0.25">
      <c r="A20" s="3" t="str">
        <f>IF(C20&lt;&gt;"","DRG-"&amp;TEXT(17,"000"),"")</f>
        <v>DRG-017</v>
      </c>
      <c r="B20" s="19" t="s">
        <v>55</v>
      </c>
      <c r="C20" s="20" t="s">
        <v>55</v>
      </c>
      <c r="D20" s="20" t="s">
        <v>56</v>
      </c>
      <c r="E20" s="20" t="s">
        <v>82</v>
      </c>
      <c r="F20" s="20" t="s">
        <v>69</v>
      </c>
      <c r="G20" s="21"/>
      <c r="H20" s="21"/>
      <c r="I20" s="21"/>
      <c r="J20" s="21"/>
      <c r="K20" s="21"/>
      <c r="L20" s="21">
        <v>4</v>
      </c>
      <c r="M20" s="23" t="str">
        <f t="shared" si="0"/>
        <v>✘ Pending</v>
      </c>
      <c r="N20" s="23">
        <f t="shared" si="1"/>
        <v>0</v>
      </c>
      <c r="O20" s="25"/>
      <c r="P20" s="26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5"/>
      <c r="AC20" s="26"/>
      <c r="AD20" s="24"/>
      <c r="AE20" s="24"/>
      <c r="AF20" s="24"/>
      <c r="AG20" s="24"/>
      <c r="AH20" s="24"/>
      <c r="AI20" s="24"/>
      <c r="AJ20" s="24"/>
      <c r="AK20" s="24"/>
      <c r="AL20" s="24"/>
      <c r="AM20" s="24"/>
      <c r="AN20" s="24"/>
      <c r="AO20" s="25"/>
      <c r="AP20" s="26"/>
      <c r="AQ20" s="24"/>
      <c r="AR20" s="24"/>
      <c r="AS20" s="24"/>
      <c r="AT20" s="24"/>
      <c r="AU20" s="24"/>
      <c r="AV20" s="24"/>
      <c r="AW20" s="24"/>
      <c r="AX20" s="24"/>
      <c r="AY20" s="24"/>
      <c r="AZ20" s="24"/>
      <c r="BA20" s="24"/>
      <c r="BB20" s="25"/>
      <c r="BC20" s="26"/>
      <c r="BD20" s="24"/>
      <c r="BE20" s="24"/>
      <c r="BF20" s="24"/>
      <c r="BG20" s="24"/>
      <c r="BH20" s="24"/>
      <c r="BI20" s="24"/>
      <c r="BJ20" s="24"/>
      <c r="BK20" s="24"/>
      <c r="BL20" s="24"/>
      <c r="BM20" s="24"/>
      <c r="BN20" s="24"/>
      <c r="BO20" s="25"/>
      <c r="BP20" s="26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5"/>
      <c r="CC20" s="26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5"/>
      <c r="CP20" s="26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5"/>
      <c r="DC20" s="26"/>
      <c r="DD20" s="24"/>
      <c r="DE20" s="24"/>
      <c r="DF20" s="24"/>
      <c r="DG20" s="24"/>
      <c r="DH20" s="24"/>
      <c r="DI20" s="24"/>
      <c r="DJ20" s="24"/>
      <c r="DK20" s="24"/>
      <c r="DL20" s="24"/>
      <c r="DM20" s="24"/>
      <c r="DN20" s="24"/>
      <c r="DO20" s="25"/>
      <c r="DP20" s="26"/>
      <c r="DQ20" s="24"/>
      <c r="DR20" s="24"/>
      <c r="DS20" s="24"/>
      <c r="DT20" s="24"/>
      <c r="DU20" s="24"/>
      <c r="DV20" s="24"/>
      <c r="DW20" s="24"/>
      <c r="DX20" s="24"/>
      <c r="DY20" s="24"/>
      <c r="DZ20" s="24"/>
      <c r="EA20" s="24"/>
      <c r="EB20" s="25"/>
      <c r="EC20" s="26"/>
      <c r="ED20" s="24"/>
      <c r="EE20" s="24"/>
      <c r="EF20" s="24"/>
      <c r="EG20" s="24"/>
      <c r="EH20" s="24"/>
      <c r="EI20" s="24"/>
      <c r="EJ20" s="24"/>
      <c r="EK20" s="24"/>
      <c r="EL20" s="24"/>
      <c r="EM20" s="24"/>
      <c r="EN20" s="24"/>
      <c r="EO20" s="25"/>
      <c r="EP20" s="26"/>
      <c r="EQ20" s="24"/>
      <c r="ER20" s="24"/>
      <c r="ES20" s="24"/>
      <c r="ET20" s="24"/>
      <c r="EU20" s="24"/>
      <c r="EV20" s="24"/>
      <c r="EW20" s="24"/>
      <c r="EX20" s="24"/>
      <c r="EY20" s="24"/>
      <c r="EZ20" s="24"/>
      <c r="FA20" s="24"/>
      <c r="FB20" s="25"/>
      <c r="FC20" s="26"/>
      <c r="FD20" s="24"/>
      <c r="FE20" s="24"/>
      <c r="FF20" s="24"/>
      <c r="FG20" s="24"/>
      <c r="FH20" s="24"/>
      <c r="FI20" s="24"/>
      <c r="FJ20" s="24"/>
      <c r="FK20" s="24"/>
      <c r="FL20" s="24"/>
      <c r="FM20" s="24"/>
      <c r="FN20" s="24"/>
      <c r="FO20" s="27">
        <f t="shared" ref="FO20:FV20" si="19">IFERROR(R20*1,0)+IFERROR(AE20*1,0)+IFERROR(AR20*1,0)+IFERROR(BE20*1,0)+IFERROR(BR20*1,0)+IFERROR(CE20*1,0)+IFERROR(CR20*1,0)+IFERROR(DE20*1,0)+IFERROR(DR20*1,0)+IFERROR(EE20*1,0)+IFERROR(ER20*1,0)+IFERROR(FE20*1,0)</f>
        <v>0</v>
      </c>
      <c r="FP20" s="27">
        <f t="shared" si="19"/>
        <v>0</v>
      </c>
      <c r="FQ20" s="27">
        <f t="shared" si="19"/>
        <v>0</v>
      </c>
      <c r="FR20" s="27">
        <f t="shared" si="19"/>
        <v>0</v>
      </c>
      <c r="FS20" s="27">
        <f t="shared" si="19"/>
        <v>0</v>
      </c>
      <c r="FT20" s="27">
        <f t="shared" si="19"/>
        <v>0</v>
      </c>
      <c r="FU20" s="27">
        <f t="shared" si="19"/>
        <v>0</v>
      </c>
      <c r="FV20" s="27">
        <f t="shared" si="19"/>
        <v>0</v>
      </c>
      <c r="FW20" s="28"/>
      <c r="FX20" s="29">
        <f t="shared" si="3"/>
        <v>0</v>
      </c>
    </row>
    <row r="21" spans="1:180" ht="18" customHeight="1" x14ac:dyDescent="0.25">
      <c r="A21" s="3" t="str">
        <f>IF(C21&lt;&gt;"","DRG-"&amp;TEXT(18,"000"),"")</f>
        <v>DRG-018</v>
      </c>
      <c r="B21" s="19" t="s">
        <v>55</v>
      </c>
      <c r="C21" s="20" t="s">
        <v>55</v>
      </c>
      <c r="D21" s="20" t="s">
        <v>56</v>
      </c>
      <c r="E21" s="20" t="s">
        <v>83</v>
      </c>
      <c r="F21" s="20" t="s">
        <v>69</v>
      </c>
      <c r="G21" s="21"/>
      <c r="H21" s="21"/>
      <c r="I21" s="21"/>
      <c r="J21" s="21"/>
      <c r="K21" s="21"/>
      <c r="L21" s="21">
        <v>4</v>
      </c>
      <c r="M21" s="30" t="str">
        <f t="shared" si="0"/>
        <v>✘ Pending</v>
      </c>
      <c r="N21" s="30">
        <f t="shared" si="1"/>
        <v>0</v>
      </c>
      <c r="O21" s="31"/>
      <c r="P21" s="32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1"/>
      <c r="AC21" s="32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1"/>
      <c r="AP21" s="32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1"/>
      <c r="BC21" s="32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1"/>
      <c r="BP21" s="32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1"/>
      <c r="CC21" s="32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1"/>
      <c r="CP21" s="32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1"/>
      <c r="DC21" s="32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1"/>
      <c r="DP21" s="32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1"/>
      <c r="EC21" s="32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1"/>
      <c r="EP21" s="32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1"/>
      <c r="FC21" s="32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4">
        <f t="shared" ref="FO21:FV21" si="20">IFERROR(R21*1,0)+IFERROR(AE21*1,0)+IFERROR(AR21*1,0)+IFERROR(BE21*1,0)+IFERROR(BR21*1,0)+IFERROR(CE21*1,0)+IFERROR(CR21*1,0)+IFERROR(DE21*1,0)+IFERROR(DR21*1,0)+IFERROR(EE21*1,0)+IFERROR(ER21*1,0)+IFERROR(FE21*1,0)</f>
        <v>0</v>
      </c>
      <c r="FP21" s="34">
        <f t="shared" si="20"/>
        <v>0</v>
      </c>
      <c r="FQ21" s="34">
        <f t="shared" si="20"/>
        <v>0</v>
      </c>
      <c r="FR21" s="34">
        <f t="shared" si="20"/>
        <v>0</v>
      </c>
      <c r="FS21" s="34">
        <f t="shared" si="20"/>
        <v>0</v>
      </c>
      <c r="FT21" s="34">
        <f t="shared" si="20"/>
        <v>0</v>
      </c>
      <c r="FU21" s="34">
        <f t="shared" si="20"/>
        <v>0</v>
      </c>
      <c r="FV21" s="34">
        <f t="shared" si="20"/>
        <v>0</v>
      </c>
      <c r="FW21" s="28"/>
      <c r="FX21" s="29">
        <f t="shared" si="3"/>
        <v>0</v>
      </c>
    </row>
    <row r="22" spans="1:180" ht="18" customHeight="1" x14ac:dyDescent="0.25">
      <c r="A22" s="3" t="str">
        <f>IF(C22&lt;&gt;"","DRG-"&amp;TEXT(19,"000"),"")</f>
        <v>DRG-019</v>
      </c>
      <c r="B22" s="19" t="s">
        <v>55</v>
      </c>
      <c r="C22" s="20" t="s">
        <v>55</v>
      </c>
      <c r="D22" s="20" t="s">
        <v>56</v>
      </c>
      <c r="E22" s="20" t="s">
        <v>84</v>
      </c>
      <c r="F22" s="20" t="s">
        <v>69</v>
      </c>
      <c r="G22" s="21"/>
      <c r="H22" s="21"/>
      <c r="I22" s="21"/>
      <c r="J22" s="21"/>
      <c r="K22" s="21"/>
      <c r="L22" s="21">
        <v>4</v>
      </c>
      <c r="M22" s="23" t="str">
        <f t="shared" si="0"/>
        <v>✘ Pending</v>
      </c>
      <c r="N22" s="23">
        <f t="shared" si="1"/>
        <v>0</v>
      </c>
      <c r="O22" s="25"/>
      <c r="P22" s="26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5"/>
      <c r="AC22" s="26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5"/>
      <c r="AP22" s="26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5"/>
      <c r="BC22" s="26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5"/>
      <c r="BP22" s="26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5"/>
      <c r="CC22" s="26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5"/>
      <c r="CP22" s="26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5"/>
      <c r="DC22" s="26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5"/>
      <c r="DP22" s="26"/>
      <c r="DQ22" s="24"/>
      <c r="DR22" s="24"/>
      <c r="DS22" s="24"/>
      <c r="DT22" s="24"/>
      <c r="DU22" s="24"/>
      <c r="DV22" s="24"/>
      <c r="DW22" s="24"/>
      <c r="DX22" s="24"/>
      <c r="DY22" s="24"/>
      <c r="DZ22" s="24"/>
      <c r="EA22" s="24"/>
      <c r="EB22" s="25"/>
      <c r="EC22" s="26"/>
      <c r="ED22" s="24"/>
      <c r="EE22" s="24"/>
      <c r="EF22" s="24"/>
      <c r="EG22" s="24"/>
      <c r="EH22" s="24"/>
      <c r="EI22" s="24"/>
      <c r="EJ22" s="24"/>
      <c r="EK22" s="24"/>
      <c r="EL22" s="24"/>
      <c r="EM22" s="24"/>
      <c r="EN22" s="24"/>
      <c r="EO22" s="25"/>
      <c r="EP22" s="26"/>
      <c r="EQ22" s="24"/>
      <c r="ER22" s="24"/>
      <c r="ES22" s="24"/>
      <c r="ET22" s="24"/>
      <c r="EU22" s="24"/>
      <c r="EV22" s="24"/>
      <c r="EW22" s="24"/>
      <c r="EX22" s="24"/>
      <c r="EY22" s="24"/>
      <c r="EZ22" s="24"/>
      <c r="FA22" s="24"/>
      <c r="FB22" s="25"/>
      <c r="FC22" s="26"/>
      <c r="FD22" s="24"/>
      <c r="FE22" s="24"/>
      <c r="FF22" s="24"/>
      <c r="FG22" s="24"/>
      <c r="FH22" s="24"/>
      <c r="FI22" s="24"/>
      <c r="FJ22" s="24"/>
      <c r="FK22" s="24"/>
      <c r="FL22" s="24"/>
      <c r="FM22" s="24"/>
      <c r="FN22" s="24"/>
      <c r="FO22" s="27">
        <f t="shared" ref="FO22:FV22" si="21">IFERROR(R22*1,0)+IFERROR(AE22*1,0)+IFERROR(AR22*1,0)+IFERROR(BE22*1,0)+IFERROR(BR22*1,0)+IFERROR(CE22*1,0)+IFERROR(CR22*1,0)+IFERROR(DE22*1,0)+IFERROR(DR22*1,0)+IFERROR(EE22*1,0)+IFERROR(ER22*1,0)+IFERROR(FE22*1,0)</f>
        <v>0</v>
      </c>
      <c r="FP22" s="27">
        <f t="shared" si="21"/>
        <v>0</v>
      </c>
      <c r="FQ22" s="27">
        <f t="shared" si="21"/>
        <v>0</v>
      </c>
      <c r="FR22" s="27">
        <f t="shared" si="21"/>
        <v>0</v>
      </c>
      <c r="FS22" s="27">
        <f t="shared" si="21"/>
        <v>0</v>
      </c>
      <c r="FT22" s="27">
        <f t="shared" si="21"/>
        <v>0</v>
      </c>
      <c r="FU22" s="27">
        <f t="shared" si="21"/>
        <v>0</v>
      </c>
      <c r="FV22" s="27">
        <f t="shared" si="21"/>
        <v>0</v>
      </c>
      <c r="FW22" s="28"/>
      <c r="FX22" s="29">
        <f t="shared" si="3"/>
        <v>0</v>
      </c>
    </row>
    <row r="23" spans="1:180" ht="18" customHeight="1" x14ac:dyDescent="0.25">
      <c r="A23" s="3" t="str">
        <f>IF(C23&lt;&gt;"","DRG-"&amp;TEXT(20,"000"),"")</f>
        <v>DRG-020</v>
      </c>
      <c r="B23" s="19" t="s">
        <v>55</v>
      </c>
      <c r="C23" s="20" t="s">
        <v>55</v>
      </c>
      <c r="D23" s="20" t="s">
        <v>56</v>
      </c>
      <c r="E23" s="20" t="s">
        <v>85</v>
      </c>
      <c r="F23" s="20" t="s">
        <v>69</v>
      </c>
      <c r="G23" s="21"/>
      <c r="H23" s="21"/>
      <c r="I23" s="21"/>
      <c r="J23" s="21"/>
      <c r="K23" s="21"/>
      <c r="L23" s="21">
        <v>4</v>
      </c>
      <c r="M23" s="30" t="str">
        <f t="shared" si="0"/>
        <v>✘ Pending</v>
      </c>
      <c r="N23" s="30">
        <f t="shared" si="1"/>
        <v>0</v>
      </c>
      <c r="O23" s="31"/>
      <c r="P23" s="32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1"/>
      <c r="AC23" s="32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1"/>
      <c r="AP23" s="32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1"/>
      <c r="BC23" s="32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1"/>
      <c r="BP23" s="32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1"/>
      <c r="CC23" s="32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1"/>
      <c r="CP23" s="32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1"/>
      <c r="DC23" s="32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1"/>
      <c r="DP23" s="32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1"/>
      <c r="EC23" s="32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1"/>
      <c r="EP23" s="32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1"/>
      <c r="FC23" s="32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4">
        <f t="shared" ref="FO23:FV23" si="22">IFERROR(R23*1,0)+IFERROR(AE23*1,0)+IFERROR(AR23*1,0)+IFERROR(BE23*1,0)+IFERROR(BR23*1,0)+IFERROR(CE23*1,0)+IFERROR(CR23*1,0)+IFERROR(DE23*1,0)+IFERROR(DR23*1,0)+IFERROR(EE23*1,0)+IFERROR(ER23*1,0)+IFERROR(FE23*1,0)</f>
        <v>0</v>
      </c>
      <c r="FP23" s="34">
        <f t="shared" si="22"/>
        <v>0</v>
      </c>
      <c r="FQ23" s="34">
        <f t="shared" si="22"/>
        <v>0</v>
      </c>
      <c r="FR23" s="34">
        <f t="shared" si="22"/>
        <v>0</v>
      </c>
      <c r="FS23" s="34">
        <f t="shared" si="22"/>
        <v>0</v>
      </c>
      <c r="FT23" s="34">
        <f t="shared" si="22"/>
        <v>0</v>
      </c>
      <c r="FU23" s="34">
        <f t="shared" si="22"/>
        <v>0</v>
      </c>
      <c r="FV23" s="34">
        <f t="shared" si="22"/>
        <v>0</v>
      </c>
      <c r="FW23" s="28"/>
      <c r="FX23" s="29">
        <f t="shared" si="3"/>
        <v>0</v>
      </c>
    </row>
    <row r="24" spans="1:180" ht="18" customHeight="1" x14ac:dyDescent="0.25">
      <c r="A24" s="3" t="str">
        <f>IF(C24&lt;&gt;"","DRG-"&amp;TEXT(21,"000"),"")</f>
        <v>DRG-021</v>
      </c>
      <c r="B24" s="19" t="s">
        <v>55</v>
      </c>
      <c r="C24" s="20" t="s">
        <v>55</v>
      </c>
      <c r="D24" s="20" t="s">
        <v>56</v>
      </c>
      <c r="E24" s="20" t="s">
        <v>86</v>
      </c>
      <c r="F24" s="20" t="s">
        <v>69</v>
      </c>
      <c r="G24" s="21"/>
      <c r="H24" s="21"/>
      <c r="I24" s="21"/>
      <c r="J24" s="21"/>
      <c r="K24" s="21"/>
      <c r="L24" s="21">
        <v>4</v>
      </c>
      <c r="M24" s="23" t="str">
        <f t="shared" si="0"/>
        <v>✘ Pending</v>
      </c>
      <c r="N24" s="23">
        <f t="shared" si="1"/>
        <v>0</v>
      </c>
      <c r="O24" s="25"/>
      <c r="P24" s="26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5"/>
      <c r="AC24" s="26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5"/>
      <c r="AP24" s="26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5"/>
      <c r="BC24" s="26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5"/>
      <c r="BP24" s="26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5"/>
      <c r="CC24" s="26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5"/>
      <c r="CP24" s="26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5"/>
      <c r="DC24" s="26"/>
      <c r="DD24" s="24"/>
      <c r="DE24" s="24"/>
      <c r="DF24" s="24"/>
      <c r="DG24" s="24"/>
      <c r="DH24" s="24"/>
      <c r="DI24" s="24"/>
      <c r="DJ24" s="24"/>
      <c r="DK24" s="24"/>
      <c r="DL24" s="24"/>
      <c r="DM24" s="24"/>
      <c r="DN24" s="24"/>
      <c r="DO24" s="25"/>
      <c r="DP24" s="26"/>
      <c r="DQ24" s="24"/>
      <c r="DR24" s="24"/>
      <c r="DS24" s="24"/>
      <c r="DT24" s="24"/>
      <c r="DU24" s="24"/>
      <c r="DV24" s="24"/>
      <c r="DW24" s="24"/>
      <c r="DX24" s="24"/>
      <c r="DY24" s="24"/>
      <c r="DZ24" s="24"/>
      <c r="EA24" s="24"/>
      <c r="EB24" s="25"/>
      <c r="EC24" s="26"/>
      <c r="ED24" s="24"/>
      <c r="EE24" s="24"/>
      <c r="EF24" s="24"/>
      <c r="EG24" s="24"/>
      <c r="EH24" s="24"/>
      <c r="EI24" s="24"/>
      <c r="EJ24" s="24"/>
      <c r="EK24" s="24"/>
      <c r="EL24" s="24"/>
      <c r="EM24" s="24"/>
      <c r="EN24" s="24"/>
      <c r="EO24" s="25"/>
      <c r="EP24" s="26"/>
      <c r="EQ24" s="24"/>
      <c r="ER24" s="24"/>
      <c r="ES24" s="24"/>
      <c r="ET24" s="24"/>
      <c r="EU24" s="24"/>
      <c r="EV24" s="24"/>
      <c r="EW24" s="24"/>
      <c r="EX24" s="24"/>
      <c r="EY24" s="24"/>
      <c r="EZ24" s="24"/>
      <c r="FA24" s="24"/>
      <c r="FB24" s="25"/>
      <c r="FC24" s="26"/>
      <c r="FD24" s="24"/>
      <c r="FE24" s="24"/>
      <c r="FF24" s="24"/>
      <c r="FG24" s="24"/>
      <c r="FH24" s="24"/>
      <c r="FI24" s="24"/>
      <c r="FJ24" s="24"/>
      <c r="FK24" s="24"/>
      <c r="FL24" s="24"/>
      <c r="FM24" s="24"/>
      <c r="FN24" s="24"/>
      <c r="FO24" s="27">
        <f t="shared" ref="FO24:FV24" si="23">IFERROR(R24*1,0)+IFERROR(AE24*1,0)+IFERROR(AR24*1,0)+IFERROR(BE24*1,0)+IFERROR(BR24*1,0)+IFERROR(CE24*1,0)+IFERROR(CR24*1,0)+IFERROR(DE24*1,0)+IFERROR(DR24*1,0)+IFERROR(EE24*1,0)+IFERROR(ER24*1,0)+IFERROR(FE24*1,0)</f>
        <v>0</v>
      </c>
      <c r="FP24" s="27">
        <f t="shared" si="23"/>
        <v>0</v>
      </c>
      <c r="FQ24" s="27">
        <f t="shared" si="23"/>
        <v>0</v>
      </c>
      <c r="FR24" s="27">
        <f t="shared" si="23"/>
        <v>0</v>
      </c>
      <c r="FS24" s="27">
        <f t="shared" si="23"/>
        <v>0</v>
      </c>
      <c r="FT24" s="27">
        <f t="shared" si="23"/>
        <v>0</v>
      </c>
      <c r="FU24" s="27">
        <f t="shared" si="23"/>
        <v>0</v>
      </c>
      <c r="FV24" s="27">
        <f t="shared" si="23"/>
        <v>0</v>
      </c>
      <c r="FW24" s="28"/>
      <c r="FX24" s="29">
        <f t="shared" si="3"/>
        <v>0</v>
      </c>
    </row>
    <row r="25" spans="1:180" ht="18" customHeight="1" x14ac:dyDescent="0.25">
      <c r="A25" s="3" t="str">
        <f>IF(C25&lt;&gt;"","DRG-"&amp;TEXT(22,"000"),"")</f>
        <v>DRG-022</v>
      </c>
      <c r="B25" s="19" t="s">
        <v>55</v>
      </c>
      <c r="C25" s="20" t="s">
        <v>55</v>
      </c>
      <c r="D25" s="20" t="s">
        <v>56</v>
      </c>
      <c r="E25" s="20" t="s">
        <v>87</v>
      </c>
      <c r="F25" s="20" t="s">
        <v>69</v>
      </c>
      <c r="G25" s="21"/>
      <c r="H25" s="21"/>
      <c r="I25" s="21"/>
      <c r="J25" s="21"/>
      <c r="K25" s="21"/>
      <c r="L25" s="21">
        <v>4</v>
      </c>
      <c r="M25" s="30" t="str">
        <f t="shared" si="0"/>
        <v>✘ Pending</v>
      </c>
      <c r="N25" s="30">
        <f t="shared" si="1"/>
        <v>0</v>
      </c>
      <c r="O25" s="31"/>
      <c r="P25" s="32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1"/>
      <c r="AC25" s="32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1"/>
      <c r="AP25" s="32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1"/>
      <c r="BC25" s="32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1"/>
      <c r="BP25" s="32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1"/>
      <c r="CC25" s="32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1"/>
      <c r="CP25" s="32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1"/>
      <c r="DC25" s="32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1"/>
      <c r="DP25" s="32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1"/>
      <c r="EC25" s="32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1"/>
      <c r="EP25" s="32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1"/>
      <c r="FC25" s="32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4">
        <f t="shared" ref="FO25:FV25" si="24">IFERROR(R25*1,0)+IFERROR(AE25*1,0)+IFERROR(AR25*1,0)+IFERROR(BE25*1,0)+IFERROR(BR25*1,0)+IFERROR(CE25*1,0)+IFERROR(CR25*1,0)+IFERROR(DE25*1,0)+IFERROR(DR25*1,0)+IFERROR(EE25*1,0)+IFERROR(ER25*1,0)+IFERROR(FE25*1,0)</f>
        <v>0</v>
      </c>
      <c r="FP25" s="34">
        <f t="shared" si="24"/>
        <v>0</v>
      </c>
      <c r="FQ25" s="34">
        <f t="shared" si="24"/>
        <v>0</v>
      </c>
      <c r="FR25" s="34">
        <f t="shared" si="24"/>
        <v>0</v>
      </c>
      <c r="FS25" s="34">
        <f t="shared" si="24"/>
        <v>0</v>
      </c>
      <c r="FT25" s="34">
        <f t="shared" si="24"/>
        <v>0</v>
      </c>
      <c r="FU25" s="34">
        <f t="shared" si="24"/>
        <v>0</v>
      </c>
      <c r="FV25" s="34">
        <f t="shared" si="24"/>
        <v>0</v>
      </c>
      <c r="FW25" s="28"/>
      <c r="FX25" s="29">
        <f t="shared" si="3"/>
        <v>0</v>
      </c>
    </row>
    <row r="26" spans="1:180" ht="18" customHeight="1" x14ac:dyDescent="0.25">
      <c r="A26" s="3" t="str">
        <f>IF(C26&lt;&gt;"","DRG-"&amp;TEXT(23,"000"),"")</f>
        <v>DRG-023</v>
      </c>
      <c r="B26" s="19" t="s">
        <v>55</v>
      </c>
      <c r="C26" s="20" t="s">
        <v>55</v>
      </c>
      <c r="D26" s="20" t="s">
        <v>56</v>
      </c>
      <c r="E26" s="20" t="s">
        <v>88</v>
      </c>
      <c r="F26" s="20" t="s">
        <v>89</v>
      </c>
      <c r="G26" s="21"/>
      <c r="H26" s="21"/>
      <c r="I26" s="21"/>
      <c r="J26" s="21"/>
      <c r="K26" s="21"/>
      <c r="L26" s="21">
        <v>4</v>
      </c>
      <c r="M26" s="23" t="str">
        <f t="shared" si="0"/>
        <v>✘ Pending</v>
      </c>
      <c r="N26" s="23">
        <f t="shared" si="1"/>
        <v>0</v>
      </c>
      <c r="O26" s="25"/>
      <c r="P26" s="26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5"/>
      <c r="AC26" s="26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5"/>
      <c r="AP26" s="26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5"/>
      <c r="BC26" s="26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5"/>
      <c r="BP26" s="26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5"/>
      <c r="CC26" s="26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5"/>
      <c r="CP26" s="26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5"/>
      <c r="DC26" s="26"/>
      <c r="DD26" s="24"/>
      <c r="DE26" s="24"/>
      <c r="DF26" s="24"/>
      <c r="DG26" s="24"/>
      <c r="DH26" s="24"/>
      <c r="DI26" s="24"/>
      <c r="DJ26" s="24"/>
      <c r="DK26" s="24"/>
      <c r="DL26" s="24"/>
      <c r="DM26" s="24"/>
      <c r="DN26" s="24"/>
      <c r="DO26" s="25"/>
      <c r="DP26" s="26"/>
      <c r="DQ26" s="24"/>
      <c r="DR26" s="24"/>
      <c r="DS26" s="24"/>
      <c r="DT26" s="24"/>
      <c r="DU26" s="24"/>
      <c r="DV26" s="24"/>
      <c r="DW26" s="24"/>
      <c r="DX26" s="24"/>
      <c r="DY26" s="24"/>
      <c r="DZ26" s="24"/>
      <c r="EA26" s="24"/>
      <c r="EB26" s="25"/>
      <c r="EC26" s="26"/>
      <c r="ED26" s="24"/>
      <c r="EE26" s="24"/>
      <c r="EF26" s="24"/>
      <c r="EG26" s="24"/>
      <c r="EH26" s="24"/>
      <c r="EI26" s="24"/>
      <c r="EJ26" s="24"/>
      <c r="EK26" s="24"/>
      <c r="EL26" s="24"/>
      <c r="EM26" s="24"/>
      <c r="EN26" s="24"/>
      <c r="EO26" s="25"/>
      <c r="EP26" s="26"/>
      <c r="EQ26" s="24"/>
      <c r="ER26" s="24"/>
      <c r="ES26" s="24"/>
      <c r="ET26" s="24"/>
      <c r="EU26" s="24"/>
      <c r="EV26" s="24"/>
      <c r="EW26" s="24"/>
      <c r="EX26" s="24"/>
      <c r="EY26" s="24"/>
      <c r="EZ26" s="24"/>
      <c r="FA26" s="24"/>
      <c r="FB26" s="25"/>
      <c r="FC26" s="26"/>
      <c r="FD26" s="24"/>
      <c r="FE26" s="24"/>
      <c r="FF26" s="24"/>
      <c r="FG26" s="24"/>
      <c r="FH26" s="24"/>
      <c r="FI26" s="24"/>
      <c r="FJ26" s="24"/>
      <c r="FK26" s="24"/>
      <c r="FL26" s="24"/>
      <c r="FM26" s="24"/>
      <c r="FN26" s="24"/>
      <c r="FO26" s="27">
        <f t="shared" ref="FO26:FV26" si="25">IFERROR(R26*1,0)+IFERROR(AE26*1,0)+IFERROR(AR26*1,0)+IFERROR(BE26*1,0)+IFERROR(BR26*1,0)+IFERROR(CE26*1,0)+IFERROR(CR26*1,0)+IFERROR(DE26*1,0)+IFERROR(DR26*1,0)+IFERROR(EE26*1,0)+IFERROR(ER26*1,0)+IFERROR(FE26*1,0)</f>
        <v>0</v>
      </c>
      <c r="FP26" s="27">
        <f t="shared" si="25"/>
        <v>0</v>
      </c>
      <c r="FQ26" s="27">
        <f t="shared" si="25"/>
        <v>0</v>
      </c>
      <c r="FR26" s="27">
        <f t="shared" si="25"/>
        <v>0</v>
      </c>
      <c r="FS26" s="27">
        <f t="shared" si="25"/>
        <v>0</v>
      </c>
      <c r="FT26" s="27">
        <f t="shared" si="25"/>
        <v>0</v>
      </c>
      <c r="FU26" s="27">
        <f t="shared" si="25"/>
        <v>0</v>
      </c>
      <c r="FV26" s="27">
        <f t="shared" si="25"/>
        <v>0</v>
      </c>
      <c r="FW26" s="28"/>
      <c r="FX26" s="29">
        <f t="shared" si="3"/>
        <v>0</v>
      </c>
    </row>
    <row r="27" spans="1:180" ht="18" customHeight="1" x14ac:dyDescent="0.25">
      <c r="A27" s="3" t="str">
        <f>IF(C27&lt;&gt;"","DRG-"&amp;TEXT(24,"000"),"")</f>
        <v>DRG-024</v>
      </c>
      <c r="B27" s="19" t="s">
        <v>55</v>
      </c>
      <c r="C27" s="20" t="s">
        <v>55</v>
      </c>
      <c r="D27" s="20" t="s">
        <v>56</v>
      </c>
      <c r="E27" s="20" t="s">
        <v>90</v>
      </c>
      <c r="F27" s="20" t="s">
        <v>69</v>
      </c>
      <c r="G27" s="21"/>
      <c r="H27" s="21"/>
      <c r="I27" s="21"/>
      <c r="J27" s="21"/>
      <c r="K27" s="21"/>
      <c r="L27" s="21">
        <v>4</v>
      </c>
      <c r="M27" s="30" t="str">
        <f t="shared" si="0"/>
        <v>✘ Pending</v>
      </c>
      <c r="N27" s="30">
        <f t="shared" si="1"/>
        <v>0</v>
      </c>
      <c r="O27" s="31"/>
      <c r="P27" s="32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1"/>
      <c r="AC27" s="32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1"/>
      <c r="AP27" s="32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1"/>
      <c r="BC27" s="32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1"/>
      <c r="BP27" s="32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1"/>
      <c r="CC27" s="32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1"/>
      <c r="CP27" s="32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1"/>
      <c r="DC27" s="32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1"/>
      <c r="DP27" s="32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1"/>
      <c r="EC27" s="32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1"/>
      <c r="EP27" s="32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1"/>
      <c r="FC27" s="32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4">
        <f t="shared" ref="FO27:FV27" si="26">IFERROR(R27*1,0)+IFERROR(AE27*1,0)+IFERROR(AR27*1,0)+IFERROR(BE27*1,0)+IFERROR(BR27*1,0)+IFERROR(CE27*1,0)+IFERROR(CR27*1,0)+IFERROR(DE27*1,0)+IFERROR(DR27*1,0)+IFERROR(EE27*1,0)+IFERROR(ER27*1,0)+IFERROR(FE27*1,0)</f>
        <v>0</v>
      </c>
      <c r="FP27" s="34">
        <f t="shared" si="26"/>
        <v>0</v>
      </c>
      <c r="FQ27" s="34">
        <f t="shared" si="26"/>
        <v>0</v>
      </c>
      <c r="FR27" s="34">
        <f t="shared" si="26"/>
        <v>0</v>
      </c>
      <c r="FS27" s="34">
        <f t="shared" si="26"/>
        <v>0</v>
      </c>
      <c r="FT27" s="34">
        <f t="shared" si="26"/>
        <v>0</v>
      </c>
      <c r="FU27" s="34">
        <f t="shared" si="26"/>
        <v>0</v>
      </c>
      <c r="FV27" s="34">
        <f t="shared" si="26"/>
        <v>0</v>
      </c>
      <c r="FW27" s="28"/>
      <c r="FX27" s="29">
        <f t="shared" si="3"/>
        <v>0</v>
      </c>
    </row>
    <row r="28" spans="1:180" ht="18" customHeight="1" x14ac:dyDescent="0.25">
      <c r="A28" s="3" t="str">
        <f>IF(C28&lt;&gt;"","DRG-"&amp;TEXT(25,"000"),"")</f>
        <v>DRG-025</v>
      </c>
      <c r="B28" s="19" t="s">
        <v>55</v>
      </c>
      <c r="C28" s="20" t="s">
        <v>55</v>
      </c>
      <c r="D28" s="20" t="s">
        <v>56</v>
      </c>
      <c r="E28" s="20" t="s">
        <v>91</v>
      </c>
      <c r="F28" s="20" t="s">
        <v>69</v>
      </c>
      <c r="G28" s="21"/>
      <c r="H28" s="21"/>
      <c r="I28" s="21"/>
      <c r="J28" s="21"/>
      <c r="K28" s="21"/>
      <c r="L28" s="21">
        <v>4</v>
      </c>
      <c r="M28" s="23" t="str">
        <f t="shared" si="0"/>
        <v>✘ Pending</v>
      </c>
      <c r="N28" s="23">
        <f t="shared" si="1"/>
        <v>0</v>
      </c>
      <c r="O28" s="25"/>
      <c r="P28" s="26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5"/>
      <c r="AC28" s="26"/>
      <c r="AD28" s="24"/>
      <c r="AE28" s="24"/>
      <c r="AF28" s="24"/>
      <c r="AG28" s="24"/>
      <c r="AH28" s="24"/>
      <c r="AI28" s="24"/>
      <c r="AJ28" s="24"/>
      <c r="AK28" s="24"/>
      <c r="AL28" s="24"/>
      <c r="AM28" s="24"/>
      <c r="AN28" s="24"/>
      <c r="AO28" s="25"/>
      <c r="AP28" s="26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5"/>
      <c r="BC28" s="26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5"/>
      <c r="BP28" s="26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5"/>
      <c r="CC28" s="26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5"/>
      <c r="CP28" s="26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5"/>
      <c r="DC28" s="26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5"/>
      <c r="DP28" s="26"/>
      <c r="DQ28" s="24"/>
      <c r="DR28" s="24"/>
      <c r="DS28" s="24"/>
      <c r="DT28" s="24"/>
      <c r="DU28" s="24"/>
      <c r="DV28" s="24"/>
      <c r="DW28" s="24"/>
      <c r="DX28" s="24"/>
      <c r="DY28" s="24"/>
      <c r="DZ28" s="24"/>
      <c r="EA28" s="24"/>
      <c r="EB28" s="25"/>
      <c r="EC28" s="26"/>
      <c r="ED28" s="24"/>
      <c r="EE28" s="24"/>
      <c r="EF28" s="24"/>
      <c r="EG28" s="24"/>
      <c r="EH28" s="24"/>
      <c r="EI28" s="24"/>
      <c r="EJ28" s="24"/>
      <c r="EK28" s="24"/>
      <c r="EL28" s="24"/>
      <c r="EM28" s="24"/>
      <c r="EN28" s="24"/>
      <c r="EO28" s="25"/>
      <c r="EP28" s="26"/>
      <c r="EQ28" s="24"/>
      <c r="ER28" s="24"/>
      <c r="ES28" s="24"/>
      <c r="ET28" s="24"/>
      <c r="EU28" s="24"/>
      <c r="EV28" s="24"/>
      <c r="EW28" s="24"/>
      <c r="EX28" s="24"/>
      <c r="EY28" s="24"/>
      <c r="EZ28" s="24"/>
      <c r="FA28" s="24"/>
      <c r="FB28" s="25"/>
      <c r="FC28" s="26"/>
      <c r="FD28" s="24"/>
      <c r="FE28" s="24"/>
      <c r="FF28" s="24"/>
      <c r="FG28" s="24"/>
      <c r="FH28" s="24"/>
      <c r="FI28" s="24"/>
      <c r="FJ28" s="24"/>
      <c r="FK28" s="24"/>
      <c r="FL28" s="24"/>
      <c r="FM28" s="24"/>
      <c r="FN28" s="24"/>
      <c r="FO28" s="27">
        <f t="shared" ref="FO28:FV28" si="27">IFERROR(R28*1,0)+IFERROR(AE28*1,0)+IFERROR(AR28*1,0)+IFERROR(BE28*1,0)+IFERROR(BR28*1,0)+IFERROR(CE28*1,0)+IFERROR(CR28*1,0)+IFERROR(DE28*1,0)+IFERROR(DR28*1,0)+IFERROR(EE28*1,0)+IFERROR(ER28*1,0)+IFERROR(FE28*1,0)</f>
        <v>0</v>
      </c>
      <c r="FP28" s="27">
        <f t="shared" si="27"/>
        <v>0</v>
      </c>
      <c r="FQ28" s="27">
        <f t="shared" si="27"/>
        <v>0</v>
      </c>
      <c r="FR28" s="27">
        <f t="shared" si="27"/>
        <v>0</v>
      </c>
      <c r="FS28" s="27">
        <f t="shared" si="27"/>
        <v>0</v>
      </c>
      <c r="FT28" s="27">
        <f t="shared" si="27"/>
        <v>0</v>
      </c>
      <c r="FU28" s="27">
        <f t="shared" si="27"/>
        <v>0</v>
      </c>
      <c r="FV28" s="27">
        <f t="shared" si="27"/>
        <v>0</v>
      </c>
      <c r="FW28" s="28"/>
      <c r="FX28" s="29">
        <f t="shared" si="3"/>
        <v>0</v>
      </c>
    </row>
    <row r="29" spans="1:180" ht="18" customHeight="1" x14ac:dyDescent="0.25">
      <c r="A29" s="3" t="str">
        <f>IF(C29&lt;&gt;"","DRG-"&amp;TEXT(26,"000"),"")</f>
        <v>DRG-026</v>
      </c>
      <c r="B29" s="19" t="s">
        <v>55</v>
      </c>
      <c r="C29" s="20" t="s">
        <v>55</v>
      </c>
      <c r="D29" s="20" t="s">
        <v>56</v>
      </c>
      <c r="E29" s="20" t="s">
        <v>92</v>
      </c>
      <c r="F29" s="20" t="s">
        <v>69</v>
      </c>
      <c r="G29" s="21"/>
      <c r="H29" s="21"/>
      <c r="I29" s="21"/>
      <c r="J29" s="21"/>
      <c r="K29" s="21"/>
      <c r="L29" s="21">
        <v>4</v>
      </c>
      <c r="M29" s="30" t="str">
        <f t="shared" si="0"/>
        <v>✘ Pending</v>
      </c>
      <c r="N29" s="30">
        <f t="shared" si="1"/>
        <v>0</v>
      </c>
      <c r="O29" s="31"/>
      <c r="P29" s="32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1"/>
      <c r="AC29" s="32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1"/>
      <c r="AP29" s="32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1"/>
      <c r="BC29" s="32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1"/>
      <c r="BP29" s="32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1"/>
      <c r="CC29" s="32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1"/>
      <c r="CP29" s="32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1"/>
      <c r="DC29" s="32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1"/>
      <c r="DP29" s="32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1"/>
      <c r="EC29" s="32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1"/>
      <c r="EP29" s="32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1"/>
      <c r="FC29" s="32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4">
        <f t="shared" ref="FO29:FV29" si="28">IFERROR(R29*1,0)+IFERROR(AE29*1,0)+IFERROR(AR29*1,0)+IFERROR(BE29*1,0)+IFERROR(BR29*1,0)+IFERROR(CE29*1,0)+IFERROR(CR29*1,0)+IFERROR(DE29*1,0)+IFERROR(DR29*1,0)+IFERROR(EE29*1,0)+IFERROR(ER29*1,0)+IFERROR(FE29*1,0)</f>
        <v>0</v>
      </c>
      <c r="FP29" s="34">
        <f t="shared" si="28"/>
        <v>0</v>
      </c>
      <c r="FQ29" s="34">
        <f t="shared" si="28"/>
        <v>0</v>
      </c>
      <c r="FR29" s="34">
        <f t="shared" si="28"/>
        <v>0</v>
      </c>
      <c r="FS29" s="34">
        <f t="shared" si="28"/>
        <v>0</v>
      </c>
      <c r="FT29" s="34">
        <f t="shared" si="28"/>
        <v>0</v>
      </c>
      <c r="FU29" s="34">
        <f t="shared" si="28"/>
        <v>0</v>
      </c>
      <c r="FV29" s="34">
        <f t="shared" si="28"/>
        <v>0</v>
      </c>
      <c r="FW29" s="28"/>
      <c r="FX29" s="29">
        <f t="shared" si="3"/>
        <v>0</v>
      </c>
    </row>
    <row r="30" spans="1:180" ht="18" customHeight="1" x14ac:dyDescent="0.25">
      <c r="A30" s="3" t="str">
        <f>IF(C30&lt;&gt;"","DRG-"&amp;TEXT(27,"000"),"")</f>
        <v>DRG-027</v>
      </c>
      <c r="B30" s="19" t="s">
        <v>55</v>
      </c>
      <c r="C30" s="20" t="s">
        <v>55</v>
      </c>
      <c r="D30" s="20" t="s">
        <v>56</v>
      </c>
      <c r="E30" s="20" t="s">
        <v>93</v>
      </c>
      <c r="F30" s="20" t="s">
        <v>58</v>
      </c>
      <c r="G30" s="21"/>
      <c r="H30" s="21"/>
      <c r="I30" s="21"/>
      <c r="J30" s="21"/>
      <c r="K30" s="21"/>
      <c r="L30" s="21">
        <v>4</v>
      </c>
      <c r="M30" s="23" t="str">
        <f t="shared" si="0"/>
        <v>✘ Pending</v>
      </c>
      <c r="N30" s="23">
        <f t="shared" si="1"/>
        <v>0</v>
      </c>
      <c r="O30" s="25"/>
      <c r="P30" s="26"/>
      <c r="Q30" s="24"/>
      <c r="R30" s="24"/>
      <c r="S30" s="24"/>
      <c r="T30" s="24"/>
      <c r="U30" s="24"/>
      <c r="V30" s="24"/>
      <c r="W30" s="24"/>
      <c r="X30" s="24"/>
      <c r="Y30" s="24"/>
      <c r="Z30" s="24"/>
      <c r="AA30" s="24"/>
      <c r="AB30" s="25"/>
      <c r="AC30" s="26"/>
      <c r="AD30" s="24"/>
      <c r="AE30" s="24"/>
      <c r="AF30" s="24"/>
      <c r="AG30" s="24"/>
      <c r="AH30" s="24"/>
      <c r="AI30" s="24"/>
      <c r="AJ30" s="24"/>
      <c r="AK30" s="24"/>
      <c r="AL30" s="24"/>
      <c r="AM30" s="24"/>
      <c r="AN30" s="24"/>
      <c r="AO30" s="25"/>
      <c r="AP30" s="26"/>
      <c r="AQ30" s="24"/>
      <c r="AR30" s="24"/>
      <c r="AS30" s="24"/>
      <c r="AT30" s="24"/>
      <c r="AU30" s="24"/>
      <c r="AV30" s="24"/>
      <c r="AW30" s="24"/>
      <c r="AX30" s="24"/>
      <c r="AY30" s="24"/>
      <c r="AZ30" s="24"/>
      <c r="BA30" s="24"/>
      <c r="BB30" s="25"/>
      <c r="BC30" s="26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5"/>
      <c r="BP30" s="26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5"/>
      <c r="CC30" s="26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5"/>
      <c r="CP30" s="26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5"/>
      <c r="DC30" s="26"/>
      <c r="DD30" s="24"/>
      <c r="DE30" s="24"/>
      <c r="DF30" s="24"/>
      <c r="DG30" s="24"/>
      <c r="DH30" s="24"/>
      <c r="DI30" s="24"/>
      <c r="DJ30" s="24"/>
      <c r="DK30" s="24"/>
      <c r="DL30" s="24"/>
      <c r="DM30" s="24"/>
      <c r="DN30" s="24"/>
      <c r="DO30" s="25"/>
      <c r="DP30" s="26"/>
      <c r="DQ30" s="24"/>
      <c r="DR30" s="24"/>
      <c r="DS30" s="24"/>
      <c r="DT30" s="24"/>
      <c r="DU30" s="24"/>
      <c r="DV30" s="24"/>
      <c r="DW30" s="24"/>
      <c r="DX30" s="24"/>
      <c r="DY30" s="24"/>
      <c r="DZ30" s="24"/>
      <c r="EA30" s="24"/>
      <c r="EB30" s="25"/>
      <c r="EC30" s="26"/>
      <c r="ED30" s="24"/>
      <c r="EE30" s="24"/>
      <c r="EF30" s="24"/>
      <c r="EG30" s="24"/>
      <c r="EH30" s="24"/>
      <c r="EI30" s="24"/>
      <c r="EJ30" s="24"/>
      <c r="EK30" s="24"/>
      <c r="EL30" s="24"/>
      <c r="EM30" s="24"/>
      <c r="EN30" s="24"/>
      <c r="EO30" s="25"/>
      <c r="EP30" s="26"/>
      <c r="EQ30" s="24"/>
      <c r="ER30" s="24"/>
      <c r="ES30" s="24"/>
      <c r="ET30" s="24"/>
      <c r="EU30" s="24"/>
      <c r="EV30" s="24"/>
      <c r="EW30" s="24"/>
      <c r="EX30" s="24"/>
      <c r="EY30" s="24"/>
      <c r="EZ30" s="24"/>
      <c r="FA30" s="24"/>
      <c r="FB30" s="25"/>
      <c r="FC30" s="26"/>
      <c r="FD30" s="24"/>
      <c r="FE30" s="24"/>
      <c r="FF30" s="24"/>
      <c r="FG30" s="24"/>
      <c r="FH30" s="24"/>
      <c r="FI30" s="24"/>
      <c r="FJ30" s="24"/>
      <c r="FK30" s="24"/>
      <c r="FL30" s="24"/>
      <c r="FM30" s="24"/>
      <c r="FN30" s="24"/>
      <c r="FO30" s="27">
        <f t="shared" ref="FO30:FV30" si="29">IFERROR(R30*1,0)+IFERROR(AE30*1,0)+IFERROR(AR30*1,0)+IFERROR(BE30*1,0)+IFERROR(BR30*1,0)+IFERROR(CE30*1,0)+IFERROR(CR30*1,0)+IFERROR(DE30*1,0)+IFERROR(DR30*1,0)+IFERROR(EE30*1,0)+IFERROR(ER30*1,0)+IFERROR(FE30*1,0)</f>
        <v>0</v>
      </c>
      <c r="FP30" s="27">
        <f t="shared" si="29"/>
        <v>0</v>
      </c>
      <c r="FQ30" s="27">
        <f t="shared" si="29"/>
        <v>0</v>
      </c>
      <c r="FR30" s="27">
        <f t="shared" si="29"/>
        <v>0</v>
      </c>
      <c r="FS30" s="27">
        <f t="shared" si="29"/>
        <v>0</v>
      </c>
      <c r="FT30" s="27">
        <f t="shared" si="29"/>
        <v>0</v>
      </c>
      <c r="FU30" s="27">
        <f t="shared" si="29"/>
        <v>0</v>
      </c>
      <c r="FV30" s="27">
        <f t="shared" si="29"/>
        <v>0</v>
      </c>
      <c r="FW30" s="28"/>
      <c r="FX30" s="29">
        <f t="shared" si="3"/>
        <v>0</v>
      </c>
    </row>
    <row r="31" spans="1:180" ht="18" customHeight="1" x14ac:dyDescent="0.25">
      <c r="A31" s="3"/>
      <c r="B31" s="19"/>
      <c r="C31" s="20" t="s">
        <v>55</v>
      </c>
      <c r="D31" s="20" t="s">
        <v>56</v>
      </c>
      <c r="E31" s="20" t="s">
        <v>317</v>
      </c>
      <c r="F31" s="20" t="s">
        <v>69</v>
      </c>
      <c r="G31" s="21"/>
      <c r="H31" s="21"/>
      <c r="I31" s="21"/>
      <c r="J31" s="21"/>
      <c r="K31" s="21"/>
      <c r="L31" s="21"/>
      <c r="M31" s="23"/>
      <c r="N31" s="23"/>
      <c r="O31" s="25"/>
      <c r="P31" s="26"/>
      <c r="Q31" s="24"/>
      <c r="R31" s="24"/>
      <c r="S31" s="24"/>
      <c r="T31" s="24"/>
      <c r="U31" s="24"/>
      <c r="V31" s="24"/>
      <c r="W31" s="24"/>
      <c r="X31" s="24"/>
      <c r="Y31" s="24"/>
      <c r="Z31" s="24"/>
      <c r="AA31" s="24"/>
      <c r="AB31" s="25"/>
      <c r="AC31" s="26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5"/>
      <c r="AP31" s="26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5"/>
      <c r="BC31" s="26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5"/>
      <c r="BP31" s="26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5"/>
      <c r="CC31" s="26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5"/>
      <c r="CP31" s="26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5"/>
      <c r="DC31" s="26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5"/>
      <c r="DP31" s="26"/>
      <c r="DQ31" s="24"/>
      <c r="DR31" s="24"/>
      <c r="DS31" s="24"/>
      <c r="DT31" s="24"/>
      <c r="DU31" s="24"/>
      <c r="DV31" s="24"/>
      <c r="DW31" s="24"/>
      <c r="DX31" s="24"/>
      <c r="DY31" s="24"/>
      <c r="DZ31" s="24"/>
      <c r="EA31" s="24"/>
      <c r="EB31" s="25"/>
      <c r="EC31" s="26"/>
      <c r="ED31" s="24"/>
      <c r="EE31" s="24"/>
      <c r="EF31" s="24"/>
      <c r="EG31" s="24"/>
      <c r="EH31" s="24"/>
      <c r="EI31" s="24"/>
      <c r="EJ31" s="24"/>
      <c r="EK31" s="24"/>
      <c r="EL31" s="24"/>
      <c r="EM31" s="24"/>
      <c r="EN31" s="24"/>
      <c r="EO31" s="25"/>
      <c r="EP31" s="26"/>
      <c r="EQ31" s="24"/>
      <c r="ER31" s="24"/>
      <c r="ES31" s="24"/>
      <c r="ET31" s="24"/>
      <c r="EU31" s="24"/>
      <c r="EV31" s="24"/>
      <c r="EW31" s="24"/>
      <c r="EX31" s="24"/>
      <c r="EY31" s="24"/>
      <c r="EZ31" s="24"/>
      <c r="FA31" s="24"/>
      <c r="FB31" s="25"/>
      <c r="FC31" s="26"/>
      <c r="FD31" s="24"/>
      <c r="FE31" s="24"/>
      <c r="FF31" s="24"/>
      <c r="FG31" s="24"/>
      <c r="FH31" s="24"/>
      <c r="FI31" s="24"/>
      <c r="FJ31" s="24"/>
      <c r="FK31" s="24"/>
      <c r="FL31" s="24"/>
      <c r="FM31" s="24"/>
      <c r="FN31" s="24"/>
      <c r="FO31" s="27"/>
      <c r="FP31" s="27"/>
      <c r="FQ31" s="27"/>
      <c r="FR31" s="27"/>
      <c r="FS31" s="27"/>
      <c r="FT31" s="27"/>
      <c r="FU31" s="27"/>
      <c r="FV31" s="27"/>
      <c r="FW31" s="28"/>
      <c r="FX31" s="29"/>
    </row>
    <row r="32" spans="1:180" ht="18" customHeight="1" x14ac:dyDescent="0.25">
      <c r="A32" s="3" t="str">
        <f>IF(C32&lt;&gt;"","DRG-"&amp;TEXT(28,"000"),"")</f>
        <v>DRG-028</v>
      </c>
      <c r="B32" s="19" t="s">
        <v>55</v>
      </c>
      <c r="C32" s="20" t="s">
        <v>55</v>
      </c>
      <c r="D32" s="20" t="s">
        <v>56</v>
      </c>
      <c r="E32" s="20" t="s">
        <v>94</v>
      </c>
      <c r="F32" s="20" t="s">
        <v>69</v>
      </c>
      <c r="G32" s="21"/>
      <c r="H32" s="21"/>
      <c r="I32" s="21"/>
      <c r="J32" s="21"/>
      <c r="K32" s="21"/>
      <c r="L32" s="21">
        <v>4</v>
      </c>
      <c r="M32" s="30" t="str">
        <f t="shared" si="0"/>
        <v>✘ Pending</v>
      </c>
      <c r="N32" s="30">
        <f t="shared" si="1"/>
        <v>0</v>
      </c>
      <c r="O32" s="31"/>
      <c r="P32" s="32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1"/>
      <c r="AC32" s="32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1"/>
      <c r="AP32" s="32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1"/>
      <c r="BC32" s="32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1"/>
      <c r="BP32" s="32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1"/>
      <c r="CC32" s="32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1"/>
      <c r="CP32" s="32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1"/>
      <c r="DC32" s="32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1"/>
      <c r="DP32" s="32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1"/>
      <c r="EC32" s="32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1"/>
      <c r="EP32" s="32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1"/>
      <c r="FC32" s="32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4">
        <f t="shared" ref="FO32:FV32" si="30">IFERROR(R32*1,0)+IFERROR(AE32*1,0)+IFERROR(AR32*1,0)+IFERROR(BE32*1,0)+IFERROR(BR32*1,0)+IFERROR(CE32*1,0)+IFERROR(CR32*1,0)+IFERROR(DE32*1,0)+IFERROR(DR32*1,0)+IFERROR(EE32*1,0)+IFERROR(ER32*1,0)+IFERROR(FE32*1,0)</f>
        <v>0</v>
      </c>
      <c r="FP32" s="34">
        <f t="shared" si="30"/>
        <v>0</v>
      </c>
      <c r="FQ32" s="34">
        <f t="shared" si="30"/>
        <v>0</v>
      </c>
      <c r="FR32" s="34">
        <f t="shared" si="30"/>
        <v>0</v>
      </c>
      <c r="FS32" s="34">
        <f t="shared" si="30"/>
        <v>0</v>
      </c>
      <c r="FT32" s="34">
        <f t="shared" si="30"/>
        <v>0</v>
      </c>
      <c r="FU32" s="34">
        <f t="shared" si="30"/>
        <v>0</v>
      </c>
      <c r="FV32" s="34">
        <f t="shared" si="30"/>
        <v>0</v>
      </c>
      <c r="FW32" s="28"/>
      <c r="FX32" s="29">
        <f t="shared" si="3"/>
        <v>0</v>
      </c>
    </row>
    <row r="33" spans="1:180" ht="18" customHeight="1" x14ac:dyDescent="0.25">
      <c r="A33" s="3" t="str">
        <f>IF(C33&lt;&gt;"","DRG-"&amp;TEXT(29,"000"),"")</f>
        <v>DRG-029</v>
      </c>
      <c r="B33" s="19" t="s">
        <v>95</v>
      </c>
      <c r="C33" s="20" t="s">
        <v>95</v>
      </c>
      <c r="D33" s="20" t="s">
        <v>56</v>
      </c>
      <c r="E33" s="20" t="s">
        <v>96</v>
      </c>
      <c r="F33" s="20" t="s">
        <v>69</v>
      </c>
      <c r="G33" s="21"/>
      <c r="H33" s="21"/>
      <c r="I33" s="21"/>
      <c r="J33" s="21"/>
      <c r="K33" s="21"/>
      <c r="L33" s="21">
        <v>4</v>
      </c>
      <c r="M33" s="23" t="str">
        <f t="shared" si="0"/>
        <v>✘ Pending</v>
      </c>
      <c r="N33" s="23">
        <f t="shared" si="1"/>
        <v>0</v>
      </c>
      <c r="O33" s="25"/>
      <c r="P33" s="26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5"/>
      <c r="AC33" s="26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5"/>
      <c r="AP33" s="26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5"/>
      <c r="BC33" s="26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5"/>
      <c r="BP33" s="26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5"/>
      <c r="CC33" s="26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5"/>
      <c r="CP33" s="26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5"/>
      <c r="DC33" s="26"/>
      <c r="DD33" s="24"/>
      <c r="DE33" s="24"/>
      <c r="DF33" s="24"/>
      <c r="DG33" s="24"/>
      <c r="DH33" s="24"/>
      <c r="DI33" s="24"/>
      <c r="DJ33" s="24"/>
      <c r="DK33" s="24"/>
      <c r="DL33" s="24"/>
      <c r="DM33" s="24"/>
      <c r="DN33" s="24"/>
      <c r="DO33" s="25"/>
      <c r="DP33" s="26"/>
      <c r="DQ33" s="24"/>
      <c r="DR33" s="24"/>
      <c r="DS33" s="24"/>
      <c r="DT33" s="24"/>
      <c r="DU33" s="24"/>
      <c r="DV33" s="24"/>
      <c r="DW33" s="24"/>
      <c r="DX33" s="24"/>
      <c r="DY33" s="24"/>
      <c r="DZ33" s="24"/>
      <c r="EA33" s="24"/>
      <c r="EB33" s="25"/>
      <c r="EC33" s="26"/>
      <c r="ED33" s="24"/>
      <c r="EE33" s="24"/>
      <c r="EF33" s="24"/>
      <c r="EG33" s="24"/>
      <c r="EH33" s="24"/>
      <c r="EI33" s="24"/>
      <c r="EJ33" s="24"/>
      <c r="EK33" s="24"/>
      <c r="EL33" s="24"/>
      <c r="EM33" s="24"/>
      <c r="EN33" s="24"/>
      <c r="EO33" s="25"/>
      <c r="EP33" s="26"/>
      <c r="EQ33" s="24"/>
      <c r="ER33" s="24"/>
      <c r="ES33" s="24"/>
      <c r="ET33" s="24"/>
      <c r="EU33" s="24"/>
      <c r="EV33" s="24"/>
      <c r="EW33" s="24"/>
      <c r="EX33" s="24"/>
      <c r="EY33" s="24"/>
      <c r="EZ33" s="24"/>
      <c r="FA33" s="24"/>
      <c r="FB33" s="25"/>
      <c r="FC33" s="26"/>
      <c r="FD33" s="24"/>
      <c r="FE33" s="24"/>
      <c r="FF33" s="24"/>
      <c r="FG33" s="24"/>
      <c r="FH33" s="24"/>
      <c r="FI33" s="24"/>
      <c r="FJ33" s="24"/>
      <c r="FK33" s="24"/>
      <c r="FL33" s="24"/>
      <c r="FM33" s="24"/>
      <c r="FN33" s="24"/>
      <c r="FO33" s="27">
        <f t="shared" ref="FO33:FV33" si="31">IFERROR(R33*1,0)+IFERROR(AE33*1,0)+IFERROR(AR33*1,0)+IFERROR(BE33*1,0)+IFERROR(BR33*1,0)+IFERROR(CE33*1,0)+IFERROR(CR33*1,0)+IFERROR(DE33*1,0)+IFERROR(DR33*1,0)+IFERROR(EE33*1,0)+IFERROR(ER33*1,0)+IFERROR(FE33*1,0)</f>
        <v>0</v>
      </c>
      <c r="FP33" s="27">
        <f t="shared" si="31"/>
        <v>0</v>
      </c>
      <c r="FQ33" s="27">
        <f t="shared" si="31"/>
        <v>0</v>
      </c>
      <c r="FR33" s="27">
        <f t="shared" si="31"/>
        <v>0</v>
      </c>
      <c r="FS33" s="27">
        <f t="shared" si="31"/>
        <v>0</v>
      </c>
      <c r="FT33" s="27">
        <f t="shared" si="31"/>
        <v>0</v>
      </c>
      <c r="FU33" s="27">
        <f t="shared" si="31"/>
        <v>0</v>
      </c>
      <c r="FV33" s="27">
        <f t="shared" si="31"/>
        <v>0</v>
      </c>
      <c r="FW33" s="28"/>
      <c r="FX33" s="29">
        <f t="shared" si="3"/>
        <v>0</v>
      </c>
    </row>
    <row r="34" spans="1:180" ht="18" customHeight="1" x14ac:dyDescent="0.25">
      <c r="A34" s="3" t="str">
        <f>IF(C34&lt;&gt;"","DRG-"&amp;TEXT(30,"000"),"")</f>
        <v>DRG-030</v>
      </c>
      <c r="B34" s="19" t="s">
        <v>95</v>
      </c>
      <c r="C34" s="20" t="s">
        <v>95</v>
      </c>
      <c r="D34" s="20" t="s">
        <v>56</v>
      </c>
      <c r="E34" s="20" t="s">
        <v>97</v>
      </c>
      <c r="F34" s="20" t="s">
        <v>69</v>
      </c>
      <c r="G34" s="21"/>
      <c r="H34" s="21"/>
      <c r="I34" s="21"/>
      <c r="J34" s="21"/>
      <c r="K34" s="21"/>
      <c r="L34" s="21">
        <v>4</v>
      </c>
      <c r="M34" s="30" t="str">
        <f t="shared" si="0"/>
        <v>✘ Pending</v>
      </c>
      <c r="N34" s="30">
        <f t="shared" si="1"/>
        <v>0</v>
      </c>
      <c r="O34" s="31"/>
      <c r="P34" s="32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1"/>
      <c r="AC34" s="32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1"/>
      <c r="AP34" s="32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1"/>
      <c r="BC34" s="32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1"/>
      <c r="BP34" s="32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1"/>
      <c r="CC34" s="32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1"/>
      <c r="CP34" s="32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1"/>
      <c r="DC34" s="32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1"/>
      <c r="DP34" s="32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1"/>
      <c r="EC34" s="32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1"/>
      <c r="EP34" s="32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1"/>
      <c r="FC34" s="32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4">
        <f t="shared" ref="FO34:FV34" si="32">IFERROR(R34*1,0)+IFERROR(AE34*1,0)+IFERROR(AR34*1,0)+IFERROR(BE34*1,0)+IFERROR(BR34*1,0)+IFERROR(CE34*1,0)+IFERROR(CR34*1,0)+IFERROR(DE34*1,0)+IFERROR(DR34*1,0)+IFERROR(EE34*1,0)+IFERROR(ER34*1,0)+IFERROR(FE34*1,0)</f>
        <v>0</v>
      </c>
      <c r="FP34" s="34">
        <f t="shared" si="32"/>
        <v>0</v>
      </c>
      <c r="FQ34" s="34">
        <f t="shared" si="32"/>
        <v>0</v>
      </c>
      <c r="FR34" s="34">
        <f t="shared" si="32"/>
        <v>0</v>
      </c>
      <c r="FS34" s="34">
        <f t="shared" si="32"/>
        <v>0</v>
      </c>
      <c r="FT34" s="34">
        <f t="shared" si="32"/>
        <v>0</v>
      </c>
      <c r="FU34" s="34">
        <f t="shared" si="32"/>
        <v>0</v>
      </c>
      <c r="FV34" s="34">
        <f t="shared" si="32"/>
        <v>0</v>
      </c>
      <c r="FW34" s="28"/>
      <c r="FX34" s="29">
        <f t="shared" si="3"/>
        <v>0</v>
      </c>
    </row>
    <row r="35" spans="1:180" ht="18" customHeight="1" x14ac:dyDescent="0.25">
      <c r="A35" s="3" t="str">
        <f>IF(C35&lt;&gt;"","DRG-"&amp;TEXT(31,"000"),"")</f>
        <v>DRG-031</v>
      </c>
      <c r="B35" s="19" t="s">
        <v>95</v>
      </c>
      <c r="C35" s="20" t="s">
        <v>95</v>
      </c>
      <c r="D35" s="20" t="s">
        <v>56</v>
      </c>
      <c r="E35" s="20" t="s">
        <v>98</v>
      </c>
      <c r="F35" s="20" t="s">
        <v>69</v>
      </c>
      <c r="G35" s="21"/>
      <c r="H35" s="21"/>
      <c r="I35" s="21"/>
      <c r="J35" s="21"/>
      <c r="K35" s="21"/>
      <c r="L35" s="21">
        <v>4</v>
      </c>
      <c r="M35" s="23" t="str">
        <f t="shared" si="0"/>
        <v>✘ Pending</v>
      </c>
      <c r="N35" s="23">
        <f t="shared" si="1"/>
        <v>0</v>
      </c>
      <c r="O35" s="25"/>
      <c r="P35" s="26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5"/>
      <c r="AC35" s="26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5"/>
      <c r="AP35" s="26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5"/>
      <c r="BC35" s="26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5"/>
      <c r="BP35" s="26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5"/>
      <c r="CC35" s="26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5"/>
      <c r="CP35" s="26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5"/>
      <c r="DC35" s="26"/>
      <c r="DD35" s="24"/>
      <c r="DE35" s="24"/>
      <c r="DF35" s="24"/>
      <c r="DG35" s="24"/>
      <c r="DH35" s="24"/>
      <c r="DI35" s="24"/>
      <c r="DJ35" s="24"/>
      <c r="DK35" s="24"/>
      <c r="DL35" s="24"/>
      <c r="DM35" s="24"/>
      <c r="DN35" s="24"/>
      <c r="DO35" s="25"/>
      <c r="DP35" s="26"/>
      <c r="DQ35" s="24"/>
      <c r="DR35" s="24"/>
      <c r="DS35" s="24"/>
      <c r="DT35" s="24"/>
      <c r="DU35" s="24"/>
      <c r="DV35" s="24"/>
      <c r="DW35" s="24"/>
      <c r="DX35" s="24"/>
      <c r="DY35" s="24"/>
      <c r="DZ35" s="24"/>
      <c r="EA35" s="24"/>
      <c r="EB35" s="25"/>
      <c r="EC35" s="26"/>
      <c r="ED35" s="24"/>
      <c r="EE35" s="24"/>
      <c r="EF35" s="24"/>
      <c r="EG35" s="24"/>
      <c r="EH35" s="24"/>
      <c r="EI35" s="24"/>
      <c r="EJ35" s="24"/>
      <c r="EK35" s="24"/>
      <c r="EL35" s="24"/>
      <c r="EM35" s="24"/>
      <c r="EN35" s="24"/>
      <c r="EO35" s="25"/>
      <c r="EP35" s="26"/>
      <c r="EQ35" s="24"/>
      <c r="ER35" s="24"/>
      <c r="ES35" s="24"/>
      <c r="ET35" s="24"/>
      <c r="EU35" s="24"/>
      <c r="EV35" s="24"/>
      <c r="EW35" s="24"/>
      <c r="EX35" s="24"/>
      <c r="EY35" s="24"/>
      <c r="EZ35" s="24"/>
      <c r="FA35" s="24"/>
      <c r="FB35" s="25"/>
      <c r="FC35" s="26"/>
      <c r="FD35" s="24"/>
      <c r="FE35" s="24"/>
      <c r="FF35" s="24"/>
      <c r="FG35" s="24"/>
      <c r="FH35" s="24"/>
      <c r="FI35" s="24"/>
      <c r="FJ35" s="24"/>
      <c r="FK35" s="24"/>
      <c r="FL35" s="24"/>
      <c r="FM35" s="24"/>
      <c r="FN35" s="24"/>
      <c r="FO35" s="27">
        <f t="shared" ref="FO35:FV35" si="33">IFERROR(R35*1,0)+IFERROR(AE35*1,0)+IFERROR(AR35*1,0)+IFERROR(BE35*1,0)+IFERROR(BR35*1,0)+IFERROR(CE35*1,0)+IFERROR(CR35*1,0)+IFERROR(DE35*1,0)+IFERROR(DR35*1,0)+IFERROR(EE35*1,0)+IFERROR(ER35*1,0)+IFERROR(FE35*1,0)</f>
        <v>0</v>
      </c>
      <c r="FP35" s="27">
        <f t="shared" si="33"/>
        <v>0</v>
      </c>
      <c r="FQ35" s="27">
        <f t="shared" si="33"/>
        <v>0</v>
      </c>
      <c r="FR35" s="27">
        <f t="shared" si="33"/>
        <v>0</v>
      </c>
      <c r="FS35" s="27">
        <f t="shared" si="33"/>
        <v>0</v>
      </c>
      <c r="FT35" s="27">
        <f t="shared" si="33"/>
        <v>0</v>
      </c>
      <c r="FU35" s="27">
        <f t="shared" si="33"/>
        <v>0</v>
      </c>
      <c r="FV35" s="27">
        <f t="shared" si="33"/>
        <v>0</v>
      </c>
      <c r="FW35" s="28"/>
      <c r="FX35" s="29">
        <f t="shared" si="3"/>
        <v>0</v>
      </c>
    </row>
    <row r="36" spans="1:180" ht="18" customHeight="1" x14ac:dyDescent="0.25">
      <c r="A36" s="3" t="str">
        <f>IF(C36&lt;&gt;"","DRG-"&amp;TEXT(32,"000"),"")</f>
        <v>DRG-032</v>
      </c>
      <c r="B36" s="19" t="s">
        <v>95</v>
      </c>
      <c r="C36" s="20" t="s">
        <v>95</v>
      </c>
      <c r="D36" s="20" t="s">
        <v>56</v>
      </c>
      <c r="E36" s="20" t="s">
        <v>99</v>
      </c>
      <c r="F36" s="20" t="s">
        <v>69</v>
      </c>
      <c r="G36" s="21"/>
      <c r="H36" s="21"/>
      <c r="I36" s="21"/>
      <c r="J36" s="21"/>
      <c r="K36" s="21"/>
      <c r="L36" s="21">
        <v>4</v>
      </c>
      <c r="M36" s="30" t="str">
        <f t="shared" si="0"/>
        <v>✘ Pending</v>
      </c>
      <c r="N36" s="30">
        <f t="shared" si="1"/>
        <v>0</v>
      </c>
      <c r="O36" s="31"/>
      <c r="P36" s="32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1"/>
      <c r="AC36" s="32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1"/>
      <c r="AP36" s="32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1"/>
      <c r="BC36" s="32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1"/>
      <c r="BP36" s="32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1"/>
      <c r="CC36" s="32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1"/>
      <c r="CP36" s="32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1"/>
      <c r="DC36" s="32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1"/>
      <c r="DP36" s="32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1"/>
      <c r="EC36" s="32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1"/>
      <c r="EP36" s="32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1"/>
      <c r="FC36" s="32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4">
        <f t="shared" ref="FO36:FV36" si="34">IFERROR(R36*1,0)+IFERROR(AE36*1,0)+IFERROR(AR36*1,0)+IFERROR(BE36*1,0)+IFERROR(BR36*1,0)+IFERROR(CE36*1,0)+IFERROR(CR36*1,0)+IFERROR(DE36*1,0)+IFERROR(DR36*1,0)+IFERROR(EE36*1,0)+IFERROR(ER36*1,0)+IFERROR(FE36*1,0)</f>
        <v>0</v>
      </c>
      <c r="FP36" s="34">
        <f t="shared" si="34"/>
        <v>0</v>
      </c>
      <c r="FQ36" s="34">
        <f t="shared" si="34"/>
        <v>0</v>
      </c>
      <c r="FR36" s="34">
        <f t="shared" si="34"/>
        <v>0</v>
      </c>
      <c r="FS36" s="34">
        <f t="shared" si="34"/>
        <v>0</v>
      </c>
      <c r="FT36" s="34">
        <f t="shared" si="34"/>
        <v>0</v>
      </c>
      <c r="FU36" s="34">
        <f t="shared" si="34"/>
        <v>0</v>
      </c>
      <c r="FV36" s="34">
        <f t="shared" si="34"/>
        <v>0</v>
      </c>
      <c r="FW36" s="28"/>
      <c r="FX36" s="29">
        <f t="shared" si="3"/>
        <v>0</v>
      </c>
    </row>
    <row r="37" spans="1:180" ht="18" customHeight="1" x14ac:dyDescent="0.25">
      <c r="A37" s="3" t="str">
        <f>IF(C37&lt;&gt;"","DRG-"&amp;TEXT(33,"000"),"")</f>
        <v>DRG-033</v>
      </c>
      <c r="B37" s="19" t="s">
        <v>95</v>
      </c>
      <c r="C37" s="20" t="s">
        <v>95</v>
      </c>
      <c r="D37" s="20" t="s">
        <v>56</v>
      </c>
      <c r="E37" s="20" t="s">
        <v>100</v>
      </c>
      <c r="F37" s="20" t="s">
        <v>69</v>
      </c>
      <c r="G37" s="21"/>
      <c r="H37" s="21"/>
      <c r="I37" s="21"/>
      <c r="J37" s="21"/>
      <c r="K37" s="21"/>
      <c r="L37" s="21">
        <v>4</v>
      </c>
      <c r="M37" s="23" t="str">
        <f t="shared" si="0"/>
        <v>✘ Pending</v>
      </c>
      <c r="N37" s="23">
        <f t="shared" si="1"/>
        <v>0</v>
      </c>
      <c r="O37" s="25"/>
      <c r="P37" s="26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5"/>
      <c r="AC37" s="26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5"/>
      <c r="AP37" s="26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5"/>
      <c r="BC37" s="26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5"/>
      <c r="BP37" s="26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5"/>
      <c r="CC37" s="26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5"/>
      <c r="CP37" s="26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5"/>
      <c r="DC37" s="26"/>
      <c r="DD37" s="24"/>
      <c r="DE37" s="24"/>
      <c r="DF37" s="24"/>
      <c r="DG37" s="24"/>
      <c r="DH37" s="24"/>
      <c r="DI37" s="24"/>
      <c r="DJ37" s="24"/>
      <c r="DK37" s="24"/>
      <c r="DL37" s="24"/>
      <c r="DM37" s="24"/>
      <c r="DN37" s="24"/>
      <c r="DO37" s="25"/>
      <c r="DP37" s="26"/>
      <c r="DQ37" s="24"/>
      <c r="DR37" s="24"/>
      <c r="DS37" s="24"/>
      <c r="DT37" s="24"/>
      <c r="DU37" s="24"/>
      <c r="DV37" s="24"/>
      <c r="DW37" s="24"/>
      <c r="DX37" s="24"/>
      <c r="DY37" s="24"/>
      <c r="DZ37" s="24"/>
      <c r="EA37" s="24"/>
      <c r="EB37" s="25"/>
      <c r="EC37" s="26"/>
      <c r="ED37" s="24"/>
      <c r="EE37" s="24"/>
      <c r="EF37" s="24"/>
      <c r="EG37" s="24"/>
      <c r="EH37" s="24"/>
      <c r="EI37" s="24"/>
      <c r="EJ37" s="24"/>
      <c r="EK37" s="24"/>
      <c r="EL37" s="24"/>
      <c r="EM37" s="24"/>
      <c r="EN37" s="24"/>
      <c r="EO37" s="25"/>
      <c r="EP37" s="26"/>
      <c r="EQ37" s="24"/>
      <c r="ER37" s="24"/>
      <c r="ES37" s="24"/>
      <c r="ET37" s="24"/>
      <c r="EU37" s="24"/>
      <c r="EV37" s="24"/>
      <c r="EW37" s="24"/>
      <c r="EX37" s="24"/>
      <c r="EY37" s="24"/>
      <c r="EZ37" s="24"/>
      <c r="FA37" s="24"/>
      <c r="FB37" s="25"/>
      <c r="FC37" s="26"/>
      <c r="FD37" s="24"/>
      <c r="FE37" s="24"/>
      <c r="FF37" s="24"/>
      <c r="FG37" s="24"/>
      <c r="FH37" s="24"/>
      <c r="FI37" s="24"/>
      <c r="FJ37" s="24"/>
      <c r="FK37" s="24"/>
      <c r="FL37" s="24"/>
      <c r="FM37" s="24"/>
      <c r="FN37" s="24"/>
      <c r="FO37" s="27">
        <f t="shared" ref="FO37:FV37" si="35">IFERROR(R37*1,0)+IFERROR(AE37*1,0)+IFERROR(AR37*1,0)+IFERROR(BE37*1,0)+IFERROR(BR37*1,0)+IFERROR(CE37*1,0)+IFERROR(CR37*1,0)+IFERROR(DE37*1,0)+IFERROR(DR37*1,0)+IFERROR(EE37*1,0)+IFERROR(ER37*1,0)+IFERROR(FE37*1,0)</f>
        <v>0</v>
      </c>
      <c r="FP37" s="27">
        <f t="shared" si="35"/>
        <v>0</v>
      </c>
      <c r="FQ37" s="27">
        <f t="shared" si="35"/>
        <v>0</v>
      </c>
      <c r="FR37" s="27">
        <f t="shared" si="35"/>
        <v>0</v>
      </c>
      <c r="FS37" s="27">
        <f t="shared" si="35"/>
        <v>0</v>
      </c>
      <c r="FT37" s="27">
        <f t="shared" si="35"/>
        <v>0</v>
      </c>
      <c r="FU37" s="27">
        <f t="shared" si="35"/>
        <v>0</v>
      </c>
      <c r="FV37" s="27">
        <f t="shared" si="35"/>
        <v>0</v>
      </c>
      <c r="FW37" s="28"/>
      <c r="FX37" s="29">
        <f t="shared" si="3"/>
        <v>0</v>
      </c>
    </row>
    <row r="38" spans="1:180" ht="18" customHeight="1" x14ac:dyDescent="0.25">
      <c r="A38" s="3" t="str">
        <f>IF(C38&lt;&gt;"","DRG-"&amp;TEXT(34,"000"),"")</f>
        <v>DRG-034</v>
      </c>
      <c r="B38" s="19" t="s">
        <v>95</v>
      </c>
      <c r="C38" s="20" t="s">
        <v>95</v>
      </c>
      <c r="D38" s="20" t="s">
        <v>56</v>
      </c>
      <c r="E38" s="20" t="s">
        <v>101</v>
      </c>
      <c r="F38" s="20" t="s">
        <v>69</v>
      </c>
      <c r="G38" s="21"/>
      <c r="H38" s="21"/>
      <c r="I38" s="21"/>
      <c r="J38" s="21"/>
      <c r="K38" s="21"/>
      <c r="L38" s="21">
        <v>4</v>
      </c>
      <c r="M38" s="30" t="str">
        <f t="shared" si="0"/>
        <v>✘ Pending</v>
      </c>
      <c r="N38" s="30">
        <f t="shared" si="1"/>
        <v>0</v>
      </c>
      <c r="O38" s="31"/>
      <c r="P38" s="32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1"/>
      <c r="AC38" s="32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1"/>
      <c r="AP38" s="32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1"/>
      <c r="BC38" s="32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1"/>
      <c r="BP38" s="32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1"/>
      <c r="CC38" s="32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1"/>
      <c r="CP38" s="32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1"/>
      <c r="DC38" s="32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1"/>
      <c r="DP38" s="32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1"/>
      <c r="EC38" s="32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1"/>
      <c r="EP38" s="32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1"/>
      <c r="FC38" s="32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4">
        <f t="shared" ref="FO38:FV38" si="36">IFERROR(R38*1,0)+IFERROR(AE38*1,0)+IFERROR(AR38*1,0)+IFERROR(BE38*1,0)+IFERROR(BR38*1,0)+IFERROR(CE38*1,0)+IFERROR(CR38*1,0)+IFERROR(DE38*1,0)+IFERROR(DR38*1,0)+IFERROR(EE38*1,0)+IFERROR(ER38*1,0)+IFERROR(FE38*1,0)</f>
        <v>0</v>
      </c>
      <c r="FP38" s="34">
        <f t="shared" si="36"/>
        <v>0</v>
      </c>
      <c r="FQ38" s="34">
        <f t="shared" si="36"/>
        <v>0</v>
      </c>
      <c r="FR38" s="34">
        <f t="shared" si="36"/>
        <v>0</v>
      </c>
      <c r="FS38" s="34">
        <f t="shared" si="36"/>
        <v>0</v>
      </c>
      <c r="FT38" s="34">
        <f t="shared" si="36"/>
        <v>0</v>
      </c>
      <c r="FU38" s="34">
        <f t="shared" si="36"/>
        <v>0</v>
      </c>
      <c r="FV38" s="34">
        <f t="shared" si="36"/>
        <v>0</v>
      </c>
      <c r="FW38" s="28"/>
      <c r="FX38" s="29">
        <f t="shared" si="3"/>
        <v>0</v>
      </c>
    </row>
    <row r="39" spans="1:180" ht="18" customHeight="1" x14ac:dyDescent="0.25">
      <c r="A39" s="3" t="str">
        <f>IF(C39&lt;&gt;"","DRG-"&amp;TEXT(35,"000"),"")</f>
        <v>DRG-035</v>
      </c>
      <c r="B39" s="19" t="s">
        <v>95</v>
      </c>
      <c r="C39" s="20" t="s">
        <v>95</v>
      </c>
      <c r="D39" s="20" t="s">
        <v>56</v>
      </c>
      <c r="E39" s="20" t="s">
        <v>92</v>
      </c>
      <c r="F39" s="20" t="s">
        <v>69</v>
      </c>
      <c r="G39" s="21"/>
      <c r="H39" s="21"/>
      <c r="I39" s="21"/>
      <c r="J39" s="21"/>
      <c r="K39" s="21"/>
      <c r="L39" s="21">
        <v>4</v>
      </c>
      <c r="M39" s="23" t="str">
        <f t="shared" si="0"/>
        <v>✘ Pending</v>
      </c>
      <c r="N39" s="23">
        <f t="shared" si="1"/>
        <v>0</v>
      </c>
      <c r="O39" s="25"/>
      <c r="P39" s="26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5"/>
      <c r="AC39" s="26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5"/>
      <c r="AP39" s="26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5"/>
      <c r="BC39" s="26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5"/>
      <c r="BP39" s="26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5"/>
      <c r="CC39" s="26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5"/>
      <c r="CP39" s="26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5"/>
      <c r="DC39" s="26"/>
      <c r="DD39" s="24"/>
      <c r="DE39" s="24"/>
      <c r="DF39" s="24"/>
      <c r="DG39" s="24"/>
      <c r="DH39" s="24"/>
      <c r="DI39" s="24"/>
      <c r="DJ39" s="24"/>
      <c r="DK39" s="24"/>
      <c r="DL39" s="24"/>
      <c r="DM39" s="24"/>
      <c r="DN39" s="24"/>
      <c r="DO39" s="25"/>
      <c r="DP39" s="26"/>
      <c r="DQ39" s="24"/>
      <c r="DR39" s="24"/>
      <c r="DS39" s="24"/>
      <c r="DT39" s="24"/>
      <c r="DU39" s="24"/>
      <c r="DV39" s="24"/>
      <c r="DW39" s="24"/>
      <c r="DX39" s="24"/>
      <c r="DY39" s="24"/>
      <c r="DZ39" s="24"/>
      <c r="EA39" s="24"/>
      <c r="EB39" s="25"/>
      <c r="EC39" s="26"/>
      <c r="ED39" s="24"/>
      <c r="EE39" s="24"/>
      <c r="EF39" s="24"/>
      <c r="EG39" s="24"/>
      <c r="EH39" s="24"/>
      <c r="EI39" s="24"/>
      <c r="EJ39" s="24"/>
      <c r="EK39" s="24"/>
      <c r="EL39" s="24"/>
      <c r="EM39" s="24"/>
      <c r="EN39" s="24"/>
      <c r="EO39" s="25"/>
      <c r="EP39" s="26"/>
      <c r="EQ39" s="24"/>
      <c r="ER39" s="24"/>
      <c r="ES39" s="24"/>
      <c r="ET39" s="24"/>
      <c r="EU39" s="24"/>
      <c r="EV39" s="24"/>
      <c r="EW39" s="24"/>
      <c r="EX39" s="24"/>
      <c r="EY39" s="24"/>
      <c r="EZ39" s="24"/>
      <c r="FA39" s="24"/>
      <c r="FB39" s="25"/>
      <c r="FC39" s="26"/>
      <c r="FD39" s="24"/>
      <c r="FE39" s="24"/>
      <c r="FF39" s="24"/>
      <c r="FG39" s="24"/>
      <c r="FH39" s="24"/>
      <c r="FI39" s="24"/>
      <c r="FJ39" s="24"/>
      <c r="FK39" s="24"/>
      <c r="FL39" s="24"/>
      <c r="FM39" s="24"/>
      <c r="FN39" s="24"/>
      <c r="FO39" s="27">
        <f t="shared" ref="FO39:FV39" si="37">IFERROR(R39*1,0)+IFERROR(AE39*1,0)+IFERROR(AR39*1,0)+IFERROR(BE39*1,0)+IFERROR(BR39*1,0)+IFERROR(CE39*1,0)+IFERROR(CR39*1,0)+IFERROR(DE39*1,0)+IFERROR(DR39*1,0)+IFERROR(EE39*1,0)+IFERROR(ER39*1,0)+IFERROR(FE39*1,0)</f>
        <v>0</v>
      </c>
      <c r="FP39" s="27">
        <f t="shared" si="37"/>
        <v>0</v>
      </c>
      <c r="FQ39" s="27">
        <f t="shared" si="37"/>
        <v>0</v>
      </c>
      <c r="FR39" s="27">
        <f t="shared" si="37"/>
        <v>0</v>
      </c>
      <c r="FS39" s="27">
        <f t="shared" si="37"/>
        <v>0</v>
      </c>
      <c r="FT39" s="27">
        <f t="shared" si="37"/>
        <v>0</v>
      </c>
      <c r="FU39" s="27">
        <f t="shared" si="37"/>
        <v>0</v>
      </c>
      <c r="FV39" s="27">
        <f t="shared" si="37"/>
        <v>0</v>
      </c>
      <c r="FW39" s="28"/>
      <c r="FX39" s="29">
        <f t="shared" si="3"/>
        <v>0</v>
      </c>
    </row>
    <row r="40" spans="1:180" ht="18" customHeight="1" x14ac:dyDescent="0.25">
      <c r="A40" s="3" t="str">
        <f>IF(C40&lt;&gt;"","DRG-"&amp;TEXT(36,"000"),"")</f>
        <v>DRG-036</v>
      </c>
      <c r="B40" s="19" t="s">
        <v>95</v>
      </c>
      <c r="C40" s="20" t="s">
        <v>95</v>
      </c>
      <c r="D40" s="20" t="s">
        <v>56</v>
      </c>
      <c r="E40" s="20" t="s">
        <v>102</v>
      </c>
      <c r="F40" s="20" t="s">
        <v>69</v>
      </c>
      <c r="G40" s="21"/>
      <c r="H40" s="21"/>
      <c r="I40" s="21"/>
      <c r="J40" s="21"/>
      <c r="K40" s="21"/>
      <c r="L40" s="21">
        <v>4</v>
      </c>
      <c r="M40" s="30" t="str">
        <f t="shared" si="0"/>
        <v>✘ Pending</v>
      </c>
      <c r="N40" s="30">
        <f t="shared" si="1"/>
        <v>0</v>
      </c>
      <c r="O40" s="31"/>
      <c r="P40" s="32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1"/>
      <c r="AC40" s="32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1"/>
      <c r="AP40" s="32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1"/>
      <c r="BC40" s="32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1"/>
      <c r="BP40" s="32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1"/>
      <c r="CC40" s="32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1"/>
      <c r="CP40" s="32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1"/>
      <c r="DC40" s="32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1"/>
      <c r="DP40" s="32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1"/>
      <c r="EC40" s="32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1"/>
      <c r="EP40" s="32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1"/>
      <c r="FC40" s="32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4">
        <f t="shared" ref="FO40:FV40" si="38">IFERROR(R40*1,0)+IFERROR(AE40*1,0)+IFERROR(AR40*1,0)+IFERROR(BE40*1,0)+IFERROR(BR40*1,0)+IFERROR(CE40*1,0)+IFERROR(CR40*1,0)+IFERROR(DE40*1,0)+IFERROR(DR40*1,0)+IFERROR(EE40*1,0)+IFERROR(ER40*1,0)+IFERROR(FE40*1,0)</f>
        <v>0</v>
      </c>
      <c r="FP40" s="34">
        <f t="shared" si="38"/>
        <v>0</v>
      </c>
      <c r="FQ40" s="34">
        <f t="shared" si="38"/>
        <v>0</v>
      </c>
      <c r="FR40" s="34">
        <f t="shared" si="38"/>
        <v>0</v>
      </c>
      <c r="FS40" s="34">
        <f t="shared" si="38"/>
        <v>0</v>
      </c>
      <c r="FT40" s="34">
        <f t="shared" si="38"/>
        <v>0</v>
      </c>
      <c r="FU40" s="34">
        <f t="shared" si="38"/>
        <v>0</v>
      </c>
      <c r="FV40" s="34">
        <f t="shared" si="38"/>
        <v>0</v>
      </c>
      <c r="FW40" s="28"/>
      <c r="FX40" s="29">
        <f t="shared" si="3"/>
        <v>0</v>
      </c>
    </row>
    <row r="41" spans="1:180" ht="18" customHeight="1" x14ac:dyDescent="0.25">
      <c r="A41" s="3" t="str">
        <f>IF(C41&lt;&gt;"","DRG-"&amp;TEXT(37,"000"),"")</f>
        <v>DRG-037</v>
      </c>
      <c r="B41" s="19" t="s">
        <v>95</v>
      </c>
      <c r="C41" s="20" t="s">
        <v>95</v>
      </c>
      <c r="D41" s="20" t="s">
        <v>56</v>
      </c>
      <c r="E41" s="20" t="s">
        <v>103</v>
      </c>
      <c r="F41" s="20" t="s">
        <v>69</v>
      </c>
      <c r="G41" s="21"/>
      <c r="H41" s="21"/>
      <c r="I41" s="21"/>
      <c r="J41" s="21"/>
      <c r="K41" s="21"/>
      <c r="L41" s="21">
        <v>4</v>
      </c>
      <c r="M41" s="23" t="str">
        <f t="shared" si="0"/>
        <v>✘ Pending</v>
      </c>
      <c r="N41" s="23">
        <f t="shared" si="1"/>
        <v>0</v>
      </c>
      <c r="O41" s="25"/>
      <c r="P41" s="26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5"/>
      <c r="AC41" s="26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5"/>
      <c r="AP41" s="26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5"/>
      <c r="BC41" s="26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5"/>
      <c r="BP41" s="26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5"/>
      <c r="CC41" s="26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5"/>
      <c r="CP41" s="26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5"/>
      <c r="DC41" s="26"/>
      <c r="DD41" s="24"/>
      <c r="DE41" s="24"/>
      <c r="DF41" s="24"/>
      <c r="DG41" s="24"/>
      <c r="DH41" s="24"/>
      <c r="DI41" s="24"/>
      <c r="DJ41" s="24"/>
      <c r="DK41" s="24"/>
      <c r="DL41" s="24"/>
      <c r="DM41" s="24"/>
      <c r="DN41" s="24"/>
      <c r="DO41" s="25"/>
      <c r="DP41" s="26"/>
      <c r="DQ41" s="24"/>
      <c r="DR41" s="24"/>
      <c r="DS41" s="24"/>
      <c r="DT41" s="24"/>
      <c r="DU41" s="24"/>
      <c r="DV41" s="24"/>
      <c r="DW41" s="24"/>
      <c r="DX41" s="24"/>
      <c r="DY41" s="24"/>
      <c r="DZ41" s="24"/>
      <c r="EA41" s="24"/>
      <c r="EB41" s="25"/>
      <c r="EC41" s="26"/>
      <c r="ED41" s="24"/>
      <c r="EE41" s="24"/>
      <c r="EF41" s="24"/>
      <c r="EG41" s="24"/>
      <c r="EH41" s="24"/>
      <c r="EI41" s="24"/>
      <c r="EJ41" s="24"/>
      <c r="EK41" s="24"/>
      <c r="EL41" s="24"/>
      <c r="EM41" s="24"/>
      <c r="EN41" s="24"/>
      <c r="EO41" s="25"/>
      <c r="EP41" s="26"/>
      <c r="EQ41" s="24"/>
      <c r="ER41" s="24"/>
      <c r="ES41" s="24"/>
      <c r="ET41" s="24"/>
      <c r="EU41" s="24"/>
      <c r="EV41" s="24"/>
      <c r="EW41" s="24"/>
      <c r="EX41" s="24"/>
      <c r="EY41" s="24"/>
      <c r="EZ41" s="24"/>
      <c r="FA41" s="24"/>
      <c r="FB41" s="25"/>
      <c r="FC41" s="26"/>
      <c r="FD41" s="24"/>
      <c r="FE41" s="24"/>
      <c r="FF41" s="24"/>
      <c r="FG41" s="24"/>
      <c r="FH41" s="24"/>
      <c r="FI41" s="24"/>
      <c r="FJ41" s="24"/>
      <c r="FK41" s="24"/>
      <c r="FL41" s="24"/>
      <c r="FM41" s="24"/>
      <c r="FN41" s="24"/>
      <c r="FO41" s="27">
        <f t="shared" ref="FO41:FV41" si="39">IFERROR(R41*1,0)+IFERROR(AE41*1,0)+IFERROR(AR41*1,0)+IFERROR(BE41*1,0)+IFERROR(BR41*1,0)+IFERROR(CE41*1,0)+IFERROR(CR41*1,0)+IFERROR(DE41*1,0)+IFERROR(DR41*1,0)+IFERROR(EE41*1,0)+IFERROR(ER41*1,0)+IFERROR(FE41*1,0)</f>
        <v>0</v>
      </c>
      <c r="FP41" s="27">
        <f t="shared" si="39"/>
        <v>0</v>
      </c>
      <c r="FQ41" s="27">
        <f t="shared" si="39"/>
        <v>0</v>
      </c>
      <c r="FR41" s="27">
        <f t="shared" si="39"/>
        <v>0</v>
      </c>
      <c r="FS41" s="27">
        <f t="shared" si="39"/>
        <v>0</v>
      </c>
      <c r="FT41" s="27">
        <f t="shared" si="39"/>
        <v>0</v>
      </c>
      <c r="FU41" s="27">
        <f t="shared" si="39"/>
        <v>0</v>
      </c>
      <c r="FV41" s="27">
        <f t="shared" si="39"/>
        <v>0</v>
      </c>
      <c r="FW41" s="28"/>
      <c r="FX41" s="29">
        <f t="shared" si="3"/>
        <v>0</v>
      </c>
    </row>
    <row r="42" spans="1:180" ht="18" customHeight="1" x14ac:dyDescent="0.25">
      <c r="A42" s="3" t="str">
        <f>IF(C42&lt;&gt;"","DRG-"&amp;TEXT(38,"000"),"")</f>
        <v>DRG-038</v>
      </c>
      <c r="B42" s="19" t="s">
        <v>95</v>
      </c>
      <c r="C42" s="20" t="s">
        <v>95</v>
      </c>
      <c r="D42" s="20" t="s">
        <v>56</v>
      </c>
      <c r="E42" s="20" t="s">
        <v>104</v>
      </c>
      <c r="F42" s="20" t="s">
        <v>69</v>
      </c>
      <c r="G42" s="21"/>
      <c r="H42" s="21"/>
      <c r="I42" s="21"/>
      <c r="J42" s="21"/>
      <c r="K42" s="21"/>
      <c r="L42" s="21">
        <v>4</v>
      </c>
      <c r="M42" s="30" t="str">
        <f t="shared" si="0"/>
        <v>✘ Pending</v>
      </c>
      <c r="N42" s="30">
        <f t="shared" si="1"/>
        <v>0</v>
      </c>
      <c r="O42" s="31"/>
      <c r="P42" s="32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1"/>
      <c r="AC42" s="32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1"/>
      <c r="AP42" s="32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1"/>
      <c r="BC42" s="32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1"/>
      <c r="BP42" s="32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1"/>
      <c r="CC42" s="32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1"/>
      <c r="CP42" s="32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1"/>
      <c r="DC42" s="32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1"/>
      <c r="DP42" s="32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1"/>
      <c r="EC42" s="32"/>
      <c r="ED42" s="33"/>
      <c r="EE42" s="33"/>
      <c r="EF42" s="33"/>
      <c r="EG42" s="33"/>
      <c r="EH42" s="33"/>
      <c r="EI42" s="33"/>
      <c r="EJ42" s="33"/>
      <c r="EK42" s="33"/>
      <c r="EL42" s="33"/>
      <c r="EM42" s="33"/>
      <c r="EN42" s="33"/>
      <c r="EO42" s="31"/>
      <c r="EP42" s="32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1"/>
      <c r="FC42" s="32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4">
        <f t="shared" ref="FO42:FV42" si="40">IFERROR(R42*1,0)+IFERROR(AE42*1,0)+IFERROR(AR42*1,0)+IFERROR(BE42*1,0)+IFERROR(BR42*1,0)+IFERROR(CE42*1,0)+IFERROR(CR42*1,0)+IFERROR(DE42*1,0)+IFERROR(DR42*1,0)+IFERROR(EE42*1,0)+IFERROR(ER42*1,0)+IFERROR(FE42*1,0)</f>
        <v>0</v>
      </c>
      <c r="FP42" s="34">
        <f t="shared" si="40"/>
        <v>0</v>
      </c>
      <c r="FQ42" s="34">
        <f t="shared" si="40"/>
        <v>0</v>
      </c>
      <c r="FR42" s="34">
        <f t="shared" si="40"/>
        <v>0</v>
      </c>
      <c r="FS42" s="34">
        <f t="shared" si="40"/>
        <v>0</v>
      </c>
      <c r="FT42" s="34">
        <f t="shared" si="40"/>
        <v>0</v>
      </c>
      <c r="FU42" s="34">
        <f t="shared" si="40"/>
        <v>0</v>
      </c>
      <c r="FV42" s="34">
        <f t="shared" si="40"/>
        <v>0</v>
      </c>
      <c r="FW42" s="28"/>
      <c r="FX42" s="29">
        <f t="shared" si="3"/>
        <v>0</v>
      </c>
    </row>
    <row r="43" spans="1:180" ht="18" customHeight="1" x14ac:dyDescent="0.25">
      <c r="A43" s="3" t="str">
        <f>IF(C43&lt;&gt;"","DRG-"&amp;TEXT(39,"000"),"")</f>
        <v>DRG-039</v>
      </c>
      <c r="B43" s="19" t="s">
        <v>95</v>
      </c>
      <c r="C43" s="20" t="s">
        <v>95</v>
      </c>
      <c r="D43" s="20" t="s">
        <v>56</v>
      </c>
      <c r="E43" s="20" t="s">
        <v>75</v>
      </c>
      <c r="F43" s="20" t="s">
        <v>58</v>
      </c>
      <c r="G43" s="21"/>
      <c r="H43" s="21"/>
      <c r="I43" s="21"/>
      <c r="J43" s="21"/>
      <c r="K43" s="21"/>
      <c r="L43" s="21">
        <v>4</v>
      </c>
      <c r="M43" s="23" t="str">
        <f t="shared" si="0"/>
        <v>✘ Pending</v>
      </c>
      <c r="N43" s="23">
        <f t="shared" si="1"/>
        <v>0</v>
      </c>
      <c r="O43" s="25"/>
      <c r="P43" s="26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5"/>
      <c r="AC43" s="26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5"/>
      <c r="AP43" s="26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5"/>
      <c r="BC43" s="26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5"/>
      <c r="BP43" s="26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5"/>
      <c r="CC43" s="26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5"/>
      <c r="CP43" s="26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5"/>
      <c r="DC43" s="26"/>
      <c r="DD43" s="24"/>
      <c r="DE43" s="24"/>
      <c r="DF43" s="24"/>
      <c r="DG43" s="24"/>
      <c r="DH43" s="24"/>
      <c r="DI43" s="24"/>
      <c r="DJ43" s="24"/>
      <c r="DK43" s="24"/>
      <c r="DL43" s="24"/>
      <c r="DM43" s="24"/>
      <c r="DN43" s="24"/>
      <c r="DO43" s="25"/>
      <c r="DP43" s="26"/>
      <c r="DQ43" s="24"/>
      <c r="DR43" s="24"/>
      <c r="DS43" s="24"/>
      <c r="DT43" s="24"/>
      <c r="DU43" s="24"/>
      <c r="DV43" s="24"/>
      <c r="DW43" s="24"/>
      <c r="DX43" s="24"/>
      <c r="DY43" s="24"/>
      <c r="DZ43" s="24"/>
      <c r="EA43" s="24"/>
      <c r="EB43" s="25"/>
      <c r="EC43" s="26"/>
      <c r="ED43" s="24"/>
      <c r="EE43" s="24"/>
      <c r="EF43" s="24"/>
      <c r="EG43" s="24"/>
      <c r="EH43" s="24"/>
      <c r="EI43" s="24"/>
      <c r="EJ43" s="24"/>
      <c r="EK43" s="24"/>
      <c r="EL43" s="24"/>
      <c r="EM43" s="24"/>
      <c r="EN43" s="24"/>
      <c r="EO43" s="25"/>
      <c r="EP43" s="26"/>
      <c r="EQ43" s="24"/>
      <c r="ER43" s="24"/>
      <c r="ES43" s="24"/>
      <c r="ET43" s="24"/>
      <c r="EU43" s="24"/>
      <c r="EV43" s="24"/>
      <c r="EW43" s="24"/>
      <c r="EX43" s="24"/>
      <c r="EY43" s="24"/>
      <c r="EZ43" s="24"/>
      <c r="FA43" s="24"/>
      <c r="FB43" s="25"/>
      <c r="FC43" s="26"/>
      <c r="FD43" s="24"/>
      <c r="FE43" s="24"/>
      <c r="FF43" s="24"/>
      <c r="FG43" s="24"/>
      <c r="FH43" s="24"/>
      <c r="FI43" s="24"/>
      <c r="FJ43" s="24"/>
      <c r="FK43" s="24"/>
      <c r="FL43" s="24"/>
      <c r="FM43" s="24"/>
      <c r="FN43" s="24"/>
      <c r="FO43" s="27">
        <f t="shared" ref="FO43:FV43" si="41">IFERROR(R43*1,0)+IFERROR(AE43*1,0)+IFERROR(AR43*1,0)+IFERROR(BE43*1,0)+IFERROR(BR43*1,0)+IFERROR(CE43*1,0)+IFERROR(CR43*1,0)+IFERROR(DE43*1,0)+IFERROR(DR43*1,0)+IFERROR(EE43*1,0)+IFERROR(ER43*1,0)+IFERROR(FE43*1,0)</f>
        <v>0</v>
      </c>
      <c r="FP43" s="27">
        <f t="shared" si="41"/>
        <v>0</v>
      </c>
      <c r="FQ43" s="27">
        <f t="shared" si="41"/>
        <v>0</v>
      </c>
      <c r="FR43" s="27">
        <f t="shared" si="41"/>
        <v>0</v>
      </c>
      <c r="FS43" s="27">
        <f t="shared" si="41"/>
        <v>0</v>
      </c>
      <c r="FT43" s="27">
        <f t="shared" si="41"/>
        <v>0</v>
      </c>
      <c r="FU43" s="27">
        <f t="shared" si="41"/>
        <v>0</v>
      </c>
      <c r="FV43" s="27">
        <f t="shared" si="41"/>
        <v>0</v>
      </c>
      <c r="FW43" s="28"/>
      <c r="FX43" s="29">
        <f t="shared" si="3"/>
        <v>0</v>
      </c>
    </row>
    <row r="44" spans="1:180" ht="18" customHeight="1" x14ac:dyDescent="0.25">
      <c r="A44" s="3" t="str">
        <f>IF(C44&lt;&gt;"","DRG-"&amp;TEXT(40,"000"),"")</f>
        <v>DRG-040</v>
      </c>
      <c r="B44" s="19" t="s">
        <v>95</v>
      </c>
      <c r="C44" s="20" t="s">
        <v>95</v>
      </c>
      <c r="D44" s="20" t="s">
        <v>56</v>
      </c>
      <c r="E44" s="20" t="s">
        <v>76</v>
      </c>
      <c r="F44" s="20" t="s">
        <v>58</v>
      </c>
      <c r="G44" s="21"/>
      <c r="H44" s="21"/>
      <c r="I44" s="21"/>
      <c r="J44" s="21"/>
      <c r="K44" s="21"/>
      <c r="L44" s="21">
        <v>4</v>
      </c>
      <c r="M44" s="30" t="str">
        <f t="shared" si="0"/>
        <v>✘ Pending</v>
      </c>
      <c r="N44" s="30">
        <f t="shared" si="1"/>
        <v>0</v>
      </c>
      <c r="O44" s="31"/>
      <c r="P44" s="32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1"/>
      <c r="AC44" s="32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1"/>
      <c r="AP44" s="32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1"/>
      <c r="BC44" s="32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1"/>
      <c r="BP44" s="32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1"/>
      <c r="CC44" s="32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1"/>
      <c r="CP44" s="32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1"/>
      <c r="DC44" s="32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1"/>
      <c r="DP44" s="32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1"/>
      <c r="EC44" s="32"/>
      <c r="ED44" s="33"/>
      <c r="EE44" s="33"/>
      <c r="EF44" s="33"/>
      <c r="EG44" s="33"/>
      <c r="EH44" s="33"/>
      <c r="EI44" s="33"/>
      <c r="EJ44" s="33"/>
      <c r="EK44" s="33"/>
      <c r="EL44" s="33"/>
      <c r="EM44" s="33"/>
      <c r="EN44" s="33"/>
      <c r="EO44" s="31"/>
      <c r="EP44" s="32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1"/>
      <c r="FC44" s="32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4">
        <f t="shared" ref="FO44:FV44" si="42">IFERROR(R44*1,0)+IFERROR(AE44*1,0)+IFERROR(AR44*1,0)+IFERROR(BE44*1,0)+IFERROR(BR44*1,0)+IFERROR(CE44*1,0)+IFERROR(CR44*1,0)+IFERROR(DE44*1,0)+IFERROR(DR44*1,0)+IFERROR(EE44*1,0)+IFERROR(ER44*1,0)+IFERROR(FE44*1,0)</f>
        <v>0</v>
      </c>
      <c r="FP44" s="34">
        <f t="shared" si="42"/>
        <v>0</v>
      </c>
      <c r="FQ44" s="34">
        <f t="shared" si="42"/>
        <v>0</v>
      </c>
      <c r="FR44" s="34">
        <f t="shared" si="42"/>
        <v>0</v>
      </c>
      <c r="FS44" s="34">
        <f t="shared" si="42"/>
        <v>0</v>
      </c>
      <c r="FT44" s="34">
        <f t="shared" si="42"/>
        <v>0</v>
      </c>
      <c r="FU44" s="34">
        <f t="shared" si="42"/>
        <v>0</v>
      </c>
      <c r="FV44" s="34">
        <f t="shared" si="42"/>
        <v>0</v>
      </c>
      <c r="FW44" s="28"/>
      <c r="FX44" s="29">
        <f t="shared" si="3"/>
        <v>0</v>
      </c>
    </row>
    <row r="45" spans="1:180" ht="18" customHeight="1" x14ac:dyDescent="0.25">
      <c r="A45" s="3" t="str">
        <f>IF(C45&lt;&gt;"","DRG-"&amp;TEXT(41,"000"),"")</f>
        <v>DRG-041</v>
      </c>
      <c r="B45" s="19" t="s">
        <v>95</v>
      </c>
      <c r="C45" s="20" t="s">
        <v>95</v>
      </c>
      <c r="D45" s="20" t="s">
        <v>56</v>
      </c>
      <c r="E45" s="20" t="s">
        <v>105</v>
      </c>
      <c r="F45" s="20" t="s">
        <v>69</v>
      </c>
      <c r="G45" s="21"/>
      <c r="H45" s="21"/>
      <c r="I45" s="21"/>
      <c r="J45" s="21"/>
      <c r="K45" s="21"/>
      <c r="L45" s="21">
        <v>4</v>
      </c>
      <c r="M45" s="23" t="str">
        <f t="shared" si="0"/>
        <v>✘ Pending</v>
      </c>
      <c r="N45" s="23">
        <f t="shared" si="1"/>
        <v>0</v>
      </c>
      <c r="O45" s="25"/>
      <c r="P45" s="26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5"/>
      <c r="AC45" s="26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5"/>
      <c r="AP45" s="26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5"/>
      <c r="BC45" s="26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5"/>
      <c r="BP45" s="26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5"/>
      <c r="CC45" s="26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5"/>
      <c r="CP45" s="26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5"/>
      <c r="DC45" s="26"/>
      <c r="DD45" s="24"/>
      <c r="DE45" s="24"/>
      <c r="DF45" s="24"/>
      <c r="DG45" s="24"/>
      <c r="DH45" s="24"/>
      <c r="DI45" s="24"/>
      <c r="DJ45" s="24"/>
      <c r="DK45" s="24"/>
      <c r="DL45" s="24"/>
      <c r="DM45" s="24"/>
      <c r="DN45" s="24"/>
      <c r="DO45" s="25"/>
      <c r="DP45" s="26"/>
      <c r="DQ45" s="24"/>
      <c r="DR45" s="24"/>
      <c r="DS45" s="24"/>
      <c r="DT45" s="24"/>
      <c r="DU45" s="24"/>
      <c r="DV45" s="24"/>
      <c r="DW45" s="24"/>
      <c r="DX45" s="24"/>
      <c r="DY45" s="24"/>
      <c r="DZ45" s="24"/>
      <c r="EA45" s="24"/>
      <c r="EB45" s="25"/>
      <c r="EC45" s="26"/>
      <c r="ED45" s="24"/>
      <c r="EE45" s="24"/>
      <c r="EF45" s="24"/>
      <c r="EG45" s="24"/>
      <c r="EH45" s="24"/>
      <c r="EI45" s="24"/>
      <c r="EJ45" s="24"/>
      <c r="EK45" s="24"/>
      <c r="EL45" s="24"/>
      <c r="EM45" s="24"/>
      <c r="EN45" s="24"/>
      <c r="EO45" s="25"/>
      <c r="EP45" s="26"/>
      <c r="EQ45" s="24"/>
      <c r="ER45" s="24"/>
      <c r="ES45" s="24"/>
      <c r="ET45" s="24"/>
      <c r="EU45" s="24"/>
      <c r="EV45" s="24"/>
      <c r="EW45" s="24"/>
      <c r="EX45" s="24"/>
      <c r="EY45" s="24"/>
      <c r="EZ45" s="24"/>
      <c r="FA45" s="24"/>
      <c r="FB45" s="25"/>
      <c r="FC45" s="26"/>
      <c r="FD45" s="24"/>
      <c r="FE45" s="24"/>
      <c r="FF45" s="24"/>
      <c r="FG45" s="24"/>
      <c r="FH45" s="24"/>
      <c r="FI45" s="24"/>
      <c r="FJ45" s="24"/>
      <c r="FK45" s="24"/>
      <c r="FL45" s="24"/>
      <c r="FM45" s="24"/>
      <c r="FN45" s="24"/>
      <c r="FO45" s="27">
        <f t="shared" ref="FO45:FV45" si="43">IFERROR(R45*1,0)+IFERROR(AE45*1,0)+IFERROR(AR45*1,0)+IFERROR(BE45*1,0)+IFERROR(BR45*1,0)+IFERROR(CE45*1,0)+IFERROR(CR45*1,0)+IFERROR(DE45*1,0)+IFERROR(DR45*1,0)+IFERROR(EE45*1,0)+IFERROR(ER45*1,0)+IFERROR(FE45*1,0)</f>
        <v>0</v>
      </c>
      <c r="FP45" s="27">
        <f t="shared" si="43"/>
        <v>0</v>
      </c>
      <c r="FQ45" s="27">
        <f t="shared" si="43"/>
        <v>0</v>
      </c>
      <c r="FR45" s="27">
        <f t="shared" si="43"/>
        <v>0</v>
      </c>
      <c r="FS45" s="27">
        <f t="shared" si="43"/>
        <v>0</v>
      </c>
      <c r="FT45" s="27">
        <f t="shared" si="43"/>
        <v>0</v>
      </c>
      <c r="FU45" s="27">
        <f t="shared" si="43"/>
        <v>0</v>
      </c>
      <c r="FV45" s="27">
        <f t="shared" si="43"/>
        <v>0</v>
      </c>
      <c r="FW45" s="28"/>
      <c r="FX45" s="29">
        <f t="shared" si="3"/>
        <v>0</v>
      </c>
    </row>
    <row r="46" spans="1:180" ht="18" customHeight="1" x14ac:dyDescent="0.25">
      <c r="A46" s="3" t="str">
        <f>IF(C46&lt;&gt;"","DRG-"&amp;TEXT(42,"000"),"")</f>
        <v>DRG-042</v>
      </c>
      <c r="B46" s="19" t="s">
        <v>95</v>
      </c>
      <c r="C46" s="20" t="s">
        <v>95</v>
      </c>
      <c r="D46" s="20" t="s">
        <v>56</v>
      </c>
      <c r="E46" s="20" t="s">
        <v>106</v>
      </c>
      <c r="F46" s="20" t="s">
        <v>107</v>
      </c>
      <c r="G46" s="21"/>
      <c r="H46" s="21"/>
      <c r="I46" s="21"/>
      <c r="J46" s="21"/>
      <c r="K46" s="21"/>
      <c r="L46" s="21">
        <v>4</v>
      </c>
      <c r="M46" s="30" t="str">
        <f t="shared" si="0"/>
        <v>✘ Pending</v>
      </c>
      <c r="N46" s="30">
        <f t="shared" si="1"/>
        <v>0</v>
      </c>
      <c r="O46" s="31"/>
      <c r="P46" s="32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1"/>
      <c r="AC46" s="32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1"/>
      <c r="AP46" s="32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1"/>
      <c r="BC46" s="32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1"/>
      <c r="BP46" s="32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1"/>
      <c r="CC46" s="32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1"/>
      <c r="CP46" s="32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1"/>
      <c r="DC46" s="32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1"/>
      <c r="DP46" s="32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1"/>
      <c r="EC46" s="32"/>
      <c r="ED46" s="33"/>
      <c r="EE46" s="33"/>
      <c r="EF46" s="33"/>
      <c r="EG46" s="33"/>
      <c r="EH46" s="33"/>
      <c r="EI46" s="33"/>
      <c r="EJ46" s="33"/>
      <c r="EK46" s="33"/>
      <c r="EL46" s="33"/>
      <c r="EM46" s="33"/>
      <c r="EN46" s="33"/>
      <c r="EO46" s="31"/>
      <c r="EP46" s="32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1"/>
      <c r="FC46" s="32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4">
        <f t="shared" ref="FO46:FV46" si="44">IFERROR(R46*1,0)+IFERROR(AE46*1,0)+IFERROR(AR46*1,0)+IFERROR(BE46*1,0)+IFERROR(BR46*1,0)+IFERROR(CE46*1,0)+IFERROR(CR46*1,0)+IFERROR(DE46*1,0)+IFERROR(DR46*1,0)+IFERROR(EE46*1,0)+IFERROR(ER46*1,0)+IFERROR(FE46*1,0)</f>
        <v>0</v>
      </c>
      <c r="FP46" s="34">
        <f t="shared" si="44"/>
        <v>0</v>
      </c>
      <c r="FQ46" s="34">
        <f t="shared" si="44"/>
        <v>0</v>
      </c>
      <c r="FR46" s="34">
        <f t="shared" si="44"/>
        <v>0</v>
      </c>
      <c r="FS46" s="34">
        <f t="shared" si="44"/>
        <v>0</v>
      </c>
      <c r="FT46" s="34">
        <f t="shared" si="44"/>
        <v>0</v>
      </c>
      <c r="FU46" s="34">
        <f t="shared" si="44"/>
        <v>0</v>
      </c>
      <c r="FV46" s="34">
        <f t="shared" si="44"/>
        <v>0</v>
      </c>
      <c r="FW46" s="28"/>
      <c r="FX46" s="29">
        <f t="shared" si="3"/>
        <v>0</v>
      </c>
    </row>
    <row r="47" spans="1:180" ht="18" customHeight="1" x14ac:dyDescent="0.25">
      <c r="A47" s="3" t="str">
        <f>IF(C47&lt;&gt;"","DRG-"&amp;TEXT(43,"000"),"")</f>
        <v>DRG-043</v>
      </c>
      <c r="B47" s="19" t="s">
        <v>95</v>
      </c>
      <c r="C47" s="20" t="s">
        <v>95</v>
      </c>
      <c r="D47" s="20" t="s">
        <v>56</v>
      </c>
      <c r="E47" s="20" t="s">
        <v>108</v>
      </c>
      <c r="F47" s="20" t="s">
        <v>107</v>
      </c>
      <c r="G47" s="21"/>
      <c r="H47" s="21"/>
      <c r="I47" s="21"/>
      <c r="J47" s="21"/>
      <c r="K47" s="21"/>
      <c r="L47" s="21">
        <v>4</v>
      </c>
      <c r="M47" s="23" t="str">
        <f t="shared" si="0"/>
        <v>✘ Pending</v>
      </c>
      <c r="N47" s="23">
        <f t="shared" si="1"/>
        <v>0</v>
      </c>
      <c r="O47" s="25"/>
      <c r="P47" s="26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5"/>
      <c r="AC47" s="26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5"/>
      <c r="AP47" s="26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5"/>
      <c r="BC47" s="26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5"/>
      <c r="BP47" s="26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5"/>
      <c r="CC47" s="26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5"/>
      <c r="CP47" s="26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5"/>
      <c r="DC47" s="26"/>
      <c r="DD47" s="24"/>
      <c r="DE47" s="24"/>
      <c r="DF47" s="24"/>
      <c r="DG47" s="24"/>
      <c r="DH47" s="24"/>
      <c r="DI47" s="24"/>
      <c r="DJ47" s="24"/>
      <c r="DK47" s="24"/>
      <c r="DL47" s="24"/>
      <c r="DM47" s="24"/>
      <c r="DN47" s="24"/>
      <c r="DO47" s="25"/>
      <c r="DP47" s="26"/>
      <c r="DQ47" s="24"/>
      <c r="DR47" s="24"/>
      <c r="DS47" s="24"/>
      <c r="DT47" s="24"/>
      <c r="DU47" s="24"/>
      <c r="DV47" s="24"/>
      <c r="DW47" s="24"/>
      <c r="DX47" s="24"/>
      <c r="DY47" s="24"/>
      <c r="DZ47" s="24"/>
      <c r="EA47" s="24"/>
      <c r="EB47" s="25"/>
      <c r="EC47" s="26"/>
      <c r="ED47" s="24"/>
      <c r="EE47" s="24"/>
      <c r="EF47" s="24"/>
      <c r="EG47" s="24"/>
      <c r="EH47" s="24"/>
      <c r="EI47" s="24"/>
      <c r="EJ47" s="24"/>
      <c r="EK47" s="24"/>
      <c r="EL47" s="24"/>
      <c r="EM47" s="24"/>
      <c r="EN47" s="24"/>
      <c r="EO47" s="25"/>
      <c r="EP47" s="26"/>
      <c r="EQ47" s="24"/>
      <c r="ER47" s="24"/>
      <c r="ES47" s="24"/>
      <c r="ET47" s="24"/>
      <c r="EU47" s="24"/>
      <c r="EV47" s="24"/>
      <c r="EW47" s="24"/>
      <c r="EX47" s="24"/>
      <c r="EY47" s="24"/>
      <c r="EZ47" s="24"/>
      <c r="FA47" s="24"/>
      <c r="FB47" s="25"/>
      <c r="FC47" s="26"/>
      <c r="FD47" s="24"/>
      <c r="FE47" s="24"/>
      <c r="FF47" s="24"/>
      <c r="FG47" s="24"/>
      <c r="FH47" s="24"/>
      <c r="FI47" s="24"/>
      <c r="FJ47" s="24"/>
      <c r="FK47" s="24"/>
      <c r="FL47" s="24"/>
      <c r="FM47" s="24"/>
      <c r="FN47" s="24"/>
      <c r="FO47" s="27">
        <f t="shared" ref="FO47:FV47" si="45">IFERROR(R47*1,0)+IFERROR(AE47*1,0)+IFERROR(AR47*1,0)+IFERROR(BE47*1,0)+IFERROR(BR47*1,0)+IFERROR(CE47*1,0)+IFERROR(CR47*1,0)+IFERROR(DE47*1,0)+IFERROR(DR47*1,0)+IFERROR(EE47*1,0)+IFERROR(ER47*1,0)+IFERROR(FE47*1,0)</f>
        <v>0</v>
      </c>
      <c r="FP47" s="27">
        <f t="shared" si="45"/>
        <v>0</v>
      </c>
      <c r="FQ47" s="27">
        <f t="shared" si="45"/>
        <v>0</v>
      </c>
      <c r="FR47" s="27">
        <f t="shared" si="45"/>
        <v>0</v>
      </c>
      <c r="FS47" s="27">
        <f t="shared" si="45"/>
        <v>0</v>
      </c>
      <c r="FT47" s="27">
        <f t="shared" si="45"/>
        <v>0</v>
      </c>
      <c r="FU47" s="27">
        <f t="shared" si="45"/>
        <v>0</v>
      </c>
      <c r="FV47" s="27">
        <f t="shared" si="45"/>
        <v>0</v>
      </c>
      <c r="FW47" s="28"/>
      <c r="FX47" s="29">
        <f t="shared" si="3"/>
        <v>0</v>
      </c>
    </row>
    <row r="48" spans="1:180" ht="18" customHeight="1" x14ac:dyDescent="0.25">
      <c r="A48" s="3" t="str">
        <f>IF(C48&lt;&gt;"","DRG-"&amp;TEXT(44,"000"),"")</f>
        <v>DRG-044</v>
      </c>
      <c r="B48" s="19" t="s">
        <v>109</v>
      </c>
      <c r="C48" s="20" t="s">
        <v>109</v>
      </c>
      <c r="D48" s="20" t="s">
        <v>56</v>
      </c>
      <c r="E48" s="20" t="s">
        <v>75</v>
      </c>
      <c r="F48" s="20" t="s">
        <v>58</v>
      </c>
      <c r="G48" s="21" t="s">
        <v>110</v>
      </c>
      <c r="H48" s="21"/>
      <c r="I48" s="22">
        <v>0.41666666666666669</v>
      </c>
      <c r="J48" s="21" t="s">
        <v>73</v>
      </c>
      <c r="K48" s="21">
        <v>3</v>
      </c>
      <c r="L48" s="21">
        <v>4</v>
      </c>
      <c r="M48" s="30" t="str">
        <f t="shared" si="0"/>
        <v>✘ Pending</v>
      </c>
      <c r="N48" s="30">
        <f t="shared" si="1"/>
        <v>0</v>
      </c>
      <c r="O48" s="31"/>
      <c r="P48" s="32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1"/>
      <c r="AC48" s="32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1"/>
      <c r="AP48" s="32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1"/>
      <c r="BC48" s="32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1"/>
      <c r="BP48" s="32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1"/>
      <c r="CC48" s="32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1"/>
      <c r="CP48" s="32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1"/>
      <c r="DC48" s="32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1"/>
      <c r="DP48" s="32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1"/>
      <c r="EC48" s="32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1"/>
      <c r="EP48" s="32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1"/>
      <c r="FC48" s="32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4">
        <f t="shared" ref="FO48:FV48" si="46">IFERROR(R48*1,0)+IFERROR(AE48*1,0)+IFERROR(AR48*1,0)+IFERROR(BE48*1,0)+IFERROR(BR48*1,0)+IFERROR(CE48*1,0)+IFERROR(CR48*1,0)+IFERROR(DE48*1,0)+IFERROR(DR48*1,0)+IFERROR(EE48*1,0)+IFERROR(ER48*1,0)+IFERROR(FE48*1,0)</f>
        <v>0</v>
      </c>
      <c r="FP48" s="34">
        <f t="shared" si="46"/>
        <v>0</v>
      </c>
      <c r="FQ48" s="34">
        <f t="shared" si="46"/>
        <v>0</v>
      </c>
      <c r="FR48" s="34">
        <f t="shared" si="46"/>
        <v>0</v>
      </c>
      <c r="FS48" s="34">
        <f t="shared" si="46"/>
        <v>0</v>
      </c>
      <c r="FT48" s="34">
        <f t="shared" si="46"/>
        <v>0</v>
      </c>
      <c r="FU48" s="34">
        <f t="shared" si="46"/>
        <v>0</v>
      </c>
      <c r="FV48" s="34">
        <f t="shared" si="46"/>
        <v>0</v>
      </c>
      <c r="FW48" s="28"/>
      <c r="FX48" s="29">
        <f t="shared" si="3"/>
        <v>0</v>
      </c>
    </row>
    <row r="49" spans="1:180" ht="18" customHeight="1" x14ac:dyDescent="0.25">
      <c r="A49" s="3" t="str">
        <f>IF(C49&lt;&gt;"","DRG-"&amp;TEXT(45,"000"),"")</f>
        <v>DRG-045</v>
      </c>
      <c r="B49" s="19" t="s">
        <v>109</v>
      </c>
      <c r="C49" s="20" t="s">
        <v>109</v>
      </c>
      <c r="D49" s="20" t="s">
        <v>56</v>
      </c>
      <c r="E49" s="20" t="s">
        <v>96</v>
      </c>
      <c r="F49" s="20" t="s">
        <v>69</v>
      </c>
      <c r="G49" s="21"/>
      <c r="H49" s="21"/>
      <c r="I49" s="21"/>
      <c r="J49" s="21"/>
      <c r="K49" s="21"/>
      <c r="L49" s="21">
        <v>4</v>
      </c>
      <c r="M49" s="23" t="str">
        <f t="shared" si="0"/>
        <v>✘ Pending</v>
      </c>
      <c r="N49" s="23">
        <f t="shared" si="1"/>
        <v>0</v>
      </c>
      <c r="O49" s="25"/>
      <c r="P49" s="26"/>
      <c r="Q49" s="24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5"/>
      <c r="AC49" s="26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5"/>
      <c r="AP49" s="26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5"/>
      <c r="BC49" s="26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5"/>
      <c r="BP49" s="26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5"/>
      <c r="CC49" s="26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5"/>
      <c r="CP49" s="26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5"/>
      <c r="DC49" s="26"/>
      <c r="DD49" s="24"/>
      <c r="DE49" s="24"/>
      <c r="DF49" s="24"/>
      <c r="DG49" s="24"/>
      <c r="DH49" s="24"/>
      <c r="DI49" s="24"/>
      <c r="DJ49" s="24"/>
      <c r="DK49" s="24"/>
      <c r="DL49" s="24"/>
      <c r="DM49" s="24"/>
      <c r="DN49" s="24"/>
      <c r="DO49" s="25"/>
      <c r="DP49" s="26"/>
      <c r="DQ49" s="24"/>
      <c r="DR49" s="24"/>
      <c r="DS49" s="24"/>
      <c r="DT49" s="24"/>
      <c r="DU49" s="24"/>
      <c r="DV49" s="24"/>
      <c r="DW49" s="24"/>
      <c r="DX49" s="24"/>
      <c r="DY49" s="24"/>
      <c r="DZ49" s="24"/>
      <c r="EA49" s="24"/>
      <c r="EB49" s="25"/>
      <c r="EC49" s="26"/>
      <c r="ED49" s="24"/>
      <c r="EE49" s="24"/>
      <c r="EF49" s="24"/>
      <c r="EG49" s="24"/>
      <c r="EH49" s="24"/>
      <c r="EI49" s="24"/>
      <c r="EJ49" s="24"/>
      <c r="EK49" s="24"/>
      <c r="EL49" s="24"/>
      <c r="EM49" s="24"/>
      <c r="EN49" s="24"/>
      <c r="EO49" s="25"/>
      <c r="EP49" s="26"/>
      <c r="EQ49" s="24"/>
      <c r="ER49" s="24"/>
      <c r="ES49" s="24"/>
      <c r="ET49" s="24"/>
      <c r="EU49" s="24"/>
      <c r="EV49" s="24"/>
      <c r="EW49" s="24"/>
      <c r="EX49" s="24"/>
      <c r="EY49" s="24"/>
      <c r="EZ49" s="24"/>
      <c r="FA49" s="24"/>
      <c r="FB49" s="25"/>
      <c r="FC49" s="26"/>
      <c r="FD49" s="24"/>
      <c r="FE49" s="24"/>
      <c r="FF49" s="24"/>
      <c r="FG49" s="24"/>
      <c r="FH49" s="24"/>
      <c r="FI49" s="24"/>
      <c r="FJ49" s="24"/>
      <c r="FK49" s="24"/>
      <c r="FL49" s="24"/>
      <c r="FM49" s="24"/>
      <c r="FN49" s="24"/>
      <c r="FO49" s="27">
        <f t="shared" ref="FO49:FV49" si="47">IFERROR(R49*1,0)+IFERROR(AE49*1,0)+IFERROR(AR49*1,0)+IFERROR(BE49*1,0)+IFERROR(BR49*1,0)+IFERROR(CE49*1,0)+IFERROR(CR49*1,0)+IFERROR(DE49*1,0)+IFERROR(DR49*1,0)+IFERROR(EE49*1,0)+IFERROR(ER49*1,0)+IFERROR(FE49*1,0)</f>
        <v>0</v>
      </c>
      <c r="FP49" s="27">
        <f t="shared" si="47"/>
        <v>0</v>
      </c>
      <c r="FQ49" s="27">
        <f t="shared" si="47"/>
        <v>0</v>
      </c>
      <c r="FR49" s="27">
        <f t="shared" si="47"/>
        <v>0</v>
      </c>
      <c r="FS49" s="27">
        <f t="shared" si="47"/>
        <v>0</v>
      </c>
      <c r="FT49" s="27">
        <f t="shared" si="47"/>
        <v>0</v>
      </c>
      <c r="FU49" s="27">
        <f t="shared" si="47"/>
        <v>0</v>
      </c>
      <c r="FV49" s="27">
        <f t="shared" si="47"/>
        <v>0</v>
      </c>
      <c r="FW49" s="28"/>
      <c r="FX49" s="29">
        <f t="shared" si="3"/>
        <v>0</v>
      </c>
    </row>
    <row r="50" spans="1:180" ht="18" customHeight="1" x14ac:dyDescent="0.25">
      <c r="A50" s="3" t="str">
        <f>IF(C50&lt;&gt;"","DRG-"&amp;TEXT(46,"000"),"")</f>
        <v>DRG-046</v>
      </c>
      <c r="B50" s="19" t="s">
        <v>109</v>
      </c>
      <c r="C50" s="20" t="s">
        <v>109</v>
      </c>
      <c r="D50" s="20" t="s">
        <v>56</v>
      </c>
      <c r="E50" s="20" t="s">
        <v>99</v>
      </c>
      <c r="F50" s="20" t="s">
        <v>69</v>
      </c>
      <c r="G50" s="21"/>
      <c r="H50" s="21"/>
      <c r="I50" s="21"/>
      <c r="J50" s="21"/>
      <c r="K50" s="21"/>
      <c r="L50" s="21">
        <v>4</v>
      </c>
      <c r="M50" s="30" t="str">
        <f t="shared" si="0"/>
        <v>✘ Pending</v>
      </c>
      <c r="N50" s="30">
        <f t="shared" si="1"/>
        <v>0</v>
      </c>
      <c r="O50" s="31"/>
      <c r="P50" s="32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1"/>
      <c r="AC50" s="32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1"/>
      <c r="AP50" s="32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1"/>
      <c r="BC50" s="32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1"/>
      <c r="BP50" s="32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1"/>
      <c r="CC50" s="32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1"/>
      <c r="CP50" s="32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1"/>
      <c r="DC50" s="32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1"/>
      <c r="DP50" s="32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1"/>
      <c r="EC50" s="32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/>
      <c r="EO50" s="31"/>
      <c r="EP50" s="32"/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1"/>
      <c r="FC50" s="32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4">
        <f t="shared" ref="FO50:FV50" si="48">IFERROR(R50*1,0)+IFERROR(AE50*1,0)+IFERROR(AR50*1,0)+IFERROR(BE50*1,0)+IFERROR(BR50*1,0)+IFERROR(CE50*1,0)+IFERROR(CR50*1,0)+IFERROR(DE50*1,0)+IFERROR(DR50*1,0)+IFERROR(EE50*1,0)+IFERROR(ER50*1,0)+IFERROR(FE50*1,0)</f>
        <v>0</v>
      </c>
      <c r="FP50" s="34">
        <f t="shared" si="48"/>
        <v>0</v>
      </c>
      <c r="FQ50" s="34">
        <f t="shared" si="48"/>
        <v>0</v>
      </c>
      <c r="FR50" s="34">
        <f t="shared" si="48"/>
        <v>0</v>
      </c>
      <c r="FS50" s="34">
        <f t="shared" si="48"/>
        <v>0</v>
      </c>
      <c r="FT50" s="34">
        <f t="shared" si="48"/>
        <v>0</v>
      </c>
      <c r="FU50" s="34">
        <f t="shared" si="48"/>
        <v>0</v>
      </c>
      <c r="FV50" s="34">
        <f t="shared" si="48"/>
        <v>0</v>
      </c>
      <c r="FW50" s="28"/>
      <c r="FX50" s="29">
        <f t="shared" si="3"/>
        <v>0</v>
      </c>
    </row>
    <row r="51" spans="1:180" ht="18" customHeight="1" x14ac:dyDescent="0.25">
      <c r="A51" s="3" t="str">
        <f>IF(C51&lt;&gt;"","DRG-"&amp;TEXT(47,"000"),"")</f>
        <v>DRG-047</v>
      </c>
      <c r="B51" s="19" t="s">
        <v>109</v>
      </c>
      <c r="C51" s="20" t="s">
        <v>109</v>
      </c>
      <c r="D51" s="20" t="s">
        <v>56</v>
      </c>
      <c r="E51" s="20" t="s">
        <v>111</v>
      </c>
      <c r="F51" s="20" t="s">
        <v>107</v>
      </c>
      <c r="G51" s="21"/>
      <c r="H51" s="21"/>
      <c r="I51" s="21"/>
      <c r="J51" s="21"/>
      <c r="K51" s="21"/>
      <c r="L51" s="21">
        <v>4</v>
      </c>
      <c r="M51" s="23" t="str">
        <f t="shared" si="0"/>
        <v>✘ Pending</v>
      </c>
      <c r="N51" s="23">
        <f t="shared" si="1"/>
        <v>0</v>
      </c>
      <c r="O51" s="25"/>
      <c r="P51" s="26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5"/>
      <c r="AC51" s="26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5"/>
      <c r="AP51" s="26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5"/>
      <c r="BC51" s="26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5"/>
      <c r="BP51" s="26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5"/>
      <c r="CC51" s="26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5"/>
      <c r="CP51" s="26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5"/>
      <c r="DC51" s="26"/>
      <c r="DD51" s="24"/>
      <c r="DE51" s="24"/>
      <c r="DF51" s="24"/>
      <c r="DG51" s="24"/>
      <c r="DH51" s="24"/>
      <c r="DI51" s="24"/>
      <c r="DJ51" s="24"/>
      <c r="DK51" s="24"/>
      <c r="DL51" s="24"/>
      <c r="DM51" s="24"/>
      <c r="DN51" s="24"/>
      <c r="DO51" s="25"/>
      <c r="DP51" s="26"/>
      <c r="DQ51" s="24"/>
      <c r="DR51" s="24"/>
      <c r="DS51" s="24"/>
      <c r="DT51" s="24"/>
      <c r="DU51" s="24"/>
      <c r="DV51" s="24"/>
      <c r="DW51" s="24"/>
      <c r="DX51" s="24"/>
      <c r="DY51" s="24"/>
      <c r="DZ51" s="24"/>
      <c r="EA51" s="24"/>
      <c r="EB51" s="25"/>
      <c r="EC51" s="26"/>
      <c r="ED51" s="24"/>
      <c r="EE51" s="24"/>
      <c r="EF51" s="24"/>
      <c r="EG51" s="24"/>
      <c r="EH51" s="24"/>
      <c r="EI51" s="24"/>
      <c r="EJ51" s="24"/>
      <c r="EK51" s="24"/>
      <c r="EL51" s="24"/>
      <c r="EM51" s="24"/>
      <c r="EN51" s="24"/>
      <c r="EO51" s="25"/>
      <c r="EP51" s="26"/>
      <c r="EQ51" s="24"/>
      <c r="ER51" s="24"/>
      <c r="ES51" s="24"/>
      <c r="ET51" s="24"/>
      <c r="EU51" s="24"/>
      <c r="EV51" s="24"/>
      <c r="EW51" s="24"/>
      <c r="EX51" s="24"/>
      <c r="EY51" s="24"/>
      <c r="EZ51" s="24"/>
      <c r="FA51" s="24"/>
      <c r="FB51" s="25"/>
      <c r="FC51" s="26"/>
      <c r="FD51" s="24"/>
      <c r="FE51" s="24"/>
      <c r="FF51" s="24"/>
      <c r="FG51" s="24"/>
      <c r="FH51" s="24"/>
      <c r="FI51" s="24"/>
      <c r="FJ51" s="24"/>
      <c r="FK51" s="24"/>
      <c r="FL51" s="24"/>
      <c r="FM51" s="24"/>
      <c r="FN51" s="24"/>
      <c r="FO51" s="27">
        <f t="shared" ref="FO51:FV51" si="49">IFERROR(R51*1,0)+IFERROR(AE51*1,0)+IFERROR(AR51*1,0)+IFERROR(BE51*1,0)+IFERROR(BR51*1,0)+IFERROR(CE51*1,0)+IFERROR(CR51*1,0)+IFERROR(DE51*1,0)+IFERROR(DR51*1,0)+IFERROR(EE51*1,0)+IFERROR(ER51*1,0)+IFERROR(FE51*1,0)</f>
        <v>0</v>
      </c>
      <c r="FP51" s="27">
        <f t="shared" si="49"/>
        <v>0</v>
      </c>
      <c r="FQ51" s="27">
        <f t="shared" si="49"/>
        <v>0</v>
      </c>
      <c r="FR51" s="27">
        <f t="shared" si="49"/>
        <v>0</v>
      </c>
      <c r="FS51" s="27">
        <f t="shared" si="49"/>
        <v>0</v>
      </c>
      <c r="FT51" s="27">
        <f t="shared" si="49"/>
        <v>0</v>
      </c>
      <c r="FU51" s="27">
        <f t="shared" si="49"/>
        <v>0</v>
      </c>
      <c r="FV51" s="27">
        <f t="shared" si="49"/>
        <v>0</v>
      </c>
      <c r="FW51" s="28"/>
      <c r="FX51" s="29">
        <f t="shared" si="3"/>
        <v>0</v>
      </c>
    </row>
    <row r="52" spans="1:180" ht="18" customHeight="1" x14ac:dyDescent="0.25">
      <c r="A52" s="3" t="str">
        <f>IF(C52&lt;&gt;"","DRG-"&amp;TEXT(48,"000"),"")</f>
        <v>DRG-048</v>
      </c>
      <c r="B52" s="19" t="s">
        <v>109</v>
      </c>
      <c r="C52" s="20" t="s">
        <v>190</v>
      </c>
      <c r="D52" s="20" t="s">
        <v>56</v>
      </c>
      <c r="E52" s="20" t="s">
        <v>75</v>
      </c>
      <c r="F52" s="20" t="s">
        <v>58</v>
      </c>
      <c r="G52" s="21"/>
      <c r="H52" s="21"/>
      <c r="I52" s="21"/>
      <c r="J52" s="21"/>
      <c r="K52" s="21"/>
      <c r="L52" s="21">
        <v>4</v>
      </c>
      <c r="M52" s="30" t="str">
        <f t="shared" si="0"/>
        <v>✘ Pending</v>
      </c>
      <c r="N52" s="30">
        <f t="shared" si="1"/>
        <v>0</v>
      </c>
      <c r="O52" s="31"/>
      <c r="P52" s="32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1"/>
      <c r="AC52" s="32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1"/>
      <c r="AP52" s="32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1"/>
      <c r="BC52" s="32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1"/>
      <c r="BP52" s="32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1"/>
      <c r="CC52" s="32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1"/>
      <c r="CP52" s="32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1"/>
      <c r="DC52" s="32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1"/>
      <c r="DP52" s="32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1"/>
      <c r="EC52" s="32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1"/>
      <c r="EP52" s="32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1"/>
      <c r="FC52" s="32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4">
        <f t="shared" ref="FO52:FV52" si="50">IFERROR(R52*1,0)+IFERROR(AE52*1,0)+IFERROR(AR52*1,0)+IFERROR(BE52*1,0)+IFERROR(BR52*1,0)+IFERROR(CE52*1,0)+IFERROR(CR52*1,0)+IFERROR(DE52*1,0)+IFERROR(DR52*1,0)+IFERROR(EE52*1,0)+IFERROR(ER52*1,0)+IFERROR(FE52*1,0)</f>
        <v>0</v>
      </c>
      <c r="FP52" s="34">
        <f t="shared" si="50"/>
        <v>0</v>
      </c>
      <c r="FQ52" s="34">
        <f t="shared" si="50"/>
        <v>0</v>
      </c>
      <c r="FR52" s="34">
        <f t="shared" si="50"/>
        <v>0</v>
      </c>
      <c r="FS52" s="34">
        <f t="shared" si="50"/>
        <v>0</v>
      </c>
      <c r="FT52" s="34">
        <f t="shared" si="50"/>
        <v>0</v>
      </c>
      <c r="FU52" s="34">
        <f t="shared" si="50"/>
        <v>0</v>
      </c>
      <c r="FV52" s="34">
        <f t="shared" si="50"/>
        <v>0</v>
      </c>
      <c r="FW52" s="28"/>
      <c r="FX52" s="29">
        <f t="shared" si="3"/>
        <v>0</v>
      </c>
    </row>
    <row r="53" spans="1:180" ht="18" customHeight="1" x14ac:dyDescent="0.25">
      <c r="A53" s="3" t="str">
        <f>IF(C53&lt;&gt;"","DRG-"&amp;TEXT(49,"000"),"")</f>
        <v>DRG-049</v>
      </c>
      <c r="B53" s="19" t="s">
        <v>109</v>
      </c>
      <c r="C53" s="20" t="s">
        <v>109</v>
      </c>
      <c r="D53" s="20" t="s">
        <v>56</v>
      </c>
      <c r="E53" s="20" t="s">
        <v>112</v>
      </c>
      <c r="F53" s="20" t="s">
        <v>107</v>
      </c>
      <c r="G53" s="21"/>
      <c r="H53" s="21"/>
      <c r="I53" s="21"/>
      <c r="J53" s="21"/>
      <c r="K53" s="21"/>
      <c r="L53" s="21">
        <v>4</v>
      </c>
      <c r="M53" s="23" t="str">
        <f t="shared" si="0"/>
        <v>✘ Pending</v>
      </c>
      <c r="N53" s="23">
        <f t="shared" si="1"/>
        <v>0</v>
      </c>
      <c r="O53" s="25"/>
      <c r="P53" s="26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5"/>
      <c r="AC53" s="26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5"/>
      <c r="AP53" s="26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5"/>
      <c r="BC53" s="26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5"/>
      <c r="BP53" s="26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5"/>
      <c r="CC53" s="26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5"/>
      <c r="CP53" s="26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5"/>
      <c r="DC53" s="26"/>
      <c r="DD53" s="24"/>
      <c r="DE53" s="24"/>
      <c r="DF53" s="24"/>
      <c r="DG53" s="24"/>
      <c r="DH53" s="24"/>
      <c r="DI53" s="24"/>
      <c r="DJ53" s="24"/>
      <c r="DK53" s="24"/>
      <c r="DL53" s="24"/>
      <c r="DM53" s="24"/>
      <c r="DN53" s="24"/>
      <c r="DO53" s="25"/>
      <c r="DP53" s="26"/>
      <c r="DQ53" s="24"/>
      <c r="DR53" s="24"/>
      <c r="DS53" s="24"/>
      <c r="DT53" s="24"/>
      <c r="DU53" s="24"/>
      <c r="DV53" s="24"/>
      <c r="DW53" s="24"/>
      <c r="DX53" s="24"/>
      <c r="DY53" s="24"/>
      <c r="DZ53" s="24"/>
      <c r="EA53" s="24"/>
      <c r="EB53" s="25"/>
      <c r="EC53" s="26"/>
      <c r="ED53" s="24"/>
      <c r="EE53" s="24"/>
      <c r="EF53" s="24"/>
      <c r="EG53" s="24"/>
      <c r="EH53" s="24"/>
      <c r="EI53" s="24"/>
      <c r="EJ53" s="24"/>
      <c r="EK53" s="24"/>
      <c r="EL53" s="24"/>
      <c r="EM53" s="24"/>
      <c r="EN53" s="24"/>
      <c r="EO53" s="25"/>
      <c r="EP53" s="26"/>
      <c r="EQ53" s="24"/>
      <c r="ER53" s="24"/>
      <c r="ES53" s="24"/>
      <c r="ET53" s="24"/>
      <c r="EU53" s="24"/>
      <c r="EV53" s="24"/>
      <c r="EW53" s="24"/>
      <c r="EX53" s="24"/>
      <c r="EY53" s="24"/>
      <c r="EZ53" s="24"/>
      <c r="FA53" s="24"/>
      <c r="FB53" s="25"/>
      <c r="FC53" s="26"/>
      <c r="FD53" s="24"/>
      <c r="FE53" s="24"/>
      <c r="FF53" s="24"/>
      <c r="FG53" s="24"/>
      <c r="FH53" s="24"/>
      <c r="FI53" s="24"/>
      <c r="FJ53" s="24"/>
      <c r="FK53" s="24"/>
      <c r="FL53" s="24"/>
      <c r="FM53" s="24"/>
      <c r="FN53" s="24"/>
      <c r="FO53" s="27">
        <f t="shared" ref="FO53:FV53" si="51">IFERROR(R53*1,0)+IFERROR(AE53*1,0)+IFERROR(AR53*1,0)+IFERROR(BE53*1,0)+IFERROR(BR53*1,0)+IFERROR(CE53*1,0)+IFERROR(CR53*1,0)+IFERROR(DE53*1,0)+IFERROR(DR53*1,0)+IFERROR(EE53*1,0)+IFERROR(ER53*1,0)+IFERROR(FE53*1,0)</f>
        <v>0</v>
      </c>
      <c r="FP53" s="27">
        <f t="shared" si="51"/>
        <v>0</v>
      </c>
      <c r="FQ53" s="27">
        <f t="shared" si="51"/>
        <v>0</v>
      </c>
      <c r="FR53" s="27">
        <f t="shared" si="51"/>
        <v>0</v>
      </c>
      <c r="FS53" s="27">
        <f t="shared" si="51"/>
        <v>0</v>
      </c>
      <c r="FT53" s="27">
        <f t="shared" si="51"/>
        <v>0</v>
      </c>
      <c r="FU53" s="27">
        <f t="shared" si="51"/>
        <v>0</v>
      </c>
      <c r="FV53" s="27">
        <f t="shared" si="51"/>
        <v>0</v>
      </c>
      <c r="FW53" s="28"/>
      <c r="FX53" s="29">
        <f t="shared" si="3"/>
        <v>0</v>
      </c>
    </row>
    <row r="54" spans="1:180" ht="18" customHeight="1" x14ac:dyDescent="0.25">
      <c r="A54" s="3" t="str">
        <f>IF(C54&lt;&gt;"","DRG-"&amp;TEXT(50,"000"),"")</f>
        <v>DRG-050</v>
      </c>
      <c r="B54" s="35" t="s">
        <v>113</v>
      </c>
      <c r="C54" s="20" t="s">
        <v>114</v>
      </c>
      <c r="D54" s="20" t="s">
        <v>56</v>
      </c>
      <c r="E54" s="20" t="s">
        <v>87</v>
      </c>
      <c r="F54" s="20" t="s">
        <v>69</v>
      </c>
      <c r="G54" s="21"/>
      <c r="H54" s="21"/>
      <c r="I54" s="21"/>
      <c r="J54" s="21"/>
      <c r="K54" s="21"/>
      <c r="L54" s="21">
        <v>4</v>
      </c>
      <c r="M54" s="30" t="str">
        <f t="shared" si="0"/>
        <v>✘ Pending</v>
      </c>
      <c r="N54" s="30">
        <f t="shared" si="1"/>
        <v>0</v>
      </c>
      <c r="O54" s="31"/>
      <c r="P54" s="32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1"/>
      <c r="AC54" s="32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1"/>
      <c r="AP54" s="32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1"/>
      <c r="BC54" s="32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1"/>
      <c r="BP54" s="32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1"/>
      <c r="CC54" s="32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1"/>
      <c r="CP54" s="32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1"/>
      <c r="DC54" s="32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1"/>
      <c r="DP54" s="32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1"/>
      <c r="EC54" s="32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1"/>
      <c r="EP54" s="32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1"/>
      <c r="FC54" s="32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4">
        <f t="shared" ref="FO54:FV54" si="52">IFERROR(R54*1,0)+IFERROR(AE54*1,0)+IFERROR(AR54*1,0)+IFERROR(BE54*1,0)+IFERROR(BR54*1,0)+IFERROR(CE54*1,0)+IFERROR(CR54*1,0)+IFERROR(DE54*1,0)+IFERROR(DR54*1,0)+IFERROR(EE54*1,0)+IFERROR(ER54*1,0)+IFERROR(FE54*1,0)</f>
        <v>0</v>
      </c>
      <c r="FP54" s="34">
        <f t="shared" si="52"/>
        <v>0</v>
      </c>
      <c r="FQ54" s="34">
        <f t="shared" si="52"/>
        <v>0</v>
      </c>
      <c r="FR54" s="34">
        <f t="shared" si="52"/>
        <v>0</v>
      </c>
      <c r="FS54" s="34">
        <f t="shared" si="52"/>
        <v>0</v>
      </c>
      <c r="FT54" s="34">
        <f t="shared" si="52"/>
        <v>0</v>
      </c>
      <c r="FU54" s="34">
        <f t="shared" si="52"/>
        <v>0</v>
      </c>
      <c r="FV54" s="34">
        <f t="shared" si="52"/>
        <v>0</v>
      </c>
      <c r="FW54" s="28"/>
      <c r="FX54" s="29">
        <f t="shared" si="3"/>
        <v>0</v>
      </c>
    </row>
    <row r="55" spans="1:180" ht="18" customHeight="1" x14ac:dyDescent="0.25">
      <c r="A55" s="3" t="str">
        <f>IF(C55&lt;&gt;"","DRG-"&amp;TEXT(51,"000"),"")</f>
        <v>DRG-051</v>
      </c>
      <c r="B55" s="35" t="s">
        <v>113</v>
      </c>
      <c r="C55" s="20" t="s">
        <v>114</v>
      </c>
      <c r="D55" s="20" t="s">
        <v>56</v>
      </c>
      <c r="E55" s="20" t="s">
        <v>115</v>
      </c>
      <c r="F55" s="20" t="s">
        <v>69</v>
      </c>
      <c r="G55" s="21"/>
      <c r="H55" s="21"/>
      <c r="I55" s="21"/>
      <c r="J55" s="21"/>
      <c r="K55" s="21"/>
      <c r="L55" s="21">
        <v>4</v>
      </c>
      <c r="M55" s="23" t="str">
        <f t="shared" si="0"/>
        <v>✘ Pending</v>
      </c>
      <c r="N55" s="23">
        <f t="shared" si="1"/>
        <v>0</v>
      </c>
      <c r="O55" s="25"/>
      <c r="P55" s="26"/>
      <c r="Q55" s="24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5"/>
      <c r="AC55" s="26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5"/>
      <c r="AP55" s="26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5"/>
      <c r="BC55" s="26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5"/>
      <c r="BP55" s="26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5"/>
      <c r="CC55" s="26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5"/>
      <c r="CP55" s="26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5"/>
      <c r="DC55" s="26"/>
      <c r="DD55" s="24"/>
      <c r="DE55" s="24"/>
      <c r="DF55" s="24"/>
      <c r="DG55" s="24"/>
      <c r="DH55" s="24"/>
      <c r="DI55" s="24"/>
      <c r="DJ55" s="24"/>
      <c r="DK55" s="24"/>
      <c r="DL55" s="24"/>
      <c r="DM55" s="24"/>
      <c r="DN55" s="24"/>
      <c r="DO55" s="25"/>
      <c r="DP55" s="26"/>
      <c r="DQ55" s="24"/>
      <c r="DR55" s="24"/>
      <c r="DS55" s="24"/>
      <c r="DT55" s="24"/>
      <c r="DU55" s="24"/>
      <c r="DV55" s="24"/>
      <c r="DW55" s="24"/>
      <c r="DX55" s="24"/>
      <c r="DY55" s="24"/>
      <c r="DZ55" s="24"/>
      <c r="EA55" s="24"/>
      <c r="EB55" s="25"/>
      <c r="EC55" s="26"/>
      <c r="ED55" s="24"/>
      <c r="EE55" s="24"/>
      <c r="EF55" s="24"/>
      <c r="EG55" s="24"/>
      <c r="EH55" s="24"/>
      <c r="EI55" s="24"/>
      <c r="EJ55" s="24"/>
      <c r="EK55" s="24"/>
      <c r="EL55" s="24"/>
      <c r="EM55" s="24"/>
      <c r="EN55" s="24"/>
      <c r="EO55" s="25"/>
      <c r="EP55" s="26"/>
      <c r="EQ55" s="24"/>
      <c r="ER55" s="24"/>
      <c r="ES55" s="24"/>
      <c r="ET55" s="24"/>
      <c r="EU55" s="24"/>
      <c r="EV55" s="24"/>
      <c r="EW55" s="24"/>
      <c r="EX55" s="24"/>
      <c r="EY55" s="24"/>
      <c r="EZ55" s="24"/>
      <c r="FA55" s="24"/>
      <c r="FB55" s="25"/>
      <c r="FC55" s="26"/>
      <c r="FD55" s="24"/>
      <c r="FE55" s="24"/>
      <c r="FF55" s="24"/>
      <c r="FG55" s="24"/>
      <c r="FH55" s="24"/>
      <c r="FI55" s="24"/>
      <c r="FJ55" s="24"/>
      <c r="FK55" s="24"/>
      <c r="FL55" s="24"/>
      <c r="FM55" s="24"/>
      <c r="FN55" s="24"/>
      <c r="FO55" s="27">
        <f t="shared" ref="FO55:FV55" si="53">IFERROR(R55*1,0)+IFERROR(AE55*1,0)+IFERROR(AR55*1,0)+IFERROR(BE55*1,0)+IFERROR(BR55*1,0)+IFERROR(CE55*1,0)+IFERROR(CR55*1,0)+IFERROR(DE55*1,0)+IFERROR(DR55*1,0)+IFERROR(EE55*1,0)+IFERROR(ER55*1,0)+IFERROR(FE55*1,0)</f>
        <v>0</v>
      </c>
      <c r="FP55" s="27">
        <f t="shared" si="53"/>
        <v>0</v>
      </c>
      <c r="FQ55" s="27">
        <f t="shared" si="53"/>
        <v>0</v>
      </c>
      <c r="FR55" s="27">
        <f t="shared" si="53"/>
        <v>0</v>
      </c>
      <c r="FS55" s="27">
        <f t="shared" si="53"/>
        <v>0</v>
      </c>
      <c r="FT55" s="27">
        <f t="shared" si="53"/>
        <v>0</v>
      </c>
      <c r="FU55" s="27">
        <f t="shared" si="53"/>
        <v>0</v>
      </c>
      <c r="FV55" s="27">
        <f t="shared" si="53"/>
        <v>0</v>
      </c>
      <c r="FW55" s="28"/>
      <c r="FX55" s="29">
        <f t="shared" si="3"/>
        <v>0</v>
      </c>
    </row>
    <row r="56" spans="1:180" s="86" customFormat="1" ht="18" customHeight="1" x14ac:dyDescent="0.25">
      <c r="A56" s="76" t="str">
        <f>IF(C56&lt;&gt;"","DRG-"&amp;TEXT(52,"000"),"")</f>
        <v>DRG-052</v>
      </c>
      <c r="B56" s="77" t="s">
        <v>113</v>
      </c>
      <c r="C56" s="78" t="s">
        <v>114</v>
      </c>
      <c r="D56" s="78" t="s">
        <v>56</v>
      </c>
      <c r="E56" s="78" t="s">
        <v>116</v>
      </c>
      <c r="F56" s="78" t="s">
        <v>58</v>
      </c>
      <c r="G56" s="79"/>
      <c r="H56" s="79"/>
      <c r="I56" s="79"/>
      <c r="J56" s="79"/>
      <c r="K56" s="79"/>
      <c r="L56" s="79">
        <v>4</v>
      </c>
      <c r="M56" s="80" t="str">
        <f t="shared" si="0"/>
        <v>✘ Pending</v>
      </c>
      <c r="N56" s="80">
        <f t="shared" si="1"/>
        <v>0</v>
      </c>
      <c r="O56" s="81"/>
      <c r="P56" s="82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1"/>
      <c r="AC56" s="82"/>
      <c r="AD56" s="83"/>
      <c r="AE56" s="83"/>
      <c r="AF56" s="83"/>
      <c r="AG56" s="83"/>
      <c r="AH56" s="83"/>
      <c r="AI56" s="83"/>
      <c r="AJ56" s="83"/>
      <c r="AK56" s="83"/>
      <c r="AL56" s="83"/>
      <c r="AM56" s="83"/>
      <c r="AN56" s="83"/>
      <c r="AO56" s="81"/>
      <c r="AP56" s="82"/>
      <c r="AQ56" s="83"/>
      <c r="AR56" s="83"/>
      <c r="AS56" s="83"/>
      <c r="AT56" s="83"/>
      <c r="AU56" s="83"/>
      <c r="AV56" s="83"/>
      <c r="AW56" s="83"/>
      <c r="AX56" s="83"/>
      <c r="AY56" s="83"/>
      <c r="AZ56" s="83"/>
      <c r="BA56" s="83"/>
      <c r="BB56" s="81"/>
      <c r="BC56" s="82"/>
      <c r="BD56" s="83"/>
      <c r="BE56" s="83"/>
      <c r="BF56" s="83"/>
      <c r="BG56" s="83"/>
      <c r="BH56" s="83"/>
      <c r="BI56" s="83"/>
      <c r="BJ56" s="83"/>
      <c r="BK56" s="83"/>
      <c r="BL56" s="83"/>
      <c r="BM56" s="83"/>
      <c r="BN56" s="83"/>
      <c r="BO56" s="81"/>
      <c r="BP56" s="82"/>
      <c r="BQ56" s="83"/>
      <c r="BR56" s="83"/>
      <c r="BS56" s="83"/>
      <c r="BT56" s="83"/>
      <c r="BU56" s="83"/>
      <c r="BV56" s="83"/>
      <c r="BW56" s="83"/>
      <c r="BX56" s="83"/>
      <c r="BY56" s="83"/>
      <c r="BZ56" s="83"/>
      <c r="CA56" s="83"/>
      <c r="CB56" s="81"/>
      <c r="CC56" s="82"/>
      <c r="CD56" s="83"/>
      <c r="CE56" s="83"/>
      <c r="CF56" s="83"/>
      <c r="CG56" s="83"/>
      <c r="CH56" s="83"/>
      <c r="CI56" s="83"/>
      <c r="CJ56" s="83"/>
      <c r="CK56" s="83"/>
      <c r="CL56" s="83"/>
      <c r="CM56" s="83"/>
      <c r="CN56" s="83"/>
      <c r="CO56" s="81"/>
      <c r="CP56" s="82"/>
      <c r="CQ56" s="83"/>
      <c r="CR56" s="83"/>
      <c r="CS56" s="83"/>
      <c r="CT56" s="83"/>
      <c r="CU56" s="83"/>
      <c r="CV56" s="83"/>
      <c r="CW56" s="83"/>
      <c r="CX56" s="83"/>
      <c r="CY56" s="83"/>
      <c r="CZ56" s="83"/>
      <c r="DA56" s="83"/>
      <c r="DB56" s="81"/>
      <c r="DC56" s="82"/>
      <c r="DD56" s="83"/>
      <c r="DE56" s="83"/>
      <c r="DF56" s="83"/>
      <c r="DG56" s="83"/>
      <c r="DH56" s="83"/>
      <c r="DI56" s="83"/>
      <c r="DJ56" s="83"/>
      <c r="DK56" s="83"/>
      <c r="DL56" s="83"/>
      <c r="DM56" s="83"/>
      <c r="DN56" s="83"/>
      <c r="DO56" s="81"/>
      <c r="DP56" s="82"/>
      <c r="DQ56" s="83"/>
      <c r="DR56" s="83"/>
      <c r="DS56" s="83"/>
      <c r="DT56" s="83"/>
      <c r="DU56" s="83"/>
      <c r="DV56" s="83"/>
      <c r="DW56" s="83"/>
      <c r="DX56" s="83"/>
      <c r="DY56" s="83"/>
      <c r="DZ56" s="83"/>
      <c r="EA56" s="83"/>
      <c r="EB56" s="81"/>
      <c r="EC56" s="82"/>
      <c r="ED56" s="83"/>
      <c r="EE56" s="83"/>
      <c r="EF56" s="83"/>
      <c r="EG56" s="83"/>
      <c r="EH56" s="83"/>
      <c r="EI56" s="83"/>
      <c r="EJ56" s="83"/>
      <c r="EK56" s="83"/>
      <c r="EL56" s="83"/>
      <c r="EM56" s="83"/>
      <c r="EN56" s="83"/>
      <c r="EO56" s="81"/>
      <c r="EP56" s="82"/>
      <c r="EQ56" s="83"/>
      <c r="ER56" s="83"/>
      <c r="ES56" s="83"/>
      <c r="ET56" s="83"/>
      <c r="EU56" s="83"/>
      <c r="EV56" s="83"/>
      <c r="EW56" s="83"/>
      <c r="EX56" s="83"/>
      <c r="EY56" s="83"/>
      <c r="EZ56" s="83"/>
      <c r="FA56" s="83"/>
      <c r="FB56" s="81"/>
      <c r="FC56" s="82"/>
      <c r="FD56" s="83"/>
      <c r="FE56" s="83"/>
      <c r="FF56" s="83"/>
      <c r="FG56" s="83"/>
      <c r="FH56" s="83"/>
      <c r="FI56" s="83"/>
      <c r="FJ56" s="83"/>
      <c r="FK56" s="83"/>
      <c r="FL56" s="83"/>
      <c r="FM56" s="83"/>
      <c r="FN56" s="83"/>
      <c r="FO56" s="80">
        <f t="shared" ref="FO56:FV56" si="54">IFERROR(R56*1,0)+IFERROR(AE56*1,0)+IFERROR(AR56*1,0)+IFERROR(BE56*1,0)+IFERROR(BR56*1,0)+IFERROR(CE56*1,0)+IFERROR(CR56*1,0)+IFERROR(DE56*1,0)+IFERROR(DR56*1,0)+IFERROR(EE56*1,0)+IFERROR(ER56*1,0)+IFERROR(FE56*1,0)</f>
        <v>0</v>
      </c>
      <c r="FP56" s="80">
        <f t="shared" si="54"/>
        <v>0</v>
      </c>
      <c r="FQ56" s="80">
        <f t="shared" si="54"/>
        <v>0</v>
      </c>
      <c r="FR56" s="80">
        <f t="shared" si="54"/>
        <v>0</v>
      </c>
      <c r="FS56" s="80">
        <f t="shared" si="54"/>
        <v>0</v>
      </c>
      <c r="FT56" s="80">
        <f t="shared" si="54"/>
        <v>0</v>
      </c>
      <c r="FU56" s="80">
        <f t="shared" si="54"/>
        <v>0</v>
      </c>
      <c r="FV56" s="80">
        <f t="shared" si="54"/>
        <v>0</v>
      </c>
      <c r="FW56" s="84"/>
      <c r="FX56" s="85">
        <f t="shared" si="3"/>
        <v>0</v>
      </c>
    </row>
    <row r="57" spans="1:180" ht="18" customHeight="1" x14ac:dyDescent="0.25">
      <c r="A57" s="3" t="str">
        <f>IF(C57&lt;&gt;"","DRG-"&amp;TEXT(53,"000"),"")</f>
        <v>DRG-053</v>
      </c>
      <c r="B57" s="35" t="s">
        <v>113</v>
      </c>
      <c r="C57" s="20" t="s">
        <v>114</v>
      </c>
      <c r="D57" s="20" t="s">
        <v>56</v>
      </c>
      <c r="E57" s="20" t="s">
        <v>117</v>
      </c>
      <c r="F57" s="20" t="s">
        <v>69</v>
      </c>
      <c r="G57" s="21"/>
      <c r="H57" s="21"/>
      <c r="I57" s="21"/>
      <c r="J57" s="21"/>
      <c r="K57" s="21"/>
      <c r="L57" s="21">
        <v>4</v>
      </c>
      <c r="M57" s="23" t="str">
        <f t="shared" si="0"/>
        <v>✘ Pending</v>
      </c>
      <c r="N57" s="23">
        <f t="shared" si="1"/>
        <v>0</v>
      </c>
      <c r="O57" s="25"/>
      <c r="P57" s="26"/>
      <c r="Q57" s="24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5"/>
      <c r="AC57" s="26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5"/>
      <c r="AP57" s="26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5"/>
      <c r="BC57" s="26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5"/>
      <c r="BP57" s="26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5"/>
      <c r="CC57" s="26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5"/>
      <c r="CP57" s="26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5"/>
      <c r="DC57" s="26"/>
      <c r="DD57" s="24"/>
      <c r="DE57" s="24"/>
      <c r="DF57" s="24"/>
      <c r="DG57" s="24"/>
      <c r="DH57" s="24"/>
      <c r="DI57" s="24"/>
      <c r="DJ57" s="24"/>
      <c r="DK57" s="24"/>
      <c r="DL57" s="24"/>
      <c r="DM57" s="24"/>
      <c r="DN57" s="24"/>
      <c r="DO57" s="25"/>
      <c r="DP57" s="26"/>
      <c r="DQ57" s="24"/>
      <c r="DR57" s="24"/>
      <c r="DS57" s="24"/>
      <c r="DT57" s="24"/>
      <c r="DU57" s="24"/>
      <c r="DV57" s="24"/>
      <c r="DW57" s="24"/>
      <c r="DX57" s="24"/>
      <c r="DY57" s="24"/>
      <c r="DZ57" s="24"/>
      <c r="EA57" s="24"/>
      <c r="EB57" s="25"/>
      <c r="EC57" s="26"/>
      <c r="ED57" s="24"/>
      <c r="EE57" s="24"/>
      <c r="EF57" s="24"/>
      <c r="EG57" s="24"/>
      <c r="EH57" s="24"/>
      <c r="EI57" s="24"/>
      <c r="EJ57" s="24"/>
      <c r="EK57" s="24"/>
      <c r="EL57" s="24"/>
      <c r="EM57" s="24"/>
      <c r="EN57" s="24"/>
      <c r="EO57" s="25"/>
      <c r="EP57" s="26"/>
      <c r="EQ57" s="24"/>
      <c r="ER57" s="24"/>
      <c r="ES57" s="24"/>
      <c r="ET57" s="24"/>
      <c r="EU57" s="24"/>
      <c r="EV57" s="24"/>
      <c r="EW57" s="24"/>
      <c r="EX57" s="24"/>
      <c r="EY57" s="24"/>
      <c r="EZ57" s="24"/>
      <c r="FA57" s="24"/>
      <c r="FB57" s="25"/>
      <c r="FC57" s="26"/>
      <c r="FD57" s="24"/>
      <c r="FE57" s="24"/>
      <c r="FF57" s="24"/>
      <c r="FG57" s="24"/>
      <c r="FH57" s="24"/>
      <c r="FI57" s="24"/>
      <c r="FJ57" s="24"/>
      <c r="FK57" s="24"/>
      <c r="FL57" s="24"/>
      <c r="FM57" s="24"/>
      <c r="FN57" s="24"/>
      <c r="FO57" s="27">
        <f t="shared" ref="FO57:FV57" si="55">IFERROR(R57*1,0)+IFERROR(AE57*1,0)+IFERROR(AR57*1,0)+IFERROR(BE57*1,0)+IFERROR(BR57*1,0)+IFERROR(CE57*1,0)+IFERROR(CR57*1,0)+IFERROR(DE57*1,0)+IFERROR(DR57*1,0)+IFERROR(EE57*1,0)+IFERROR(ER57*1,0)+IFERROR(FE57*1,0)</f>
        <v>0</v>
      </c>
      <c r="FP57" s="27">
        <f t="shared" si="55"/>
        <v>0</v>
      </c>
      <c r="FQ57" s="27">
        <f t="shared" si="55"/>
        <v>0</v>
      </c>
      <c r="FR57" s="27">
        <f t="shared" si="55"/>
        <v>0</v>
      </c>
      <c r="FS57" s="27">
        <f t="shared" si="55"/>
        <v>0</v>
      </c>
      <c r="FT57" s="27">
        <f t="shared" si="55"/>
        <v>0</v>
      </c>
      <c r="FU57" s="27">
        <f t="shared" si="55"/>
        <v>0</v>
      </c>
      <c r="FV57" s="27">
        <f t="shared" si="55"/>
        <v>0</v>
      </c>
      <c r="FW57" s="28"/>
      <c r="FX57" s="29">
        <f t="shared" si="3"/>
        <v>0</v>
      </c>
    </row>
    <row r="58" spans="1:180" ht="18" customHeight="1" x14ac:dyDescent="0.25">
      <c r="A58" s="3" t="str">
        <f>IF(C58&lt;&gt;"","DRG-"&amp;TEXT(54,"000"),"")</f>
        <v>DRG-054</v>
      </c>
      <c r="B58" s="35" t="s">
        <v>113</v>
      </c>
      <c r="C58" s="20" t="s">
        <v>114</v>
      </c>
      <c r="D58" s="20" t="s">
        <v>56</v>
      </c>
      <c r="E58" s="20" t="s">
        <v>104</v>
      </c>
      <c r="F58" s="20" t="s">
        <v>69</v>
      </c>
      <c r="G58" s="21"/>
      <c r="H58" s="21"/>
      <c r="I58" s="21"/>
      <c r="J58" s="21"/>
      <c r="K58" s="21"/>
      <c r="L58" s="21">
        <v>4</v>
      </c>
      <c r="M58" s="30" t="str">
        <f t="shared" si="0"/>
        <v>✘ Pending</v>
      </c>
      <c r="N58" s="30">
        <f t="shared" si="1"/>
        <v>0</v>
      </c>
      <c r="O58" s="31"/>
      <c r="P58" s="32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1"/>
      <c r="AC58" s="32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1"/>
      <c r="AP58" s="32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1"/>
      <c r="BC58" s="32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1"/>
      <c r="BP58" s="32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1"/>
      <c r="CC58" s="32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1"/>
      <c r="CP58" s="32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1"/>
      <c r="DC58" s="32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1"/>
      <c r="DP58" s="32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1"/>
      <c r="EC58" s="32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1"/>
      <c r="EP58" s="32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1"/>
      <c r="FC58" s="32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4">
        <f t="shared" ref="FO58:FV58" si="56">IFERROR(R58*1,0)+IFERROR(AE58*1,0)+IFERROR(AR58*1,0)+IFERROR(BE58*1,0)+IFERROR(BR58*1,0)+IFERROR(CE58*1,0)+IFERROR(CR58*1,0)+IFERROR(DE58*1,0)+IFERROR(DR58*1,0)+IFERROR(EE58*1,0)+IFERROR(ER58*1,0)+IFERROR(FE58*1,0)</f>
        <v>0</v>
      </c>
      <c r="FP58" s="34">
        <f t="shared" si="56"/>
        <v>0</v>
      </c>
      <c r="FQ58" s="34">
        <f t="shared" si="56"/>
        <v>0</v>
      </c>
      <c r="FR58" s="34">
        <f t="shared" si="56"/>
        <v>0</v>
      </c>
      <c r="FS58" s="34">
        <f t="shared" si="56"/>
        <v>0</v>
      </c>
      <c r="FT58" s="34">
        <f t="shared" si="56"/>
        <v>0</v>
      </c>
      <c r="FU58" s="34">
        <f t="shared" si="56"/>
        <v>0</v>
      </c>
      <c r="FV58" s="34">
        <f t="shared" si="56"/>
        <v>0</v>
      </c>
      <c r="FW58" s="28"/>
      <c r="FX58" s="29">
        <f t="shared" si="3"/>
        <v>0</v>
      </c>
    </row>
    <row r="59" spans="1:180" s="98" customFormat="1" ht="18" customHeight="1" x14ac:dyDescent="0.25">
      <c r="A59" s="87" t="str">
        <f>IF(C59&lt;&gt;"","DRG-"&amp;TEXT(55,"000"),"")</f>
        <v>DRG-055</v>
      </c>
      <c r="B59" s="88" t="s">
        <v>113</v>
      </c>
      <c r="C59" s="89" t="s">
        <v>118</v>
      </c>
      <c r="D59" s="89" t="s">
        <v>56</v>
      </c>
      <c r="E59" s="89" t="s">
        <v>116</v>
      </c>
      <c r="F59" s="89" t="s">
        <v>58</v>
      </c>
      <c r="G59" s="90"/>
      <c r="H59" s="90"/>
      <c r="I59" s="90"/>
      <c r="J59" s="90"/>
      <c r="K59" s="90"/>
      <c r="L59" s="90">
        <v>4</v>
      </c>
      <c r="M59" s="91" t="str">
        <f t="shared" si="0"/>
        <v>✘ Pending</v>
      </c>
      <c r="N59" s="91">
        <f t="shared" si="1"/>
        <v>0</v>
      </c>
      <c r="O59" s="92"/>
      <c r="P59" s="93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2"/>
      <c r="AC59" s="93"/>
      <c r="AD59" s="94"/>
      <c r="AE59" s="94"/>
      <c r="AF59" s="94"/>
      <c r="AG59" s="94"/>
      <c r="AH59" s="94"/>
      <c r="AI59" s="94"/>
      <c r="AJ59" s="94"/>
      <c r="AK59" s="94"/>
      <c r="AL59" s="94"/>
      <c r="AM59" s="94"/>
      <c r="AN59" s="94"/>
      <c r="AO59" s="92"/>
      <c r="AP59" s="93"/>
      <c r="AQ59" s="94"/>
      <c r="AR59" s="94"/>
      <c r="AS59" s="94"/>
      <c r="AT59" s="94"/>
      <c r="AU59" s="94"/>
      <c r="AV59" s="94"/>
      <c r="AW59" s="94"/>
      <c r="AX59" s="94"/>
      <c r="AY59" s="94"/>
      <c r="AZ59" s="94"/>
      <c r="BA59" s="94"/>
      <c r="BB59" s="92"/>
      <c r="BC59" s="93"/>
      <c r="BD59" s="94"/>
      <c r="BE59" s="94"/>
      <c r="BF59" s="94"/>
      <c r="BG59" s="94"/>
      <c r="BH59" s="94"/>
      <c r="BI59" s="94"/>
      <c r="BJ59" s="94"/>
      <c r="BK59" s="94"/>
      <c r="BL59" s="94"/>
      <c r="BM59" s="94"/>
      <c r="BN59" s="94"/>
      <c r="BO59" s="92"/>
      <c r="BP59" s="93"/>
      <c r="BQ59" s="94"/>
      <c r="BR59" s="94"/>
      <c r="BS59" s="94"/>
      <c r="BT59" s="94"/>
      <c r="BU59" s="94"/>
      <c r="BV59" s="94"/>
      <c r="BW59" s="94"/>
      <c r="BX59" s="94"/>
      <c r="BY59" s="94"/>
      <c r="BZ59" s="94"/>
      <c r="CA59" s="94"/>
      <c r="CB59" s="92"/>
      <c r="CC59" s="93"/>
      <c r="CD59" s="94"/>
      <c r="CE59" s="94"/>
      <c r="CF59" s="94"/>
      <c r="CG59" s="94"/>
      <c r="CH59" s="94"/>
      <c r="CI59" s="94"/>
      <c r="CJ59" s="94"/>
      <c r="CK59" s="94"/>
      <c r="CL59" s="94"/>
      <c r="CM59" s="94"/>
      <c r="CN59" s="94"/>
      <c r="CO59" s="92"/>
      <c r="CP59" s="93"/>
      <c r="CQ59" s="94"/>
      <c r="CR59" s="94"/>
      <c r="CS59" s="94"/>
      <c r="CT59" s="94"/>
      <c r="CU59" s="94"/>
      <c r="CV59" s="94"/>
      <c r="CW59" s="94"/>
      <c r="CX59" s="94"/>
      <c r="CY59" s="94"/>
      <c r="CZ59" s="94"/>
      <c r="DA59" s="94"/>
      <c r="DB59" s="92"/>
      <c r="DC59" s="93"/>
      <c r="DD59" s="94"/>
      <c r="DE59" s="94"/>
      <c r="DF59" s="94"/>
      <c r="DG59" s="94"/>
      <c r="DH59" s="94"/>
      <c r="DI59" s="94"/>
      <c r="DJ59" s="94"/>
      <c r="DK59" s="94"/>
      <c r="DL59" s="94"/>
      <c r="DM59" s="94"/>
      <c r="DN59" s="94"/>
      <c r="DO59" s="92"/>
      <c r="DP59" s="93"/>
      <c r="DQ59" s="94"/>
      <c r="DR59" s="94"/>
      <c r="DS59" s="94"/>
      <c r="DT59" s="94"/>
      <c r="DU59" s="94"/>
      <c r="DV59" s="94"/>
      <c r="DW59" s="94"/>
      <c r="DX59" s="94"/>
      <c r="DY59" s="94"/>
      <c r="DZ59" s="94"/>
      <c r="EA59" s="94"/>
      <c r="EB59" s="92"/>
      <c r="EC59" s="93"/>
      <c r="ED59" s="94"/>
      <c r="EE59" s="94"/>
      <c r="EF59" s="94"/>
      <c r="EG59" s="94"/>
      <c r="EH59" s="94"/>
      <c r="EI59" s="94"/>
      <c r="EJ59" s="94"/>
      <c r="EK59" s="94"/>
      <c r="EL59" s="94"/>
      <c r="EM59" s="94"/>
      <c r="EN59" s="94"/>
      <c r="EO59" s="92"/>
      <c r="EP59" s="93"/>
      <c r="EQ59" s="94"/>
      <c r="ER59" s="94"/>
      <c r="ES59" s="94"/>
      <c r="ET59" s="94"/>
      <c r="EU59" s="94"/>
      <c r="EV59" s="94"/>
      <c r="EW59" s="94"/>
      <c r="EX59" s="94"/>
      <c r="EY59" s="94"/>
      <c r="EZ59" s="94"/>
      <c r="FA59" s="94"/>
      <c r="FB59" s="92"/>
      <c r="FC59" s="93"/>
      <c r="FD59" s="94"/>
      <c r="FE59" s="94"/>
      <c r="FF59" s="94"/>
      <c r="FG59" s="94"/>
      <c r="FH59" s="94"/>
      <c r="FI59" s="94"/>
      <c r="FJ59" s="94"/>
      <c r="FK59" s="94"/>
      <c r="FL59" s="94"/>
      <c r="FM59" s="94"/>
      <c r="FN59" s="94"/>
      <c r="FO59" s="95">
        <f t="shared" ref="FO59:FV59" si="57">IFERROR(R59*1,0)+IFERROR(AE59*1,0)+IFERROR(AR59*1,0)+IFERROR(BE59*1,0)+IFERROR(BR59*1,0)+IFERROR(CE59*1,0)+IFERROR(CR59*1,0)+IFERROR(DE59*1,0)+IFERROR(DR59*1,0)+IFERROR(EE59*1,0)+IFERROR(ER59*1,0)+IFERROR(FE59*1,0)</f>
        <v>0</v>
      </c>
      <c r="FP59" s="95">
        <f t="shared" si="57"/>
        <v>0</v>
      </c>
      <c r="FQ59" s="95">
        <f t="shared" si="57"/>
        <v>0</v>
      </c>
      <c r="FR59" s="95">
        <f t="shared" si="57"/>
        <v>0</v>
      </c>
      <c r="FS59" s="95">
        <f t="shared" si="57"/>
        <v>0</v>
      </c>
      <c r="FT59" s="95">
        <f t="shared" si="57"/>
        <v>0</v>
      </c>
      <c r="FU59" s="95">
        <f t="shared" si="57"/>
        <v>0</v>
      </c>
      <c r="FV59" s="95">
        <f t="shared" si="57"/>
        <v>0</v>
      </c>
      <c r="FW59" s="96"/>
      <c r="FX59" s="97">
        <f t="shared" si="3"/>
        <v>0</v>
      </c>
    </row>
    <row r="60" spans="1:180" ht="18" customHeight="1" x14ac:dyDescent="0.25">
      <c r="A60" s="3" t="str">
        <f>IF(C60&lt;&gt;"","DRG-"&amp;TEXT(56,"000"),"")</f>
        <v>DRG-056</v>
      </c>
      <c r="B60" s="35" t="s">
        <v>113</v>
      </c>
      <c r="C60" s="20" t="s">
        <v>118</v>
      </c>
      <c r="D60" s="20" t="s">
        <v>56</v>
      </c>
      <c r="E60" s="20" t="s">
        <v>92</v>
      </c>
      <c r="F60" s="20" t="s">
        <v>69</v>
      </c>
      <c r="G60" s="21"/>
      <c r="H60" s="21"/>
      <c r="I60" s="21"/>
      <c r="J60" s="21"/>
      <c r="K60" s="21"/>
      <c r="L60" s="21">
        <v>4</v>
      </c>
      <c r="M60" s="30" t="str">
        <f t="shared" si="0"/>
        <v>✘ Pending</v>
      </c>
      <c r="N60" s="30">
        <f t="shared" si="1"/>
        <v>0</v>
      </c>
      <c r="O60" s="31"/>
      <c r="P60" s="32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1"/>
      <c r="AC60" s="32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1"/>
      <c r="AP60" s="32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1"/>
      <c r="BC60" s="32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1"/>
      <c r="BP60" s="32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1"/>
      <c r="CC60" s="32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1"/>
      <c r="CP60" s="32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1"/>
      <c r="DC60" s="32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1"/>
      <c r="DP60" s="32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1"/>
      <c r="EC60" s="32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1"/>
      <c r="EP60" s="32"/>
      <c r="EQ60" s="33"/>
      <c r="ER60" s="33"/>
      <c r="ES60" s="33"/>
      <c r="ET60" s="33"/>
      <c r="EU60" s="33"/>
      <c r="EV60" s="33"/>
      <c r="EW60" s="33"/>
      <c r="EX60" s="33"/>
      <c r="EY60" s="33"/>
      <c r="EZ60" s="33"/>
      <c r="FA60" s="33"/>
      <c r="FB60" s="31"/>
      <c r="FC60" s="32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4">
        <f t="shared" ref="FO60:FV60" si="58">IFERROR(R60*1,0)+IFERROR(AE60*1,0)+IFERROR(AR60*1,0)+IFERROR(BE60*1,0)+IFERROR(BR60*1,0)+IFERROR(CE60*1,0)+IFERROR(CR60*1,0)+IFERROR(DE60*1,0)+IFERROR(DR60*1,0)+IFERROR(EE60*1,0)+IFERROR(ER60*1,0)+IFERROR(FE60*1,0)</f>
        <v>0</v>
      </c>
      <c r="FP60" s="34">
        <f t="shared" si="58"/>
        <v>0</v>
      </c>
      <c r="FQ60" s="34">
        <f t="shared" si="58"/>
        <v>0</v>
      </c>
      <c r="FR60" s="34">
        <f t="shared" si="58"/>
        <v>0</v>
      </c>
      <c r="FS60" s="34">
        <f t="shared" si="58"/>
        <v>0</v>
      </c>
      <c r="FT60" s="34">
        <f t="shared" si="58"/>
        <v>0</v>
      </c>
      <c r="FU60" s="34">
        <f t="shared" si="58"/>
        <v>0</v>
      </c>
      <c r="FV60" s="34">
        <f t="shared" si="58"/>
        <v>0</v>
      </c>
      <c r="FW60" s="28"/>
      <c r="FX60" s="29">
        <f t="shared" si="3"/>
        <v>0</v>
      </c>
    </row>
    <row r="61" spans="1:180" ht="18" customHeight="1" x14ac:dyDescent="0.25">
      <c r="A61" s="3" t="str">
        <f>IF(C61&lt;&gt;"","DRG-"&amp;TEXT(57,"000"),"")</f>
        <v>DRG-057</v>
      </c>
      <c r="B61" s="35" t="s">
        <v>113</v>
      </c>
      <c r="C61" s="20" t="s">
        <v>118</v>
      </c>
      <c r="D61" s="20" t="s">
        <v>56</v>
      </c>
      <c r="E61" s="20" t="s">
        <v>80</v>
      </c>
      <c r="F61" s="20" t="s">
        <v>58</v>
      </c>
      <c r="G61" s="21"/>
      <c r="H61" s="21"/>
      <c r="I61" s="21"/>
      <c r="J61" s="21"/>
      <c r="K61" s="21"/>
      <c r="L61" s="21">
        <v>4</v>
      </c>
      <c r="M61" s="23" t="str">
        <f t="shared" si="0"/>
        <v>✘ Pending</v>
      </c>
      <c r="N61" s="23">
        <f t="shared" si="1"/>
        <v>0</v>
      </c>
      <c r="O61" s="25"/>
      <c r="P61" s="26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5"/>
      <c r="AC61" s="26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5"/>
      <c r="AP61" s="26"/>
      <c r="AQ61" s="24"/>
      <c r="AR61" s="24"/>
      <c r="AS61" s="24"/>
      <c r="AT61" s="24"/>
      <c r="AU61" s="24"/>
      <c r="AV61" s="24"/>
      <c r="AW61" s="24"/>
      <c r="AX61" s="24"/>
      <c r="AY61" s="24"/>
      <c r="AZ61" s="24"/>
      <c r="BA61" s="24"/>
      <c r="BB61" s="25"/>
      <c r="BC61" s="26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5"/>
      <c r="BP61" s="26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5"/>
      <c r="CC61" s="26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5"/>
      <c r="CP61" s="26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5"/>
      <c r="DC61" s="26"/>
      <c r="DD61" s="24"/>
      <c r="DE61" s="24"/>
      <c r="DF61" s="24"/>
      <c r="DG61" s="24"/>
      <c r="DH61" s="24"/>
      <c r="DI61" s="24"/>
      <c r="DJ61" s="24"/>
      <c r="DK61" s="24"/>
      <c r="DL61" s="24"/>
      <c r="DM61" s="24"/>
      <c r="DN61" s="24"/>
      <c r="DO61" s="25"/>
      <c r="DP61" s="26"/>
      <c r="DQ61" s="24"/>
      <c r="DR61" s="24"/>
      <c r="DS61" s="24"/>
      <c r="DT61" s="24"/>
      <c r="DU61" s="24"/>
      <c r="DV61" s="24"/>
      <c r="DW61" s="24"/>
      <c r="DX61" s="24"/>
      <c r="DY61" s="24"/>
      <c r="DZ61" s="24"/>
      <c r="EA61" s="24"/>
      <c r="EB61" s="25"/>
      <c r="EC61" s="26"/>
      <c r="ED61" s="24"/>
      <c r="EE61" s="24"/>
      <c r="EF61" s="24"/>
      <c r="EG61" s="24"/>
      <c r="EH61" s="24"/>
      <c r="EI61" s="24"/>
      <c r="EJ61" s="24"/>
      <c r="EK61" s="24"/>
      <c r="EL61" s="24"/>
      <c r="EM61" s="24"/>
      <c r="EN61" s="24"/>
      <c r="EO61" s="25"/>
      <c r="EP61" s="26"/>
      <c r="EQ61" s="24"/>
      <c r="ER61" s="24"/>
      <c r="ES61" s="24"/>
      <c r="ET61" s="24"/>
      <c r="EU61" s="24"/>
      <c r="EV61" s="24"/>
      <c r="EW61" s="24"/>
      <c r="EX61" s="24"/>
      <c r="EY61" s="24"/>
      <c r="EZ61" s="24"/>
      <c r="FA61" s="24"/>
      <c r="FB61" s="25"/>
      <c r="FC61" s="26"/>
      <c r="FD61" s="24"/>
      <c r="FE61" s="24"/>
      <c r="FF61" s="24"/>
      <c r="FG61" s="24"/>
      <c r="FH61" s="24"/>
      <c r="FI61" s="24"/>
      <c r="FJ61" s="24"/>
      <c r="FK61" s="24"/>
      <c r="FL61" s="24"/>
      <c r="FM61" s="24"/>
      <c r="FN61" s="24"/>
      <c r="FO61" s="27">
        <f t="shared" ref="FO61:FV61" si="59">IFERROR(R61*1,0)+IFERROR(AE61*1,0)+IFERROR(AR61*1,0)+IFERROR(BE61*1,0)+IFERROR(BR61*1,0)+IFERROR(CE61*1,0)+IFERROR(CR61*1,0)+IFERROR(DE61*1,0)+IFERROR(DR61*1,0)+IFERROR(EE61*1,0)+IFERROR(ER61*1,0)+IFERROR(FE61*1,0)</f>
        <v>0</v>
      </c>
      <c r="FP61" s="27">
        <f t="shared" si="59"/>
        <v>0</v>
      </c>
      <c r="FQ61" s="27">
        <f t="shared" si="59"/>
        <v>0</v>
      </c>
      <c r="FR61" s="27">
        <f t="shared" si="59"/>
        <v>0</v>
      </c>
      <c r="FS61" s="27">
        <f t="shared" si="59"/>
        <v>0</v>
      </c>
      <c r="FT61" s="27">
        <f t="shared" si="59"/>
        <v>0</v>
      </c>
      <c r="FU61" s="27">
        <f t="shared" si="59"/>
        <v>0</v>
      </c>
      <c r="FV61" s="27">
        <f t="shared" si="59"/>
        <v>0</v>
      </c>
      <c r="FW61" s="28"/>
      <c r="FX61" s="29">
        <f t="shared" si="3"/>
        <v>0</v>
      </c>
    </row>
    <row r="62" spans="1:180" ht="18" customHeight="1" x14ac:dyDescent="0.25">
      <c r="A62" s="3" t="str">
        <f>IF(C62&lt;&gt;"","DRG-"&amp;TEXT(58,"000"),"")</f>
        <v>DRG-058</v>
      </c>
      <c r="B62" s="35" t="s">
        <v>113</v>
      </c>
      <c r="C62" s="20" t="s">
        <v>118</v>
      </c>
      <c r="D62" s="20" t="s">
        <v>56</v>
      </c>
      <c r="E62" s="20" t="s">
        <v>87</v>
      </c>
      <c r="F62" s="20" t="s">
        <v>69</v>
      </c>
      <c r="G62" s="21"/>
      <c r="H62" s="21"/>
      <c r="I62" s="21"/>
      <c r="J62" s="21"/>
      <c r="K62" s="21"/>
      <c r="L62" s="21">
        <v>4</v>
      </c>
      <c r="M62" s="30" t="str">
        <f t="shared" si="0"/>
        <v>✘ Pending</v>
      </c>
      <c r="N62" s="30">
        <f t="shared" si="1"/>
        <v>0</v>
      </c>
      <c r="O62" s="31"/>
      <c r="P62" s="32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1"/>
      <c r="AC62" s="32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1"/>
      <c r="AP62" s="32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1"/>
      <c r="BC62" s="32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1"/>
      <c r="BP62" s="32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1"/>
      <c r="CC62" s="32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1"/>
      <c r="CP62" s="32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1"/>
      <c r="DC62" s="32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1"/>
      <c r="DP62" s="32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1"/>
      <c r="EC62" s="32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1"/>
      <c r="EP62" s="32"/>
      <c r="EQ62" s="33"/>
      <c r="ER62" s="33"/>
      <c r="ES62" s="33"/>
      <c r="ET62" s="33"/>
      <c r="EU62" s="33"/>
      <c r="EV62" s="33"/>
      <c r="EW62" s="33"/>
      <c r="EX62" s="33"/>
      <c r="EY62" s="33"/>
      <c r="EZ62" s="33"/>
      <c r="FA62" s="33"/>
      <c r="FB62" s="31"/>
      <c r="FC62" s="32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4">
        <f t="shared" ref="FO62:FV62" si="60">IFERROR(R62*1,0)+IFERROR(AE62*1,0)+IFERROR(AR62*1,0)+IFERROR(BE62*1,0)+IFERROR(BR62*1,0)+IFERROR(CE62*1,0)+IFERROR(CR62*1,0)+IFERROR(DE62*1,0)+IFERROR(DR62*1,0)+IFERROR(EE62*1,0)+IFERROR(ER62*1,0)+IFERROR(FE62*1,0)</f>
        <v>0</v>
      </c>
      <c r="FP62" s="34">
        <f t="shared" si="60"/>
        <v>0</v>
      </c>
      <c r="FQ62" s="34">
        <f t="shared" si="60"/>
        <v>0</v>
      </c>
      <c r="FR62" s="34">
        <f t="shared" si="60"/>
        <v>0</v>
      </c>
      <c r="FS62" s="34">
        <f t="shared" si="60"/>
        <v>0</v>
      </c>
      <c r="FT62" s="34">
        <f t="shared" si="60"/>
        <v>0</v>
      </c>
      <c r="FU62" s="34">
        <f t="shared" si="60"/>
        <v>0</v>
      </c>
      <c r="FV62" s="34">
        <f t="shared" si="60"/>
        <v>0</v>
      </c>
      <c r="FW62" s="28"/>
      <c r="FX62" s="29">
        <f t="shared" si="3"/>
        <v>0</v>
      </c>
    </row>
    <row r="63" spans="1:180" ht="18" customHeight="1" x14ac:dyDescent="0.25">
      <c r="A63" s="3" t="str">
        <f>IF(C63&lt;&gt;"","DRG-"&amp;TEXT(59,"000"),"")</f>
        <v>DRG-059</v>
      </c>
      <c r="B63" s="35" t="s">
        <v>113</v>
      </c>
      <c r="C63" s="20" t="s">
        <v>118</v>
      </c>
      <c r="D63" s="20" t="s">
        <v>56</v>
      </c>
      <c r="E63" s="20" t="s">
        <v>115</v>
      </c>
      <c r="F63" s="20" t="s">
        <v>69</v>
      </c>
      <c r="G63" s="21"/>
      <c r="H63" s="21"/>
      <c r="I63" s="21"/>
      <c r="J63" s="21"/>
      <c r="K63" s="21"/>
      <c r="L63" s="21">
        <v>4</v>
      </c>
      <c r="M63" s="23" t="str">
        <f t="shared" si="0"/>
        <v>✘ Pending</v>
      </c>
      <c r="N63" s="23">
        <f t="shared" si="1"/>
        <v>0</v>
      </c>
      <c r="O63" s="25"/>
      <c r="P63" s="26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5"/>
      <c r="AC63" s="26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5"/>
      <c r="AP63" s="26"/>
      <c r="AQ63" s="24"/>
      <c r="AR63" s="24"/>
      <c r="AS63" s="24"/>
      <c r="AT63" s="24"/>
      <c r="AU63" s="24"/>
      <c r="AV63" s="24"/>
      <c r="AW63" s="24"/>
      <c r="AX63" s="24"/>
      <c r="AY63" s="24"/>
      <c r="AZ63" s="24"/>
      <c r="BA63" s="24"/>
      <c r="BB63" s="25"/>
      <c r="BC63" s="26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5"/>
      <c r="BP63" s="26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5"/>
      <c r="CC63" s="26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5"/>
      <c r="CP63" s="26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5"/>
      <c r="DC63" s="26"/>
      <c r="DD63" s="24"/>
      <c r="DE63" s="24"/>
      <c r="DF63" s="24"/>
      <c r="DG63" s="24"/>
      <c r="DH63" s="24"/>
      <c r="DI63" s="24"/>
      <c r="DJ63" s="24"/>
      <c r="DK63" s="24"/>
      <c r="DL63" s="24"/>
      <c r="DM63" s="24"/>
      <c r="DN63" s="24"/>
      <c r="DO63" s="25"/>
      <c r="DP63" s="26"/>
      <c r="DQ63" s="24"/>
      <c r="DR63" s="24"/>
      <c r="DS63" s="24"/>
      <c r="DT63" s="24"/>
      <c r="DU63" s="24"/>
      <c r="DV63" s="24"/>
      <c r="DW63" s="24"/>
      <c r="DX63" s="24"/>
      <c r="DY63" s="24"/>
      <c r="DZ63" s="24"/>
      <c r="EA63" s="24"/>
      <c r="EB63" s="25"/>
      <c r="EC63" s="26"/>
      <c r="ED63" s="24"/>
      <c r="EE63" s="24"/>
      <c r="EF63" s="24"/>
      <c r="EG63" s="24"/>
      <c r="EH63" s="24"/>
      <c r="EI63" s="24"/>
      <c r="EJ63" s="24"/>
      <c r="EK63" s="24"/>
      <c r="EL63" s="24"/>
      <c r="EM63" s="24"/>
      <c r="EN63" s="24"/>
      <c r="EO63" s="25"/>
      <c r="EP63" s="26"/>
      <c r="EQ63" s="24"/>
      <c r="ER63" s="24"/>
      <c r="ES63" s="24"/>
      <c r="ET63" s="24"/>
      <c r="EU63" s="24"/>
      <c r="EV63" s="24"/>
      <c r="EW63" s="24"/>
      <c r="EX63" s="24"/>
      <c r="EY63" s="24"/>
      <c r="EZ63" s="24"/>
      <c r="FA63" s="24"/>
      <c r="FB63" s="25"/>
      <c r="FC63" s="26"/>
      <c r="FD63" s="24"/>
      <c r="FE63" s="24"/>
      <c r="FF63" s="24"/>
      <c r="FG63" s="24"/>
      <c r="FH63" s="24"/>
      <c r="FI63" s="24"/>
      <c r="FJ63" s="24"/>
      <c r="FK63" s="24"/>
      <c r="FL63" s="24"/>
      <c r="FM63" s="24"/>
      <c r="FN63" s="24"/>
      <c r="FO63" s="27">
        <f t="shared" ref="FO63:FV63" si="61">IFERROR(R63*1,0)+IFERROR(AE63*1,0)+IFERROR(AR63*1,0)+IFERROR(BE63*1,0)+IFERROR(BR63*1,0)+IFERROR(CE63*1,0)+IFERROR(CR63*1,0)+IFERROR(DE63*1,0)+IFERROR(DR63*1,0)+IFERROR(EE63*1,0)+IFERROR(ER63*1,0)+IFERROR(FE63*1,0)</f>
        <v>0</v>
      </c>
      <c r="FP63" s="27">
        <f t="shared" si="61"/>
        <v>0</v>
      </c>
      <c r="FQ63" s="27">
        <f t="shared" si="61"/>
        <v>0</v>
      </c>
      <c r="FR63" s="27">
        <f t="shared" si="61"/>
        <v>0</v>
      </c>
      <c r="FS63" s="27">
        <f t="shared" si="61"/>
        <v>0</v>
      </c>
      <c r="FT63" s="27">
        <f t="shared" si="61"/>
        <v>0</v>
      </c>
      <c r="FU63" s="27">
        <f t="shared" si="61"/>
        <v>0</v>
      </c>
      <c r="FV63" s="27">
        <f t="shared" si="61"/>
        <v>0</v>
      </c>
      <c r="FW63" s="28"/>
      <c r="FX63" s="29">
        <f t="shared" si="3"/>
        <v>0</v>
      </c>
    </row>
    <row r="64" spans="1:180" ht="18" customHeight="1" x14ac:dyDescent="0.25">
      <c r="A64" s="3" t="str">
        <f>IF(C64&lt;&gt;"","DRG-"&amp;TEXT(60,"000"),"")</f>
        <v>DRG-060</v>
      </c>
      <c r="B64" s="19" t="s">
        <v>119</v>
      </c>
      <c r="C64" s="20" t="s">
        <v>119</v>
      </c>
      <c r="D64" s="20" t="s">
        <v>56</v>
      </c>
      <c r="E64" s="20" t="s">
        <v>120</v>
      </c>
      <c r="F64" s="20" t="s">
        <v>69</v>
      </c>
      <c r="G64" s="21"/>
      <c r="H64" s="21"/>
      <c r="I64" s="21"/>
      <c r="J64" s="21"/>
      <c r="K64" s="21"/>
      <c r="L64" s="21">
        <v>4</v>
      </c>
      <c r="M64" s="30" t="str">
        <f t="shared" si="0"/>
        <v>✘ Pending</v>
      </c>
      <c r="N64" s="30">
        <f t="shared" si="1"/>
        <v>0</v>
      </c>
      <c r="O64" s="31"/>
      <c r="P64" s="32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1"/>
      <c r="AC64" s="32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1"/>
      <c r="AP64" s="32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1"/>
      <c r="BC64" s="32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1"/>
      <c r="BP64" s="32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1"/>
      <c r="CC64" s="32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1"/>
      <c r="CP64" s="32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1"/>
      <c r="DC64" s="32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1"/>
      <c r="DP64" s="32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1"/>
      <c r="EC64" s="32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1"/>
      <c r="EP64" s="32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1"/>
      <c r="FC64" s="32"/>
      <c r="FD64" s="33"/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4">
        <f t="shared" ref="FO64:FV64" si="62">IFERROR(R64*1,0)+IFERROR(AE64*1,0)+IFERROR(AR64*1,0)+IFERROR(BE64*1,0)+IFERROR(BR64*1,0)+IFERROR(CE64*1,0)+IFERROR(CR64*1,0)+IFERROR(DE64*1,0)+IFERROR(DR64*1,0)+IFERROR(EE64*1,0)+IFERROR(ER64*1,0)+IFERROR(FE64*1,0)</f>
        <v>0</v>
      </c>
      <c r="FP64" s="34">
        <f t="shared" si="62"/>
        <v>0</v>
      </c>
      <c r="FQ64" s="34">
        <f t="shared" si="62"/>
        <v>0</v>
      </c>
      <c r="FR64" s="34">
        <f t="shared" si="62"/>
        <v>0</v>
      </c>
      <c r="FS64" s="34">
        <f t="shared" si="62"/>
        <v>0</v>
      </c>
      <c r="FT64" s="34">
        <f t="shared" si="62"/>
        <v>0</v>
      </c>
      <c r="FU64" s="34">
        <f t="shared" si="62"/>
        <v>0</v>
      </c>
      <c r="FV64" s="34">
        <f t="shared" si="62"/>
        <v>0</v>
      </c>
      <c r="FW64" s="28"/>
      <c r="FX64" s="29">
        <f t="shared" si="3"/>
        <v>0</v>
      </c>
    </row>
    <row r="65" spans="1:180" ht="18" customHeight="1" x14ac:dyDescent="0.25">
      <c r="A65" s="3" t="str">
        <f>IF(C65&lt;&gt;"","DRG-"&amp;TEXT(61,"000"),"")</f>
        <v>DRG-061</v>
      </c>
      <c r="B65" s="19" t="s">
        <v>119</v>
      </c>
      <c r="C65" s="20" t="s">
        <v>119</v>
      </c>
      <c r="D65" s="20" t="s">
        <v>56</v>
      </c>
      <c r="E65" s="20" t="s">
        <v>121</v>
      </c>
      <c r="F65" s="20" t="s">
        <v>58</v>
      </c>
      <c r="G65" s="21"/>
      <c r="H65" s="21"/>
      <c r="I65" s="21"/>
      <c r="J65" s="21"/>
      <c r="K65" s="21"/>
      <c r="L65" s="21">
        <v>4</v>
      </c>
      <c r="M65" s="23" t="str">
        <f t="shared" si="0"/>
        <v>✘ Pending</v>
      </c>
      <c r="N65" s="23">
        <f t="shared" si="1"/>
        <v>0</v>
      </c>
      <c r="O65" s="25"/>
      <c r="P65" s="26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5"/>
      <c r="AC65" s="26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5"/>
      <c r="AP65" s="26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5"/>
      <c r="BC65" s="26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5"/>
      <c r="BP65" s="26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5"/>
      <c r="CC65" s="26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5"/>
      <c r="CP65" s="26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5"/>
      <c r="DC65" s="26"/>
      <c r="DD65" s="24"/>
      <c r="DE65" s="24"/>
      <c r="DF65" s="24"/>
      <c r="DG65" s="24"/>
      <c r="DH65" s="24"/>
      <c r="DI65" s="24"/>
      <c r="DJ65" s="24"/>
      <c r="DK65" s="24"/>
      <c r="DL65" s="24"/>
      <c r="DM65" s="24"/>
      <c r="DN65" s="24"/>
      <c r="DO65" s="25"/>
      <c r="DP65" s="26"/>
      <c r="DQ65" s="24"/>
      <c r="DR65" s="24"/>
      <c r="DS65" s="24"/>
      <c r="DT65" s="24"/>
      <c r="DU65" s="24"/>
      <c r="DV65" s="24"/>
      <c r="DW65" s="24"/>
      <c r="DX65" s="24"/>
      <c r="DY65" s="24"/>
      <c r="DZ65" s="24"/>
      <c r="EA65" s="24"/>
      <c r="EB65" s="25"/>
      <c r="EC65" s="26"/>
      <c r="ED65" s="24"/>
      <c r="EE65" s="24"/>
      <c r="EF65" s="24"/>
      <c r="EG65" s="24"/>
      <c r="EH65" s="24"/>
      <c r="EI65" s="24"/>
      <c r="EJ65" s="24"/>
      <c r="EK65" s="24"/>
      <c r="EL65" s="24"/>
      <c r="EM65" s="24"/>
      <c r="EN65" s="24"/>
      <c r="EO65" s="25"/>
      <c r="EP65" s="26"/>
      <c r="EQ65" s="24"/>
      <c r="ER65" s="24"/>
      <c r="ES65" s="24"/>
      <c r="ET65" s="24"/>
      <c r="EU65" s="24"/>
      <c r="EV65" s="24"/>
      <c r="EW65" s="24"/>
      <c r="EX65" s="24"/>
      <c r="EY65" s="24"/>
      <c r="EZ65" s="24"/>
      <c r="FA65" s="24"/>
      <c r="FB65" s="25"/>
      <c r="FC65" s="26"/>
      <c r="FD65" s="24"/>
      <c r="FE65" s="24"/>
      <c r="FF65" s="24"/>
      <c r="FG65" s="24"/>
      <c r="FH65" s="24"/>
      <c r="FI65" s="24"/>
      <c r="FJ65" s="24"/>
      <c r="FK65" s="24"/>
      <c r="FL65" s="24"/>
      <c r="FM65" s="24"/>
      <c r="FN65" s="24"/>
      <c r="FO65" s="27">
        <f t="shared" ref="FO65:FV65" si="63">IFERROR(R65*1,0)+IFERROR(AE65*1,0)+IFERROR(AR65*1,0)+IFERROR(BE65*1,0)+IFERROR(BR65*1,0)+IFERROR(CE65*1,0)+IFERROR(CR65*1,0)+IFERROR(DE65*1,0)+IFERROR(DR65*1,0)+IFERROR(EE65*1,0)+IFERROR(ER65*1,0)+IFERROR(FE65*1,0)</f>
        <v>0</v>
      </c>
      <c r="FP65" s="27">
        <f t="shared" si="63"/>
        <v>0</v>
      </c>
      <c r="FQ65" s="27">
        <f t="shared" si="63"/>
        <v>0</v>
      </c>
      <c r="FR65" s="27">
        <f t="shared" si="63"/>
        <v>0</v>
      </c>
      <c r="FS65" s="27">
        <f t="shared" si="63"/>
        <v>0</v>
      </c>
      <c r="FT65" s="27">
        <f t="shared" si="63"/>
        <v>0</v>
      </c>
      <c r="FU65" s="27">
        <f t="shared" si="63"/>
        <v>0</v>
      </c>
      <c r="FV65" s="27">
        <f t="shared" si="63"/>
        <v>0</v>
      </c>
      <c r="FW65" s="28"/>
      <c r="FX65" s="29">
        <f t="shared" si="3"/>
        <v>0</v>
      </c>
    </row>
    <row r="66" spans="1:180" ht="18" customHeight="1" x14ac:dyDescent="0.25">
      <c r="A66" s="3" t="str">
        <f>IF(C66&lt;&gt;"","DRG-"&amp;TEXT(62,"000"),"")</f>
        <v>DRG-062</v>
      </c>
      <c r="B66" s="19" t="s">
        <v>122</v>
      </c>
      <c r="C66" s="20" t="s">
        <v>122</v>
      </c>
      <c r="D66" s="20" t="s">
        <v>56</v>
      </c>
      <c r="E66" s="20" t="s">
        <v>123</v>
      </c>
      <c r="F66" s="20" t="s">
        <v>69</v>
      </c>
      <c r="G66" s="21"/>
      <c r="H66" s="21"/>
      <c r="I66" s="21"/>
      <c r="J66" s="21"/>
      <c r="K66" s="21"/>
      <c r="L66" s="21">
        <v>4</v>
      </c>
      <c r="M66" s="30" t="str">
        <f t="shared" si="0"/>
        <v>✘ Pending</v>
      </c>
      <c r="N66" s="30">
        <f t="shared" si="1"/>
        <v>0</v>
      </c>
      <c r="O66" s="31"/>
      <c r="P66" s="32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1"/>
      <c r="AC66" s="32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1"/>
      <c r="AP66" s="32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1"/>
      <c r="BC66" s="32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1"/>
      <c r="BP66" s="32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1"/>
      <c r="CC66" s="32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1"/>
      <c r="CP66" s="32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1"/>
      <c r="DC66" s="32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1"/>
      <c r="DP66" s="32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1"/>
      <c r="EC66" s="32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1"/>
      <c r="EP66" s="32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1"/>
      <c r="FC66" s="32"/>
      <c r="FD66" s="33"/>
      <c r="FE66" s="33"/>
      <c r="FF66" s="33"/>
      <c r="FG66" s="33"/>
      <c r="FH66" s="33"/>
      <c r="FI66" s="33"/>
      <c r="FJ66" s="33"/>
      <c r="FK66" s="33"/>
      <c r="FL66" s="33"/>
      <c r="FM66" s="33"/>
      <c r="FN66" s="33"/>
      <c r="FO66" s="34">
        <f t="shared" ref="FO66:FV66" si="64">IFERROR(R66*1,0)+IFERROR(AE66*1,0)+IFERROR(AR66*1,0)+IFERROR(BE66*1,0)+IFERROR(BR66*1,0)+IFERROR(CE66*1,0)+IFERROR(CR66*1,0)+IFERROR(DE66*1,0)+IFERROR(DR66*1,0)+IFERROR(EE66*1,0)+IFERROR(ER66*1,0)+IFERROR(FE66*1,0)</f>
        <v>0</v>
      </c>
      <c r="FP66" s="34">
        <f t="shared" si="64"/>
        <v>0</v>
      </c>
      <c r="FQ66" s="34">
        <f t="shared" si="64"/>
        <v>0</v>
      </c>
      <c r="FR66" s="34">
        <f t="shared" si="64"/>
        <v>0</v>
      </c>
      <c r="FS66" s="34">
        <f t="shared" si="64"/>
        <v>0</v>
      </c>
      <c r="FT66" s="34">
        <f t="shared" si="64"/>
        <v>0</v>
      </c>
      <c r="FU66" s="34">
        <f t="shared" si="64"/>
        <v>0</v>
      </c>
      <c r="FV66" s="34">
        <f t="shared" si="64"/>
        <v>0</v>
      </c>
      <c r="FW66" s="28"/>
      <c r="FX66" s="29">
        <f t="shared" si="3"/>
        <v>0</v>
      </c>
    </row>
    <row r="67" spans="1:180" ht="18" customHeight="1" x14ac:dyDescent="0.25">
      <c r="A67" s="3" t="str">
        <f>IF(C67&lt;&gt;"","DRG-"&amp;TEXT(63,"000"),"")</f>
        <v>DRG-063</v>
      </c>
      <c r="B67" s="19" t="s">
        <v>122</v>
      </c>
      <c r="C67" s="20" t="s">
        <v>122</v>
      </c>
      <c r="D67" s="20" t="s">
        <v>56</v>
      </c>
      <c r="E67" s="20" t="s">
        <v>124</v>
      </c>
      <c r="F67" s="20" t="s">
        <v>69</v>
      </c>
      <c r="G67" s="21"/>
      <c r="H67" s="21"/>
      <c r="I67" s="21"/>
      <c r="J67" s="21"/>
      <c r="K67" s="21"/>
      <c r="L67" s="21">
        <v>4</v>
      </c>
      <c r="M67" s="23" t="str">
        <f t="shared" si="0"/>
        <v>✘ Pending</v>
      </c>
      <c r="N67" s="23">
        <f t="shared" si="1"/>
        <v>0</v>
      </c>
      <c r="O67" s="25"/>
      <c r="P67" s="26"/>
      <c r="Q67" s="24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5"/>
      <c r="AC67" s="26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5"/>
      <c r="AP67" s="26"/>
      <c r="AQ67" s="24"/>
      <c r="AR67" s="24"/>
      <c r="AS67" s="24"/>
      <c r="AT67" s="24"/>
      <c r="AU67" s="24"/>
      <c r="AV67" s="24"/>
      <c r="AW67" s="24"/>
      <c r="AX67" s="24"/>
      <c r="AY67" s="24"/>
      <c r="AZ67" s="24"/>
      <c r="BA67" s="24"/>
      <c r="BB67" s="25"/>
      <c r="BC67" s="26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5"/>
      <c r="BP67" s="26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5"/>
      <c r="CC67" s="26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5"/>
      <c r="CP67" s="26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5"/>
      <c r="DC67" s="26"/>
      <c r="DD67" s="24"/>
      <c r="DE67" s="24"/>
      <c r="DF67" s="24"/>
      <c r="DG67" s="24"/>
      <c r="DH67" s="24"/>
      <c r="DI67" s="24"/>
      <c r="DJ67" s="24"/>
      <c r="DK67" s="24"/>
      <c r="DL67" s="24"/>
      <c r="DM67" s="24"/>
      <c r="DN67" s="24"/>
      <c r="DO67" s="25"/>
      <c r="DP67" s="26"/>
      <c r="DQ67" s="24"/>
      <c r="DR67" s="24"/>
      <c r="DS67" s="24"/>
      <c r="DT67" s="24"/>
      <c r="DU67" s="24"/>
      <c r="DV67" s="24"/>
      <c r="DW67" s="24"/>
      <c r="DX67" s="24"/>
      <c r="DY67" s="24"/>
      <c r="DZ67" s="24"/>
      <c r="EA67" s="24"/>
      <c r="EB67" s="25"/>
      <c r="EC67" s="26"/>
      <c r="ED67" s="24"/>
      <c r="EE67" s="24"/>
      <c r="EF67" s="24"/>
      <c r="EG67" s="24"/>
      <c r="EH67" s="24"/>
      <c r="EI67" s="24"/>
      <c r="EJ67" s="24"/>
      <c r="EK67" s="24"/>
      <c r="EL67" s="24"/>
      <c r="EM67" s="24"/>
      <c r="EN67" s="24"/>
      <c r="EO67" s="25"/>
      <c r="EP67" s="26"/>
      <c r="EQ67" s="24"/>
      <c r="ER67" s="24"/>
      <c r="ES67" s="24"/>
      <c r="ET67" s="24"/>
      <c r="EU67" s="24"/>
      <c r="EV67" s="24"/>
      <c r="EW67" s="24"/>
      <c r="EX67" s="24"/>
      <c r="EY67" s="24"/>
      <c r="EZ67" s="24"/>
      <c r="FA67" s="24"/>
      <c r="FB67" s="25"/>
      <c r="FC67" s="26"/>
      <c r="FD67" s="24"/>
      <c r="FE67" s="24"/>
      <c r="FF67" s="24"/>
      <c r="FG67" s="24"/>
      <c r="FH67" s="24"/>
      <c r="FI67" s="24"/>
      <c r="FJ67" s="24"/>
      <c r="FK67" s="24"/>
      <c r="FL67" s="24"/>
      <c r="FM67" s="24"/>
      <c r="FN67" s="24"/>
      <c r="FO67" s="27">
        <f t="shared" ref="FO67:FV67" si="65">IFERROR(R67*1,0)+IFERROR(AE67*1,0)+IFERROR(AR67*1,0)+IFERROR(BE67*1,0)+IFERROR(BR67*1,0)+IFERROR(CE67*1,0)+IFERROR(CR67*1,0)+IFERROR(DE67*1,0)+IFERROR(DR67*1,0)+IFERROR(EE67*1,0)+IFERROR(ER67*1,0)+IFERROR(FE67*1,0)</f>
        <v>0</v>
      </c>
      <c r="FP67" s="27">
        <f t="shared" si="65"/>
        <v>0</v>
      </c>
      <c r="FQ67" s="27">
        <f t="shared" si="65"/>
        <v>0</v>
      </c>
      <c r="FR67" s="27">
        <f t="shared" si="65"/>
        <v>0</v>
      </c>
      <c r="FS67" s="27">
        <f t="shared" si="65"/>
        <v>0</v>
      </c>
      <c r="FT67" s="27">
        <f t="shared" si="65"/>
        <v>0</v>
      </c>
      <c r="FU67" s="27">
        <f t="shared" si="65"/>
        <v>0</v>
      </c>
      <c r="FV67" s="27">
        <f t="shared" si="65"/>
        <v>0</v>
      </c>
      <c r="FW67" s="28"/>
      <c r="FX67" s="29">
        <f t="shared" si="3"/>
        <v>0</v>
      </c>
    </row>
    <row r="68" spans="1:180" ht="18" customHeight="1" x14ac:dyDescent="0.25">
      <c r="A68" s="3" t="str">
        <f>IF(C68&lt;&gt;"","DRG-"&amp;TEXT(64,"000"),"")</f>
        <v>DRG-064</v>
      </c>
      <c r="B68" s="19" t="s">
        <v>122</v>
      </c>
      <c r="C68" s="20" t="s">
        <v>122</v>
      </c>
      <c r="D68" s="20" t="s">
        <v>56</v>
      </c>
      <c r="E68" s="20" t="s">
        <v>125</v>
      </c>
      <c r="F68" s="20" t="s">
        <v>58</v>
      </c>
      <c r="G68" s="21"/>
      <c r="H68" s="21"/>
      <c r="I68" s="21"/>
      <c r="J68" s="21"/>
      <c r="K68" s="21"/>
      <c r="L68" s="21">
        <v>4</v>
      </c>
      <c r="M68" s="30" t="str">
        <f t="shared" si="0"/>
        <v>✘ Pending</v>
      </c>
      <c r="N68" s="30">
        <f t="shared" si="1"/>
        <v>0</v>
      </c>
      <c r="O68" s="31"/>
      <c r="P68" s="32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1"/>
      <c r="AC68" s="32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1"/>
      <c r="AP68" s="32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1"/>
      <c r="BC68" s="32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1"/>
      <c r="BP68" s="32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1"/>
      <c r="CC68" s="32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1"/>
      <c r="CP68" s="32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1"/>
      <c r="DC68" s="32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1"/>
      <c r="DP68" s="32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1"/>
      <c r="EC68" s="32"/>
      <c r="ED68" s="33"/>
      <c r="EE68" s="33"/>
      <c r="EF68" s="33"/>
      <c r="EG68" s="33"/>
      <c r="EH68" s="33"/>
      <c r="EI68" s="33"/>
      <c r="EJ68" s="33"/>
      <c r="EK68" s="33"/>
      <c r="EL68" s="33"/>
      <c r="EM68" s="33"/>
      <c r="EN68" s="33"/>
      <c r="EO68" s="31"/>
      <c r="EP68" s="32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1"/>
      <c r="FC68" s="32"/>
      <c r="FD68" s="33"/>
      <c r="FE68" s="33"/>
      <c r="FF68" s="33"/>
      <c r="FG68" s="33"/>
      <c r="FH68" s="33"/>
      <c r="FI68" s="33"/>
      <c r="FJ68" s="33"/>
      <c r="FK68" s="33"/>
      <c r="FL68" s="33"/>
      <c r="FM68" s="33"/>
      <c r="FN68" s="33"/>
      <c r="FO68" s="34">
        <f t="shared" ref="FO68:FV68" si="66">IFERROR(R68*1,0)+IFERROR(AE68*1,0)+IFERROR(AR68*1,0)+IFERROR(BE68*1,0)+IFERROR(BR68*1,0)+IFERROR(CE68*1,0)+IFERROR(CR68*1,0)+IFERROR(DE68*1,0)+IFERROR(DR68*1,0)+IFERROR(EE68*1,0)+IFERROR(ER68*1,0)+IFERROR(FE68*1,0)</f>
        <v>0</v>
      </c>
      <c r="FP68" s="34">
        <f t="shared" si="66"/>
        <v>0</v>
      </c>
      <c r="FQ68" s="34">
        <f t="shared" si="66"/>
        <v>0</v>
      </c>
      <c r="FR68" s="34">
        <f t="shared" si="66"/>
        <v>0</v>
      </c>
      <c r="FS68" s="34">
        <f t="shared" si="66"/>
        <v>0</v>
      </c>
      <c r="FT68" s="34">
        <f t="shared" si="66"/>
        <v>0</v>
      </c>
      <c r="FU68" s="34">
        <f t="shared" si="66"/>
        <v>0</v>
      </c>
      <c r="FV68" s="34">
        <f t="shared" si="66"/>
        <v>0</v>
      </c>
      <c r="FW68" s="28"/>
      <c r="FX68" s="29">
        <f t="shared" si="3"/>
        <v>0</v>
      </c>
    </row>
    <row r="69" spans="1:180" ht="18" customHeight="1" x14ac:dyDescent="0.25">
      <c r="A69" s="3" t="str">
        <f>IF(C69&lt;&gt;"","DRG-"&amp;TEXT(65,"000"),"")</f>
        <v>DRG-065</v>
      </c>
      <c r="B69" s="19" t="s">
        <v>122</v>
      </c>
      <c r="C69" s="20" t="s">
        <v>122</v>
      </c>
      <c r="D69" s="20" t="s">
        <v>56</v>
      </c>
      <c r="E69" s="20" t="s">
        <v>126</v>
      </c>
      <c r="F69" s="20" t="s">
        <v>69</v>
      </c>
      <c r="G69" s="21"/>
      <c r="H69" s="21"/>
      <c r="I69" s="21"/>
      <c r="J69" s="21"/>
      <c r="K69" s="21"/>
      <c r="L69" s="21">
        <v>4</v>
      </c>
      <c r="M69" s="23" t="str">
        <f t="shared" si="0"/>
        <v>✘ Pending</v>
      </c>
      <c r="N69" s="23">
        <f t="shared" si="1"/>
        <v>0</v>
      </c>
      <c r="O69" s="25"/>
      <c r="P69" s="26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5"/>
      <c r="AC69" s="26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5"/>
      <c r="AP69" s="26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5"/>
      <c r="BC69" s="26"/>
      <c r="BD69" s="24"/>
      <c r="BE69" s="24"/>
      <c r="BF69" s="24"/>
      <c r="BG69" s="24"/>
      <c r="BH69" s="24"/>
      <c r="BI69" s="24"/>
      <c r="BJ69" s="24"/>
      <c r="BK69" s="24"/>
      <c r="BL69" s="24"/>
      <c r="BM69" s="24"/>
      <c r="BN69" s="24"/>
      <c r="BO69" s="25"/>
      <c r="BP69" s="26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5"/>
      <c r="CC69" s="26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5"/>
      <c r="CP69" s="26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5"/>
      <c r="DC69" s="26"/>
      <c r="DD69" s="24"/>
      <c r="DE69" s="24"/>
      <c r="DF69" s="24"/>
      <c r="DG69" s="24"/>
      <c r="DH69" s="24"/>
      <c r="DI69" s="24"/>
      <c r="DJ69" s="24"/>
      <c r="DK69" s="24"/>
      <c r="DL69" s="24"/>
      <c r="DM69" s="24"/>
      <c r="DN69" s="24"/>
      <c r="DO69" s="25"/>
      <c r="DP69" s="26"/>
      <c r="DQ69" s="24"/>
      <c r="DR69" s="24"/>
      <c r="DS69" s="24"/>
      <c r="DT69" s="24"/>
      <c r="DU69" s="24"/>
      <c r="DV69" s="24"/>
      <c r="DW69" s="24"/>
      <c r="DX69" s="24"/>
      <c r="DY69" s="24"/>
      <c r="DZ69" s="24"/>
      <c r="EA69" s="24"/>
      <c r="EB69" s="25"/>
      <c r="EC69" s="26"/>
      <c r="ED69" s="24"/>
      <c r="EE69" s="24"/>
      <c r="EF69" s="24"/>
      <c r="EG69" s="24"/>
      <c r="EH69" s="24"/>
      <c r="EI69" s="24"/>
      <c r="EJ69" s="24"/>
      <c r="EK69" s="24"/>
      <c r="EL69" s="24"/>
      <c r="EM69" s="24"/>
      <c r="EN69" s="24"/>
      <c r="EO69" s="25"/>
      <c r="EP69" s="26"/>
      <c r="EQ69" s="24"/>
      <c r="ER69" s="24"/>
      <c r="ES69" s="24"/>
      <c r="ET69" s="24"/>
      <c r="EU69" s="24"/>
      <c r="EV69" s="24"/>
      <c r="EW69" s="24"/>
      <c r="EX69" s="24"/>
      <c r="EY69" s="24"/>
      <c r="EZ69" s="24"/>
      <c r="FA69" s="24"/>
      <c r="FB69" s="25"/>
      <c r="FC69" s="26"/>
      <c r="FD69" s="24"/>
      <c r="FE69" s="24"/>
      <c r="FF69" s="24"/>
      <c r="FG69" s="24"/>
      <c r="FH69" s="24"/>
      <c r="FI69" s="24"/>
      <c r="FJ69" s="24"/>
      <c r="FK69" s="24"/>
      <c r="FL69" s="24"/>
      <c r="FM69" s="24"/>
      <c r="FN69" s="24"/>
      <c r="FO69" s="27">
        <f t="shared" ref="FO69:FV69" si="67">IFERROR(R69*1,0)+IFERROR(AE69*1,0)+IFERROR(AR69*1,0)+IFERROR(BE69*1,0)+IFERROR(BR69*1,0)+IFERROR(CE69*1,0)+IFERROR(CR69*1,0)+IFERROR(DE69*1,0)+IFERROR(DR69*1,0)+IFERROR(EE69*1,0)+IFERROR(ER69*1,0)+IFERROR(FE69*1,0)</f>
        <v>0</v>
      </c>
      <c r="FP69" s="27">
        <f t="shared" si="67"/>
        <v>0</v>
      </c>
      <c r="FQ69" s="27">
        <f t="shared" si="67"/>
        <v>0</v>
      </c>
      <c r="FR69" s="27">
        <f t="shared" si="67"/>
        <v>0</v>
      </c>
      <c r="FS69" s="27">
        <f t="shared" si="67"/>
        <v>0</v>
      </c>
      <c r="FT69" s="27">
        <f t="shared" si="67"/>
        <v>0</v>
      </c>
      <c r="FU69" s="27">
        <f t="shared" si="67"/>
        <v>0</v>
      </c>
      <c r="FV69" s="27">
        <f t="shared" si="67"/>
        <v>0</v>
      </c>
      <c r="FW69" s="28"/>
      <c r="FX69" s="29">
        <f t="shared" si="3"/>
        <v>0</v>
      </c>
    </row>
    <row r="70" spans="1:180" ht="18" customHeight="1" x14ac:dyDescent="0.25">
      <c r="A70" s="3" t="str">
        <f>IF(C70&lt;&gt;"","DRG-"&amp;TEXT(66,"000"),"")</f>
        <v>DRG-066</v>
      </c>
      <c r="B70" s="19" t="s">
        <v>122</v>
      </c>
      <c r="C70" s="20" t="s">
        <v>122</v>
      </c>
      <c r="D70" s="20" t="s">
        <v>56</v>
      </c>
      <c r="E70" s="20" t="s">
        <v>127</v>
      </c>
      <c r="F70" s="20" t="s">
        <v>107</v>
      </c>
      <c r="G70" s="21"/>
      <c r="H70" s="21"/>
      <c r="I70" s="21"/>
      <c r="J70" s="21"/>
      <c r="K70" s="21"/>
      <c r="L70" s="21">
        <v>4</v>
      </c>
      <c r="M70" s="30" t="str">
        <f t="shared" si="0"/>
        <v>✘ Pending</v>
      </c>
      <c r="N70" s="30">
        <f t="shared" si="1"/>
        <v>0</v>
      </c>
      <c r="O70" s="31"/>
      <c r="P70" s="32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1"/>
      <c r="AC70" s="32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1"/>
      <c r="AP70" s="32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1"/>
      <c r="BC70" s="32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1"/>
      <c r="BP70" s="32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1"/>
      <c r="CC70" s="32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1"/>
      <c r="CP70" s="32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1"/>
      <c r="DC70" s="32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1"/>
      <c r="DP70" s="32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1"/>
      <c r="EC70" s="32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1"/>
      <c r="EP70" s="32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1"/>
      <c r="FC70" s="32"/>
      <c r="FD70" s="33"/>
      <c r="FE70" s="33"/>
      <c r="FF70" s="33"/>
      <c r="FG70" s="33"/>
      <c r="FH70" s="33"/>
      <c r="FI70" s="33"/>
      <c r="FJ70" s="33"/>
      <c r="FK70" s="33"/>
      <c r="FL70" s="33"/>
      <c r="FM70" s="33"/>
      <c r="FN70" s="33"/>
      <c r="FO70" s="34">
        <f t="shared" ref="FO70:FV70" si="68">IFERROR(R70*1,0)+IFERROR(AE70*1,0)+IFERROR(AR70*1,0)+IFERROR(BE70*1,0)+IFERROR(BR70*1,0)+IFERROR(CE70*1,0)+IFERROR(CR70*1,0)+IFERROR(DE70*1,0)+IFERROR(DR70*1,0)+IFERROR(EE70*1,0)+IFERROR(ER70*1,0)+IFERROR(FE70*1,0)</f>
        <v>0</v>
      </c>
      <c r="FP70" s="34">
        <f t="shared" si="68"/>
        <v>0</v>
      </c>
      <c r="FQ70" s="34">
        <f t="shared" si="68"/>
        <v>0</v>
      </c>
      <c r="FR70" s="34">
        <f t="shared" si="68"/>
        <v>0</v>
      </c>
      <c r="FS70" s="34">
        <f t="shared" si="68"/>
        <v>0</v>
      </c>
      <c r="FT70" s="34">
        <f t="shared" si="68"/>
        <v>0</v>
      </c>
      <c r="FU70" s="34">
        <f t="shared" si="68"/>
        <v>0</v>
      </c>
      <c r="FV70" s="34">
        <f t="shared" si="68"/>
        <v>0</v>
      </c>
      <c r="FW70" s="28"/>
      <c r="FX70" s="29">
        <f t="shared" si="3"/>
        <v>0</v>
      </c>
    </row>
    <row r="71" spans="1:180" ht="18" customHeight="1" x14ac:dyDescent="0.25">
      <c r="A71" s="3" t="str">
        <f>IF(C71&lt;&gt;"","DRG-"&amp;TEXT(67,"000"),"")</f>
        <v>DRG-067</v>
      </c>
      <c r="B71" s="19" t="s">
        <v>122</v>
      </c>
      <c r="C71" s="20" t="s">
        <v>122</v>
      </c>
      <c r="D71" s="20" t="s">
        <v>56</v>
      </c>
      <c r="E71" s="20" t="s">
        <v>128</v>
      </c>
      <c r="F71" s="20" t="s">
        <v>69</v>
      </c>
      <c r="G71" s="21"/>
      <c r="H71" s="21"/>
      <c r="I71" s="21"/>
      <c r="J71" s="21"/>
      <c r="K71" s="21"/>
      <c r="L71" s="21">
        <v>4</v>
      </c>
      <c r="M71" s="23" t="str">
        <f t="shared" si="0"/>
        <v>✘ Pending</v>
      </c>
      <c r="N71" s="23">
        <f t="shared" si="1"/>
        <v>0</v>
      </c>
      <c r="O71" s="25"/>
      <c r="P71" s="26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5"/>
      <c r="AC71" s="26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5"/>
      <c r="AP71" s="26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5"/>
      <c r="BC71" s="26"/>
      <c r="BD71" s="24"/>
      <c r="BE71" s="24"/>
      <c r="BF71" s="24"/>
      <c r="BG71" s="24"/>
      <c r="BH71" s="24"/>
      <c r="BI71" s="24"/>
      <c r="BJ71" s="24"/>
      <c r="BK71" s="24"/>
      <c r="BL71" s="24"/>
      <c r="BM71" s="24"/>
      <c r="BN71" s="24"/>
      <c r="BO71" s="25"/>
      <c r="BP71" s="26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5"/>
      <c r="CC71" s="26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5"/>
      <c r="CP71" s="26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5"/>
      <c r="DC71" s="26"/>
      <c r="DD71" s="24"/>
      <c r="DE71" s="24"/>
      <c r="DF71" s="24"/>
      <c r="DG71" s="24"/>
      <c r="DH71" s="24"/>
      <c r="DI71" s="24"/>
      <c r="DJ71" s="24"/>
      <c r="DK71" s="24"/>
      <c r="DL71" s="24"/>
      <c r="DM71" s="24"/>
      <c r="DN71" s="24"/>
      <c r="DO71" s="25"/>
      <c r="DP71" s="26"/>
      <c r="DQ71" s="24"/>
      <c r="DR71" s="24"/>
      <c r="DS71" s="24"/>
      <c r="DT71" s="24"/>
      <c r="DU71" s="24"/>
      <c r="DV71" s="24"/>
      <c r="DW71" s="24"/>
      <c r="DX71" s="24"/>
      <c r="DY71" s="24"/>
      <c r="DZ71" s="24"/>
      <c r="EA71" s="24"/>
      <c r="EB71" s="25"/>
      <c r="EC71" s="26"/>
      <c r="ED71" s="24"/>
      <c r="EE71" s="24"/>
      <c r="EF71" s="24"/>
      <c r="EG71" s="24"/>
      <c r="EH71" s="24"/>
      <c r="EI71" s="24"/>
      <c r="EJ71" s="24"/>
      <c r="EK71" s="24"/>
      <c r="EL71" s="24"/>
      <c r="EM71" s="24"/>
      <c r="EN71" s="24"/>
      <c r="EO71" s="25"/>
      <c r="EP71" s="26"/>
      <c r="EQ71" s="24"/>
      <c r="ER71" s="24"/>
      <c r="ES71" s="24"/>
      <c r="ET71" s="24"/>
      <c r="EU71" s="24"/>
      <c r="EV71" s="24"/>
      <c r="EW71" s="24"/>
      <c r="EX71" s="24"/>
      <c r="EY71" s="24"/>
      <c r="EZ71" s="24"/>
      <c r="FA71" s="24"/>
      <c r="FB71" s="25"/>
      <c r="FC71" s="26"/>
      <c r="FD71" s="24"/>
      <c r="FE71" s="24"/>
      <c r="FF71" s="24"/>
      <c r="FG71" s="24"/>
      <c r="FH71" s="24"/>
      <c r="FI71" s="24"/>
      <c r="FJ71" s="24"/>
      <c r="FK71" s="24"/>
      <c r="FL71" s="24"/>
      <c r="FM71" s="24"/>
      <c r="FN71" s="24"/>
      <c r="FO71" s="27">
        <f t="shared" ref="FO71:FV71" si="69">IFERROR(R71*1,0)+IFERROR(AE71*1,0)+IFERROR(AR71*1,0)+IFERROR(BE71*1,0)+IFERROR(BR71*1,0)+IFERROR(CE71*1,0)+IFERROR(CR71*1,0)+IFERROR(DE71*1,0)+IFERROR(DR71*1,0)+IFERROR(EE71*1,0)+IFERROR(ER71*1,0)+IFERROR(FE71*1,0)</f>
        <v>0</v>
      </c>
      <c r="FP71" s="27">
        <f t="shared" si="69"/>
        <v>0</v>
      </c>
      <c r="FQ71" s="27">
        <f t="shared" si="69"/>
        <v>0</v>
      </c>
      <c r="FR71" s="27">
        <f t="shared" si="69"/>
        <v>0</v>
      </c>
      <c r="FS71" s="27">
        <f t="shared" si="69"/>
        <v>0</v>
      </c>
      <c r="FT71" s="27">
        <f t="shared" si="69"/>
        <v>0</v>
      </c>
      <c r="FU71" s="27">
        <f t="shared" si="69"/>
        <v>0</v>
      </c>
      <c r="FV71" s="27">
        <f t="shared" si="69"/>
        <v>0</v>
      </c>
      <c r="FW71" s="28"/>
      <c r="FX71" s="29">
        <f t="shared" si="3"/>
        <v>0</v>
      </c>
    </row>
    <row r="72" spans="1:180" ht="18" customHeight="1" x14ac:dyDescent="0.25">
      <c r="A72" s="3" t="str">
        <f>IF(C72&lt;&gt;"","DRG-"&amp;TEXT(68,"000"),"")</f>
        <v>DRG-068</v>
      </c>
      <c r="B72" s="19" t="s">
        <v>129</v>
      </c>
      <c r="C72" s="20" t="s">
        <v>130</v>
      </c>
      <c r="D72" s="20" t="s">
        <v>56</v>
      </c>
      <c r="E72" s="20" t="s">
        <v>91</v>
      </c>
      <c r="F72" s="20" t="s">
        <v>69</v>
      </c>
      <c r="G72" s="21"/>
      <c r="H72" s="21"/>
      <c r="I72" s="21"/>
      <c r="J72" s="21"/>
      <c r="K72" s="21"/>
      <c r="L72" s="21">
        <v>4</v>
      </c>
      <c r="M72" s="30" t="str">
        <f t="shared" si="0"/>
        <v>✘ Pending</v>
      </c>
      <c r="N72" s="30">
        <f t="shared" si="1"/>
        <v>0</v>
      </c>
      <c r="O72" s="31"/>
      <c r="P72" s="32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1"/>
      <c r="AC72" s="32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1"/>
      <c r="AP72" s="32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1"/>
      <c r="BC72" s="32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1"/>
      <c r="BP72" s="32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1"/>
      <c r="CC72" s="32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1"/>
      <c r="CP72" s="32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1"/>
      <c r="DC72" s="32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1"/>
      <c r="DP72" s="32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1"/>
      <c r="EC72" s="32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1"/>
      <c r="EP72" s="32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1"/>
      <c r="FC72" s="32"/>
      <c r="FD72" s="33"/>
      <c r="FE72" s="33"/>
      <c r="FF72" s="33"/>
      <c r="FG72" s="33"/>
      <c r="FH72" s="33"/>
      <c r="FI72" s="33"/>
      <c r="FJ72" s="33"/>
      <c r="FK72" s="33"/>
      <c r="FL72" s="33"/>
      <c r="FM72" s="33"/>
      <c r="FN72" s="33"/>
      <c r="FO72" s="34">
        <f t="shared" ref="FO72:FV72" si="70">IFERROR(R72*1,0)+IFERROR(AE72*1,0)+IFERROR(AR72*1,0)+IFERROR(BE72*1,0)+IFERROR(BR72*1,0)+IFERROR(CE72*1,0)+IFERROR(CR72*1,0)+IFERROR(DE72*1,0)+IFERROR(DR72*1,0)+IFERROR(EE72*1,0)+IFERROR(ER72*1,0)+IFERROR(FE72*1,0)</f>
        <v>0</v>
      </c>
      <c r="FP72" s="34">
        <f t="shared" si="70"/>
        <v>0</v>
      </c>
      <c r="FQ72" s="34">
        <f t="shared" si="70"/>
        <v>0</v>
      </c>
      <c r="FR72" s="34">
        <f t="shared" si="70"/>
        <v>0</v>
      </c>
      <c r="FS72" s="34">
        <f t="shared" si="70"/>
        <v>0</v>
      </c>
      <c r="FT72" s="34">
        <f t="shared" si="70"/>
        <v>0</v>
      </c>
      <c r="FU72" s="34">
        <f t="shared" si="70"/>
        <v>0</v>
      </c>
      <c r="FV72" s="34">
        <f t="shared" si="70"/>
        <v>0</v>
      </c>
      <c r="FW72" s="28"/>
      <c r="FX72" s="29">
        <f t="shared" si="3"/>
        <v>0</v>
      </c>
    </row>
    <row r="73" spans="1:180" ht="18" customHeight="1" x14ac:dyDescent="0.25">
      <c r="A73" s="3" t="str">
        <f>IF(C73&lt;&gt;"","DRG-"&amp;TEXT(69,"000"),"")</f>
        <v>DRG-069</v>
      </c>
      <c r="B73" s="19" t="s">
        <v>129</v>
      </c>
      <c r="C73" s="20" t="s">
        <v>130</v>
      </c>
      <c r="D73" s="20" t="s">
        <v>56</v>
      </c>
      <c r="E73" s="20" t="s">
        <v>131</v>
      </c>
      <c r="F73" s="20" t="s">
        <v>69</v>
      </c>
      <c r="G73" s="21"/>
      <c r="H73" s="21"/>
      <c r="I73" s="21"/>
      <c r="J73" s="21"/>
      <c r="K73" s="21"/>
      <c r="L73" s="21">
        <v>4</v>
      </c>
      <c r="M73" s="23" t="str">
        <f t="shared" si="0"/>
        <v>✘ Pending</v>
      </c>
      <c r="N73" s="23">
        <f t="shared" si="1"/>
        <v>0</v>
      </c>
      <c r="O73" s="25"/>
      <c r="P73" s="26"/>
      <c r="Q73" s="24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5"/>
      <c r="AC73" s="26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5"/>
      <c r="AP73" s="26"/>
      <c r="AQ73" s="24"/>
      <c r="AR73" s="24"/>
      <c r="AS73" s="24"/>
      <c r="AT73" s="24"/>
      <c r="AU73" s="24"/>
      <c r="AV73" s="24"/>
      <c r="AW73" s="24"/>
      <c r="AX73" s="24"/>
      <c r="AY73" s="24"/>
      <c r="AZ73" s="24"/>
      <c r="BA73" s="24"/>
      <c r="BB73" s="25"/>
      <c r="BC73" s="26"/>
      <c r="BD73" s="24"/>
      <c r="BE73" s="24"/>
      <c r="BF73" s="24"/>
      <c r="BG73" s="24"/>
      <c r="BH73" s="24"/>
      <c r="BI73" s="24"/>
      <c r="BJ73" s="24"/>
      <c r="BK73" s="24"/>
      <c r="BL73" s="24"/>
      <c r="BM73" s="24"/>
      <c r="BN73" s="24"/>
      <c r="BO73" s="25"/>
      <c r="BP73" s="26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5"/>
      <c r="CC73" s="26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5"/>
      <c r="CP73" s="26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5"/>
      <c r="DC73" s="26"/>
      <c r="DD73" s="24"/>
      <c r="DE73" s="24"/>
      <c r="DF73" s="24"/>
      <c r="DG73" s="24"/>
      <c r="DH73" s="24"/>
      <c r="DI73" s="24"/>
      <c r="DJ73" s="24"/>
      <c r="DK73" s="24"/>
      <c r="DL73" s="24"/>
      <c r="DM73" s="24"/>
      <c r="DN73" s="24"/>
      <c r="DO73" s="25"/>
      <c r="DP73" s="26"/>
      <c r="DQ73" s="24"/>
      <c r="DR73" s="24"/>
      <c r="DS73" s="24"/>
      <c r="DT73" s="24"/>
      <c r="DU73" s="24"/>
      <c r="DV73" s="24"/>
      <c r="DW73" s="24"/>
      <c r="DX73" s="24"/>
      <c r="DY73" s="24"/>
      <c r="DZ73" s="24"/>
      <c r="EA73" s="24"/>
      <c r="EB73" s="25"/>
      <c r="EC73" s="26"/>
      <c r="ED73" s="24"/>
      <c r="EE73" s="24"/>
      <c r="EF73" s="24"/>
      <c r="EG73" s="24"/>
      <c r="EH73" s="24"/>
      <c r="EI73" s="24"/>
      <c r="EJ73" s="24"/>
      <c r="EK73" s="24"/>
      <c r="EL73" s="24"/>
      <c r="EM73" s="24"/>
      <c r="EN73" s="24"/>
      <c r="EO73" s="25"/>
      <c r="EP73" s="26"/>
      <c r="EQ73" s="24"/>
      <c r="ER73" s="24"/>
      <c r="ES73" s="24"/>
      <c r="ET73" s="24"/>
      <c r="EU73" s="24"/>
      <c r="EV73" s="24"/>
      <c r="EW73" s="24"/>
      <c r="EX73" s="24"/>
      <c r="EY73" s="24"/>
      <c r="EZ73" s="24"/>
      <c r="FA73" s="24"/>
      <c r="FB73" s="25"/>
      <c r="FC73" s="26"/>
      <c r="FD73" s="24"/>
      <c r="FE73" s="24"/>
      <c r="FF73" s="24"/>
      <c r="FG73" s="24"/>
      <c r="FH73" s="24"/>
      <c r="FI73" s="24"/>
      <c r="FJ73" s="24"/>
      <c r="FK73" s="24"/>
      <c r="FL73" s="24"/>
      <c r="FM73" s="24"/>
      <c r="FN73" s="24"/>
      <c r="FO73" s="27">
        <f t="shared" ref="FO73:FV73" si="71">IFERROR(R73*1,0)+IFERROR(AE73*1,0)+IFERROR(AR73*1,0)+IFERROR(BE73*1,0)+IFERROR(BR73*1,0)+IFERROR(CE73*1,0)+IFERROR(CR73*1,0)+IFERROR(DE73*1,0)+IFERROR(DR73*1,0)+IFERROR(EE73*1,0)+IFERROR(ER73*1,0)+IFERROR(FE73*1,0)</f>
        <v>0</v>
      </c>
      <c r="FP73" s="27">
        <f t="shared" si="71"/>
        <v>0</v>
      </c>
      <c r="FQ73" s="27">
        <f t="shared" si="71"/>
        <v>0</v>
      </c>
      <c r="FR73" s="27">
        <f t="shared" si="71"/>
        <v>0</v>
      </c>
      <c r="FS73" s="27">
        <f t="shared" si="71"/>
        <v>0</v>
      </c>
      <c r="FT73" s="27">
        <f t="shared" si="71"/>
        <v>0</v>
      </c>
      <c r="FU73" s="27">
        <f t="shared" si="71"/>
        <v>0</v>
      </c>
      <c r="FV73" s="27">
        <f t="shared" si="71"/>
        <v>0</v>
      </c>
      <c r="FW73" s="28"/>
      <c r="FX73" s="29">
        <f t="shared" si="3"/>
        <v>0</v>
      </c>
    </row>
    <row r="74" spans="1:180" ht="18" customHeight="1" x14ac:dyDescent="0.25">
      <c r="A74" s="3" t="str">
        <f>IF(C74&lt;&gt;"","DRG-"&amp;TEXT(70,"000"),"")</f>
        <v>DRG-070</v>
      </c>
      <c r="B74" s="19" t="s">
        <v>129</v>
      </c>
      <c r="C74" s="20" t="s">
        <v>130</v>
      </c>
      <c r="D74" s="20" t="s">
        <v>56</v>
      </c>
      <c r="E74" s="20" t="s">
        <v>132</v>
      </c>
      <c r="F74" s="20" t="s">
        <v>69</v>
      </c>
      <c r="G74" s="21"/>
      <c r="H74" s="21"/>
      <c r="I74" s="21"/>
      <c r="J74" s="21"/>
      <c r="K74" s="21"/>
      <c r="L74" s="21">
        <v>4</v>
      </c>
      <c r="M74" s="30" t="str">
        <f t="shared" si="0"/>
        <v>✘ Pending</v>
      </c>
      <c r="N74" s="30">
        <f t="shared" si="1"/>
        <v>0</v>
      </c>
      <c r="O74" s="31"/>
      <c r="P74" s="32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1"/>
      <c r="AC74" s="32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1"/>
      <c r="AP74" s="32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1"/>
      <c r="BC74" s="32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1"/>
      <c r="BP74" s="32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1"/>
      <c r="CC74" s="32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1"/>
      <c r="CP74" s="32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1"/>
      <c r="DC74" s="32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1"/>
      <c r="DP74" s="32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1"/>
      <c r="EC74" s="32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1"/>
      <c r="EP74" s="32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1"/>
      <c r="FC74" s="32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/>
      <c r="FO74" s="34">
        <f t="shared" ref="FO74:FV74" si="72">IFERROR(R74*1,0)+IFERROR(AE74*1,0)+IFERROR(AR74*1,0)+IFERROR(BE74*1,0)+IFERROR(BR74*1,0)+IFERROR(CE74*1,0)+IFERROR(CR74*1,0)+IFERROR(DE74*1,0)+IFERROR(DR74*1,0)+IFERROR(EE74*1,0)+IFERROR(ER74*1,0)+IFERROR(FE74*1,0)</f>
        <v>0</v>
      </c>
      <c r="FP74" s="34">
        <f t="shared" si="72"/>
        <v>0</v>
      </c>
      <c r="FQ74" s="34">
        <f t="shared" si="72"/>
        <v>0</v>
      </c>
      <c r="FR74" s="34">
        <f t="shared" si="72"/>
        <v>0</v>
      </c>
      <c r="FS74" s="34">
        <f t="shared" si="72"/>
        <v>0</v>
      </c>
      <c r="FT74" s="34">
        <f t="shared" si="72"/>
        <v>0</v>
      </c>
      <c r="FU74" s="34">
        <f t="shared" si="72"/>
        <v>0</v>
      </c>
      <c r="FV74" s="34">
        <f t="shared" si="72"/>
        <v>0</v>
      </c>
      <c r="FW74" s="28"/>
      <c r="FX74" s="29">
        <f t="shared" si="3"/>
        <v>0</v>
      </c>
    </row>
    <row r="75" spans="1:180" ht="18" customHeight="1" x14ac:dyDescent="0.25">
      <c r="A75" s="3" t="str">
        <f>IF(C75&lt;&gt;"","DRG-"&amp;TEXT(71,"000"),"")</f>
        <v>DRG-071</v>
      </c>
      <c r="B75" s="19" t="s">
        <v>129</v>
      </c>
      <c r="C75" s="20" t="s">
        <v>130</v>
      </c>
      <c r="D75" s="20" t="s">
        <v>56</v>
      </c>
      <c r="E75" s="20" t="s">
        <v>133</v>
      </c>
      <c r="F75" s="20" t="s">
        <v>69</v>
      </c>
      <c r="G75" s="21"/>
      <c r="H75" s="21"/>
      <c r="I75" s="21"/>
      <c r="J75" s="21"/>
      <c r="K75" s="21"/>
      <c r="L75" s="21">
        <v>4</v>
      </c>
      <c r="M75" s="23" t="str">
        <f t="shared" si="0"/>
        <v>✘ Pending</v>
      </c>
      <c r="N75" s="23">
        <f t="shared" si="1"/>
        <v>0</v>
      </c>
      <c r="O75" s="25"/>
      <c r="P75" s="26"/>
      <c r="Q75" s="24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5"/>
      <c r="AC75" s="26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5"/>
      <c r="AP75" s="26"/>
      <c r="AQ75" s="24"/>
      <c r="AR75" s="24"/>
      <c r="AS75" s="24"/>
      <c r="AT75" s="24"/>
      <c r="AU75" s="24"/>
      <c r="AV75" s="24"/>
      <c r="AW75" s="24"/>
      <c r="AX75" s="24"/>
      <c r="AY75" s="24"/>
      <c r="AZ75" s="24"/>
      <c r="BA75" s="24"/>
      <c r="BB75" s="25"/>
      <c r="BC75" s="26"/>
      <c r="BD75" s="24"/>
      <c r="BE75" s="24"/>
      <c r="BF75" s="24"/>
      <c r="BG75" s="24"/>
      <c r="BH75" s="24"/>
      <c r="BI75" s="24"/>
      <c r="BJ75" s="24"/>
      <c r="BK75" s="24"/>
      <c r="BL75" s="24"/>
      <c r="BM75" s="24"/>
      <c r="BN75" s="24"/>
      <c r="BO75" s="25"/>
      <c r="BP75" s="26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5"/>
      <c r="CC75" s="26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5"/>
      <c r="CP75" s="26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5"/>
      <c r="DC75" s="26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5"/>
      <c r="DP75" s="26"/>
      <c r="DQ75" s="24"/>
      <c r="DR75" s="24"/>
      <c r="DS75" s="24"/>
      <c r="DT75" s="24"/>
      <c r="DU75" s="24"/>
      <c r="DV75" s="24"/>
      <c r="DW75" s="24"/>
      <c r="DX75" s="24"/>
      <c r="DY75" s="24"/>
      <c r="DZ75" s="24"/>
      <c r="EA75" s="24"/>
      <c r="EB75" s="25"/>
      <c r="EC75" s="26"/>
      <c r="ED75" s="24"/>
      <c r="EE75" s="24"/>
      <c r="EF75" s="24"/>
      <c r="EG75" s="24"/>
      <c r="EH75" s="24"/>
      <c r="EI75" s="24"/>
      <c r="EJ75" s="24"/>
      <c r="EK75" s="24"/>
      <c r="EL75" s="24"/>
      <c r="EM75" s="24"/>
      <c r="EN75" s="24"/>
      <c r="EO75" s="25"/>
      <c r="EP75" s="26"/>
      <c r="EQ75" s="24"/>
      <c r="ER75" s="24"/>
      <c r="ES75" s="24"/>
      <c r="ET75" s="24"/>
      <c r="EU75" s="24"/>
      <c r="EV75" s="24"/>
      <c r="EW75" s="24"/>
      <c r="EX75" s="24"/>
      <c r="EY75" s="24"/>
      <c r="EZ75" s="24"/>
      <c r="FA75" s="24"/>
      <c r="FB75" s="25"/>
      <c r="FC75" s="26"/>
      <c r="FD75" s="24"/>
      <c r="FE75" s="24"/>
      <c r="FF75" s="24"/>
      <c r="FG75" s="24"/>
      <c r="FH75" s="24"/>
      <c r="FI75" s="24"/>
      <c r="FJ75" s="24"/>
      <c r="FK75" s="24"/>
      <c r="FL75" s="24"/>
      <c r="FM75" s="24"/>
      <c r="FN75" s="24"/>
      <c r="FO75" s="27">
        <f t="shared" ref="FO75:FV75" si="73">IFERROR(R75*1,0)+IFERROR(AE75*1,0)+IFERROR(AR75*1,0)+IFERROR(BE75*1,0)+IFERROR(BR75*1,0)+IFERROR(CE75*1,0)+IFERROR(CR75*1,0)+IFERROR(DE75*1,0)+IFERROR(DR75*1,0)+IFERROR(EE75*1,0)+IFERROR(ER75*1,0)+IFERROR(FE75*1,0)</f>
        <v>0</v>
      </c>
      <c r="FP75" s="27">
        <f t="shared" si="73"/>
        <v>0</v>
      </c>
      <c r="FQ75" s="27">
        <f t="shared" si="73"/>
        <v>0</v>
      </c>
      <c r="FR75" s="27">
        <f t="shared" si="73"/>
        <v>0</v>
      </c>
      <c r="FS75" s="27">
        <f t="shared" si="73"/>
        <v>0</v>
      </c>
      <c r="FT75" s="27">
        <f t="shared" si="73"/>
        <v>0</v>
      </c>
      <c r="FU75" s="27">
        <f t="shared" si="73"/>
        <v>0</v>
      </c>
      <c r="FV75" s="27">
        <f t="shared" si="73"/>
        <v>0</v>
      </c>
      <c r="FW75" s="28"/>
      <c r="FX75" s="29">
        <f t="shared" si="3"/>
        <v>0</v>
      </c>
    </row>
    <row r="76" spans="1:180" ht="18" customHeight="1" x14ac:dyDescent="0.25">
      <c r="A76" s="3" t="str">
        <f>IF(C76&lt;&gt;"","DRG-"&amp;TEXT(72,"000"),"")</f>
        <v>DRG-072</v>
      </c>
      <c r="B76" s="19" t="s">
        <v>129</v>
      </c>
      <c r="C76" s="20" t="s">
        <v>130</v>
      </c>
      <c r="D76" s="20" t="s">
        <v>56</v>
      </c>
      <c r="E76" s="20" t="s">
        <v>134</v>
      </c>
      <c r="F76" s="20" t="s">
        <v>69</v>
      </c>
      <c r="G76" s="21"/>
      <c r="H76" s="21"/>
      <c r="I76" s="21"/>
      <c r="J76" s="21"/>
      <c r="K76" s="21"/>
      <c r="L76" s="21">
        <v>4</v>
      </c>
      <c r="M76" s="30" t="str">
        <f t="shared" si="0"/>
        <v>✘ Pending</v>
      </c>
      <c r="N76" s="30">
        <f t="shared" si="1"/>
        <v>0</v>
      </c>
      <c r="O76" s="31"/>
      <c r="P76" s="32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1"/>
      <c r="AC76" s="32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1"/>
      <c r="AP76" s="32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1"/>
      <c r="BC76" s="32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1"/>
      <c r="BP76" s="32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1"/>
      <c r="CC76" s="32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1"/>
      <c r="CP76" s="32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1"/>
      <c r="DC76" s="32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1"/>
      <c r="DP76" s="32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1"/>
      <c r="EC76" s="32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1"/>
      <c r="EP76" s="32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1"/>
      <c r="FC76" s="32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4">
        <f t="shared" ref="FO76:FV76" si="74">IFERROR(R76*1,0)+IFERROR(AE76*1,0)+IFERROR(AR76*1,0)+IFERROR(BE76*1,0)+IFERROR(BR76*1,0)+IFERROR(CE76*1,0)+IFERROR(CR76*1,0)+IFERROR(DE76*1,0)+IFERROR(DR76*1,0)+IFERROR(EE76*1,0)+IFERROR(ER76*1,0)+IFERROR(FE76*1,0)</f>
        <v>0</v>
      </c>
      <c r="FP76" s="34">
        <f t="shared" si="74"/>
        <v>0</v>
      </c>
      <c r="FQ76" s="34">
        <f t="shared" si="74"/>
        <v>0</v>
      </c>
      <c r="FR76" s="34">
        <f t="shared" si="74"/>
        <v>0</v>
      </c>
      <c r="FS76" s="34">
        <f t="shared" si="74"/>
        <v>0</v>
      </c>
      <c r="FT76" s="34">
        <f t="shared" si="74"/>
        <v>0</v>
      </c>
      <c r="FU76" s="34">
        <f t="shared" si="74"/>
        <v>0</v>
      </c>
      <c r="FV76" s="34">
        <f t="shared" si="74"/>
        <v>0</v>
      </c>
      <c r="FW76" s="28"/>
      <c r="FX76" s="29">
        <f t="shared" si="3"/>
        <v>0</v>
      </c>
    </row>
    <row r="77" spans="1:180" ht="18" customHeight="1" x14ac:dyDescent="0.25">
      <c r="A77" s="3" t="str">
        <f>IF(C77&lt;&gt;"","DRG-"&amp;TEXT(73,"000"),"")</f>
        <v>DRG-073</v>
      </c>
      <c r="B77" s="19" t="s">
        <v>129</v>
      </c>
      <c r="C77" s="20" t="s">
        <v>130</v>
      </c>
      <c r="D77" s="20" t="s">
        <v>56</v>
      </c>
      <c r="E77" s="20" t="s">
        <v>135</v>
      </c>
      <c r="F77" s="20" t="s">
        <v>69</v>
      </c>
      <c r="G77" s="21"/>
      <c r="H77" s="21"/>
      <c r="I77" s="21"/>
      <c r="J77" s="21"/>
      <c r="K77" s="21"/>
      <c r="L77" s="21">
        <v>4</v>
      </c>
      <c r="M77" s="23" t="str">
        <f t="shared" si="0"/>
        <v>✘ Pending</v>
      </c>
      <c r="N77" s="23">
        <f t="shared" si="1"/>
        <v>0</v>
      </c>
      <c r="O77" s="25"/>
      <c r="P77" s="26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5"/>
      <c r="AC77" s="26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5"/>
      <c r="AP77" s="26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5"/>
      <c r="BC77" s="26"/>
      <c r="BD77" s="24"/>
      <c r="BE77" s="24"/>
      <c r="BF77" s="24"/>
      <c r="BG77" s="24"/>
      <c r="BH77" s="24"/>
      <c r="BI77" s="24"/>
      <c r="BJ77" s="24"/>
      <c r="BK77" s="24"/>
      <c r="BL77" s="24"/>
      <c r="BM77" s="24"/>
      <c r="BN77" s="24"/>
      <c r="BO77" s="25"/>
      <c r="BP77" s="26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5"/>
      <c r="CC77" s="26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5"/>
      <c r="CP77" s="26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5"/>
      <c r="DC77" s="26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5"/>
      <c r="DP77" s="26"/>
      <c r="DQ77" s="24"/>
      <c r="DR77" s="24"/>
      <c r="DS77" s="24"/>
      <c r="DT77" s="24"/>
      <c r="DU77" s="24"/>
      <c r="DV77" s="24"/>
      <c r="DW77" s="24"/>
      <c r="DX77" s="24"/>
      <c r="DY77" s="24"/>
      <c r="DZ77" s="24"/>
      <c r="EA77" s="24"/>
      <c r="EB77" s="25"/>
      <c r="EC77" s="26"/>
      <c r="ED77" s="24"/>
      <c r="EE77" s="24"/>
      <c r="EF77" s="24"/>
      <c r="EG77" s="24"/>
      <c r="EH77" s="24"/>
      <c r="EI77" s="24"/>
      <c r="EJ77" s="24"/>
      <c r="EK77" s="24"/>
      <c r="EL77" s="24"/>
      <c r="EM77" s="24"/>
      <c r="EN77" s="24"/>
      <c r="EO77" s="25"/>
      <c r="EP77" s="26"/>
      <c r="EQ77" s="24"/>
      <c r="ER77" s="24"/>
      <c r="ES77" s="24"/>
      <c r="ET77" s="24"/>
      <c r="EU77" s="24"/>
      <c r="EV77" s="24"/>
      <c r="EW77" s="24"/>
      <c r="EX77" s="24"/>
      <c r="EY77" s="24"/>
      <c r="EZ77" s="24"/>
      <c r="FA77" s="24"/>
      <c r="FB77" s="25"/>
      <c r="FC77" s="26"/>
      <c r="FD77" s="24"/>
      <c r="FE77" s="24"/>
      <c r="FF77" s="24"/>
      <c r="FG77" s="24"/>
      <c r="FH77" s="24"/>
      <c r="FI77" s="24"/>
      <c r="FJ77" s="24"/>
      <c r="FK77" s="24"/>
      <c r="FL77" s="24"/>
      <c r="FM77" s="24"/>
      <c r="FN77" s="24"/>
      <c r="FO77" s="27">
        <f t="shared" ref="FO77:FV77" si="75">IFERROR(R77*1,0)+IFERROR(AE77*1,0)+IFERROR(AR77*1,0)+IFERROR(BE77*1,0)+IFERROR(BR77*1,0)+IFERROR(CE77*1,0)+IFERROR(CR77*1,0)+IFERROR(DE77*1,0)+IFERROR(DR77*1,0)+IFERROR(EE77*1,0)+IFERROR(ER77*1,0)+IFERROR(FE77*1,0)</f>
        <v>0</v>
      </c>
      <c r="FP77" s="27">
        <f t="shared" si="75"/>
        <v>0</v>
      </c>
      <c r="FQ77" s="27">
        <f t="shared" si="75"/>
        <v>0</v>
      </c>
      <c r="FR77" s="27">
        <f t="shared" si="75"/>
        <v>0</v>
      </c>
      <c r="FS77" s="27">
        <f t="shared" si="75"/>
        <v>0</v>
      </c>
      <c r="FT77" s="27">
        <f t="shared" si="75"/>
        <v>0</v>
      </c>
      <c r="FU77" s="27">
        <f t="shared" si="75"/>
        <v>0</v>
      </c>
      <c r="FV77" s="27">
        <f t="shared" si="75"/>
        <v>0</v>
      </c>
      <c r="FW77" s="28"/>
      <c r="FX77" s="29">
        <f t="shared" si="3"/>
        <v>0</v>
      </c>
    </row>
    <row r="78" spans="1:180" ht="18" customHeight="1" x14ac:dyDescent="0.25">
      <c r="A78" s="3" t="str">
        <f>IF(C78&lt;&gt;"","DRG-"&amp;TEXT(74,"000"),"")</f>
        <v>DRG-074</v>
      </c>
      <c r="B78" s="19" t="s">
        <v>129</v>
      </c>
      <c r="C78" s="20" t="s">
        <v>129</v>
      </c>
      <c r="D78" s="20" t="s">
        <v>56</v>
      </c>
      <c r="E78" s="20" t="s">
        <v>136</v>
      </c>
      <c r="F78" s="20" t="s">
        <v>69</v>
      </c>
      <c r="G78" s="21"/>
      <c r="H78" s="21"/>
      <c r="I78" s="21"/>
      <c r="J78" s="21"/>
      <c r="K78" s="21"/>
      <c r="L78" s="21">
        <v>4</v>
      </c>
      <c r="M78" s="30" t="str">
        <f t="shared" si="0"/>
        <v>✘ Pending</v>
      </c>
      <c r="N78" s="30">
        <f t="shared" si="1"/>
        <v>0</v>
      </c>
      <c r="O78" s="31"/>
      <c r="P78" s="32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1"/>
      <c r="AC78" s="32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1"/>
      <c r="AP78" s="32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1"/>
      <c r="BC78" s="32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1"/>
      <c r="BP78" s="32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1"/>
      <c r="CC78" s="32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1"/>
      <c r="CP78" s="32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1"/>
      <c r="DC78" s="32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1"/>
      <c r="DP78" s="32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1"/>
      <c r="EC78" s="32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1"/>
      <c r="EP78" s="32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1"/>
      <c r="FC78" s="32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4">
        <f t="shared" ref="FO78:FV78" si="76">IFERROR(R78*1,0)+IFERROR(AE78*1,0)+IFERROR(AR78*1,0)+IFERROR(BE78*1,0)+IFERROR(BR78*1,0)+IFERROR(CE78*1,0)+IFERROR(CR78*1,0)+IFERROR(DE78*1,0)+IFERROR(DR78*1,0)+IFERROR(EE78*1,0)+IFERROR(ER78*1,0)+IFERROR(FE78*1,0)</f>
        <v>0</v>
      </c>
      <c r="FP78" s="34">
        <f t="shared" si="76"/>
        <v>0</v>
      </c>
      <c r="FQ78" s="34">
        <f t="shared" si="76"/>
        <v>0</v>
      </c>
      <c r="FR78" s="34">
        <f t="shared" si="76"/>
        <v>0</v>
      </c>
      <c r="FS78" s="34">
        <f t="shared" si="76"/>
        <v>0</v>
      </c>
      <c r="FT78" s="34">
        <f t="shared" si="76"/>
        <v>0</v>
      </c>
      <c r="FU78" s="34">
        <f t="shared" si="76"/>
        <v>0</v>
      </c>
      <c r="FV78" s="34">
        <f t="shared" si="76"/>
        <v>0</v>
      </c>
      <c r="FW78" s="28"/>
      <c r="FX78" s="29">
        <f t="shared" si="3"/>
        <v>0</v>
      </c>
    </row>
    <row r="79" spans="1:180" ht="18" customHeight="1" x14ac:dyDescent="0.25">
      <c r="A79" s="3" t="str">
        <f>IF(C79&lt;&gt;"","DRG-"&amp;TEXT(75,"000"),"")</f>
        <v>DRG-075</v>
      </c>
      <c r="B79" s="19" t="s">
        <v>129</v>
      </c>
      <c r="C79" s="20" t="s">
        <v>129</v>
      </c>
      <c r="D79" s="20" t="s">
        <v>56</v>
      </c>
      <c r="E79" s="20" t="s">
        <v>137</v>
      </c>
      <c r="F79" s="20" t="s">
        <v>69</v>
      </c>
      <c r="G79" s="21"/>
      <c r="H79" s="21"/>
      <c r="I79" s="21"/>
      <c r="J79" s="21"/>
      <c r="K79" s="21"/>
      <c r="L79" s="21">
        <v>4</v>
      </c>
      <c r="M79" s="23" t="str">
        <f t="shared" si="0"/>
        <v>✘ Pending</v>
      </c>
      <c r="N79" s="23">
        <f t="shared" si="1"/>
        <v>0</v>
      </c>
      <c r="O79" s="25"/>
      <c r="P79" s="26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5"/>
      <c r="AC79" s="26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5"/>
      <c r="AP79" s="26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5"/>
      <c r="BC79" s="26"/>
      <c r="BD79" s="24"/>
      <c r="BE79" s="24"/>
      <c r="BF79" s="24"/>
      <c r="BG79" s="24"/>
      <c r="BH79" s="24"/>
      <c r="BI79" s="24"/>
      <c r="BJ79" s="24"/>
      <c r="BK79" s="24"/>
      <c r="BL79" s="24"/>
      <c r="BM79" s="24"/>
      <c r="BN79" s="24"/>
      <c r="BO79" s="25"/>
      <c r="BP79" s="26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5"/>
      <c r="CC79" s="26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5"/>
      <c r="CP79" s="26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5"/>
      <c r="DC79" s="26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5"/>
      <c r="DP79" s="26"/>
      <c r="DQ79" s="24"/>
      <c r="DR79" s="24"/>
      <c r="DS79" s="24"/>
      <c r="DT79" s="24"/>
      <c r="DU79" s="24"/>
      <c r="DV79" s="24"/>
      <c r="DW79" s="24"/>
      <c r="DX79" s="24"/>
      <c r="DY79" s="24"/>
      <c r="DZ79" s="24"/>
      <c r="EA79" s="24"/>
      <c r="EB79" s="25"/>
      <c r="EC79" s="26"/>
      <c r="ED79" s="24"/>
      <c r="EE79" s="24"/>
      <c r="EF79" s="24"/>
      <c r="EG79" s="24"/>
      <c r="EH79" s="24"/>
      <c r="EI79" s="24"/>
      <c r="EJ79" s="24"/>
      <c r="EK79" s="24"/>
      <c r="EL79" s="24"/>
      <c r="EM79" s="24"/>
      <c r="EN79" s="24"/>
      <c r="EO79" s="25"/>
      <c r="EP79" s="26"/>
      <c r="EQ79" s="24"/>
      <c r="ER79" s="24"/>
      <c r="ES79" s="24"/>
      <c r="ET79" s="24"/>
      <c r="EU79" s="24"/>
      <c r="EV79" s="24"/>
      <c r="EW79" s="24"/>
      <c r="EX79" s="24"/>
      <c r="EY79" s="24"/>
      <c r="EZ79" s="24"/>
      <c r="FA79" s="24"/>
      <c r="FB79" s="25"/>
      <c r="FC79" s="26"/>
      <c r="FD79" s="24"/>
      <c r="FE79" s="24"/>
      <c r="FF79" s="24"/>
      <c r="FG79" s="24"/>
      <c r="FH79" s="24"/>
      <c r="FI79" s="24"/>
      <c r="FJ79" s="24"/>
      <c r="FK79" s="24"/>
      <c r="FL79" s="24"/>
      <c r="FM79" s="24"/>
      <c r="FN79" s="24"/>
      <c r="FO79" s="27">
        <f t="shared" ref="FO79:FV79" si="77">IFERROR(R79*1,0)+IFERROR(AE79*1,0)+IFERROR(AR79*1,0)+IFERROR(BE79*1,0)+IFERROR(BR79*1,0)+IFERROR(CE79*1,0)+IFERROR(CR79*1,0)+IFERROR(DE79*1,0)+IFERROR(DR79*1,0)+IFERROR(EE79*1,0)+IFERROR(ER79*1,0)+IFERROR(FE79*1,0)</f>
        <v>0</v>
      </c>
      <c r="FP79" s="27">
        <f t="shared" si="77"/>
        <v>0</v>
      </c>
      <c r="FQ79" s="27">
        <f t="shared" si="77"/>
        <v>0</v>
      </c>
      <c r="FR79" s="27">
        <f t="shared" si="77"/>
        <v>0</v>
      </c>
      <c r="FS79" s="27">
        <f t="shared" si="77"/>
        <v>0</v>
      </c>
      <c r="FT79" s="27">
        <f t="shared" si="77"/>
        <v>0</v>
      </c>
      <c r="FU79" s="27">
        <f t="shared" si="77"/>
        <v>0</v>
      </c>
      <c r="FV79" s="27">
        <f t="shared" si="77"/>
        <v>0</v>
      </c>
      <c r="FW79" s="28"/>
      <c r="FX79" s="29">
        <f t="shared" si="3"/>
        <v>0</v>
      </c>
    </row>
    <row r="80" spans="1:180" ht="18" customHeight="1" x14ac:dyDescent="0.25">
      <c r="A80" s="3" t="str">
        <f>IF(C80&lt;&gt;"","DRG-"&amp;TEXT(76,"000"),"")</f>
        <v>DRG-076</v>
      </c>
      <c r="B80" s="19" t="s">
        <v>129</v>
      </c>
      <c r="C80" s="20" t="s">
        <v>129</v>
      </c>
      <c r="D80" s="20" t="s">
        <v>56</v>
      </c>
      <c r="E80" s="20" t="s">
        <v>138</v>
      </c>
      <c r="F80" s="20" t="s">
        <v>69</v>
      </c>
      <c r="G80" s="21"/>
      <c r="H80" s="21"/>
      <c r="I80" s="21"/>
      <c r="J80" s="21"/>
      <c r="K80" s="21"/>
      <c r="L80" s="21">
        <v>4</v>
      </c>
      <c r="M80" s="30" t="str">
        <f t="shared" si="0"/>
        <v>✘ Pending</v>
      </c>
      <c r="N80" s="30">
        <f t="shared" si="1"/>
        <v>0</v>
      </c>
      <c r="O80" s="31"/>
      <c r="P80" s="32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1"/>
      <c r="AC80" s="32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1"/>
      <c r="AP80" s="32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1"/>
      <c r="BC80" s="32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1"/>
      <c r="BP80" s="32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1"/>
      <c r="CC80" s="32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1"/>
      <c r="CP80" s="32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1"/>
      <c r="DC80" s="32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1"/>
      <c r="DP80" s="32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1"/>
      <c r="EC80" s="32"/>
      <c r="ED80" s="33"/>
      <c r="EE80" s="33"/>
      <c r="EF80" s="33"/>
      <c r="EG80" s="33"/>
      <c r="EH80" s="33"/>
      <c r="EI80" s="33"/>
      <c r="EJ80" s="33"/>
      <c r="EK80" s="33"/>
      <c r="EL80" s="33"/>
      <c r="EM80" s="33"/>
      <c r="EN80" s="33"/>
      <c r="EO80" s="31"/>
      <c r="EP80" s="32"/>
      <c r="EQ80" s="33"/>
      <c r="ER80" s="33"/>
      <c r="ES80" s="33"/>
      <c r="ET80" s="33"/>
      <c r="EU80" s="33"/>
      <c r="EV80" s="33"/>
      <c r="EW80" s="33"/>
      <c r="EX80" s="33"/>
      <c r="EY80" s="33"/>
      <c r="EZ80" s="33"/>
      <c r="FA80" s="33"/>
      <c r="FB80" s="31"/>
      <c r="FC80" s="32"/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4">
        <f t="shared" ref="FO80:FV80" si="78">IFERROR(R80*1,0)+IFERROR(AE80*1,0)+IFERROR(AR80*1,0)+IFERROR(BE80*1,0)+IFERROR(BR80*1,0)+IFERROR(CE80*1,0)+IFERROR(CR80*1,0)+IFERROR(DE80*1,0)+IFERROR(DR80*1,0)+IFERROR(EE80*1,0)+IFERROR(ER80*1,0)+IFERROR(FE80*1,0)</f>
        <v>0</v>
      </c>
      <c r="FP80" s="34">
        <f t="shared" si="78"/>
        <v>0</v>
      </c>
      <c r="FQ80" s="34">
        <f t="shared" si="78"/>
        <v>0</v>
      </c>
      <c r="FR80" s="34">
        <f t="shared" si="78"/>
        <v>0</v>
      </c>
      <c r="FS80" s="34">
        <f t="shared" si="78"/>
        <v>0</v>
      </c>
      <c r="FT80" s="34">
        <f t="shared" si="78"/>
        <v>0</v>
      </c>
      <c r="FU80" s="34">
        <f t="shared" si="78"/>
        <v>0</v>
      </c>
      <c r="FV80" s="34">
        <f t="shared" si="78"/>
        <v>0</v>
      </c>
      <c r="FW80" s="28"/>
      <c r="FX80" s="29">
        <f t="shared" si="3"/>
        <v>0</v>
      </c>
    </row>
    <row r="81" spans="1:180" ht="18" customHeight="1" x14ac:dyDescent="0.25">
      <c r="A81" s="3" t="str">
        <f>IF(C81&lt;&gt;"","DRG-"&amp;TEXT(77,"000"),"")</f>
        <v>DRG-077</v>
      </c>
      <c r="B81" s="19" t="s">
        <v>129</v>
      </c>
      <c r="C81" s="20" t="s">
        <v>129</v>
      </c>
      <c r="D81" s="20" t="s">
        <v>56</v>
      </c>
      <c r="E81" s="20" t="s">
        <v>139</v>
      </c>
      <c r="F81" s="20" t="s">
        <v>69</v>
      </c>
      <c r="G81" s="21"/>
      <c r="H81" s="21"/>
      <c r="I81" s="21"/>
      <c r="J81" s="21"/>
      <c r="K81" s="21"/>
      <c r="L81" s="21">
        <v>4</v>
      </c>
      <c r="M81" s="23" t="str">
        <f t="shared" si="0"/>
        <v>✘ Pending</v>
      </c>
      <c r="N81" s="23">
        <f t="shared" si="1"/>
        <v>0</v>
      </c>
      <c r="O81" s="25"/>
      <c r="P81" s="26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5"/>
      <c r="AC81" s="26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5"/>
      <c r="AP81" s="26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5"/>
      <c r="BC81" s="26"/>
      <c r="BD81" s="24"/>
      <c r="BE81" s="24"/>
      <c r="BF81" s="24"/>
      <c r="BG81" s="24"/>
      <c r="BH81" s="24"/>
      <c r="BI81" s="24"/>
      <c r="BJ81" s="24"/>
      <c r="BK81" s="24"/>
      <c r="BL81" s="24"/>
      <c r="BM81" s="24"/>
      <c r="BN81" s="24"/>
      <c r="BO81" s="25"/>
      <c r="BP81" s="26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5"/>
      <c r="CC81" s="26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5"/>
      <c r="CP81" s="26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5"/>
      <c r="DC81" s="26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5"/>
      <c r="DP81" s="26"/>
      <c r="DQ81" s="24"/>
      <c r="DR81" s="24"/>
      <c r="DS81" s="24"/>
      <c r="DT81" s="24"/>
      <c r="DU81" s="24"/>
      <c r="DV81" s="24"/>
      <c r="DW81" s="24"/>
      <c r="DX81" s="24"/>
      <c r="DY81" s="24"/>
      <c r="DZ81" s="24"/>
      <c r="EA81" s="24"/>
      <c r="EB81" s="25"/>
      <c r="EC81" s="26"/>
      <c r="ED81" s="24"/>
      <c r="EE81" s="24"/>
      <c r="EF81" s="24"/>
      <c r="EG81" s="24"/>
      <c r="EH81" s="24"/>
      <c r="EI81" s="24"/>
      <c r="EJ81" s="24"/>
      <c r="EK81" s="24"/>
      <c r="EL81" s="24"/>
      <c r="EM81" s="24"/>
      <c r="EN81" s="24"/>
      <c r="EO81" s="25"/>
      <c r="EP81" s="26"/>
      <c r="EQ81" s="24"/>
      <c r="ER81" s="24"/>
      <c r="ES81" s="24"/>
      <c r="ET81" s="24"/>
      <c r="EU81" s="24"/>
      <c r="EV81" s="24"/>
      <c r="EW81" s="24"/>
      <c r="EX81" s="24"/>
      <c r="EY81" s="24"/>
      <c r="EZ81" s="24"/>
      <c r="FA81" s="24"/>
      <c r="FB81" s="25"/>
      <c r="FC81" s="26"/>
      <c r="FD81" s="24"/>
      <c r="FE81" s="24"/>
      <c r="FF81" s="24"/>
      <c r="FG81" s="24"/>
      <c r="FH81" s="24"/>
      <c r="FI81" s="24"/>
      <c r="FJ81" s="24"/>
      <c r="FK81" s="24"/>
      <c r="FL81" s="24"/>
      <c r="FM81" s="24"/>
      <c r="FN81" s="24"/>
      <c r="FO81" s="27">
        <f t="shared" ref="FO81:FV81" si="79">IFERROR(R81*1,0)+IFERROR(AE81*1,0)+IFERROR(AR81*1,0)+IFERROR(BE81*1,0)+IFERROR(BR81*1,0)+IFERROR(CE81*1,0)+IFERROR(CR81*1,0)+IFERROR(DE81*1,0)+IFERROR(DR81*1,0)+IFERROR(EE81*1,0)+IFERROR(ER81*1,0)+IFERROR(FE81*1,0)</f>
        <v>0</v>
      </c>
      <c r="FP81" s="27">
        <f t="shared" si="79"/>
        <v>0</v>
      </c>
      <c r="FQ81" s="27">
        <f t="shared" si="79"/>
        <v>0</v>
      </c>
      <c r="FR81" s="27">
        <f t="shared" si="79"/>
        <v>0</v>
      </c>
      <c r="FS81" s="27">
        <f t="shared" si="79"/>
        <v>0</v>
      </c>
      <c r="FT81" s="27">
        <f t="shared" si="79"/>
        <v>0</v>
      </c>
      <c r="FU81" s="27">
        <f t="shared" si="79"/>
        <v>0</v>
      </c>
      <c r="FV81" s="27">
        <f t="shared" si="79"/>
        <v>0</v>
      </c>
      <c r="FW81" s="28"/>
      <c r="FX81" s="29">
        <f t="shared" si="3"/>
        <v>0</v>
      </c>
    </row>
    <row r="82" spans="1:180" ht="18" customHeight="1" x14ac:dyDescent="0.25">
      <c r="A82" s="3"/>
      <c r="B82" s="19"/>
      <c r="C82" s="20"/>
      <c r="D82" s="20"/>
      <c r="E82" s="20"/>
      <c r="F82" s="20"/>
      <c r="G82" s="21"/>
      <c r="H82" s="21"/>
      <c r="I82" s="21"/>
      <c r="J82" s="21"/>
      <c r="K82" s="21"/>
      <c r="L82" s="21"/>
      <c r="M82" s="30"/>
      <c r="N82" s="30"/>
      <c r="O82" s="31"/>
      <c r="P82" s="32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1"/>
      <c r="AC82" s="32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1"/>
      <c r="AP82" s="32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1"/>
      <c r="BC82" s="32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1"/>
      <c r="BP82" s="32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1"/>
      <c r="CC82" s="32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1"/>
      <c r="CP82" s="32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1"/>
      <c r="DC82" s="32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1"/>
      <c r="DP82" s="32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1"/>
      <c r="EC82" s="32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1"/>
      <c r="EP82" s="32"/>
      <c r="EQ82" s="33"/>
      <c r="ER82" s="33"/>
      <c r="ES82" s="33"/>
      <c r="ET82" s="33"/>
      <c r="EU82" s="33"/>
      <c r="EV82" s="33"/>
      <c r="EW82" s="33"/>
      <c r="EX82" s="33"/>
      <c r="EY82" s="33"/>
      <c r="EZ82" s="33"/>
      <c r="FA82" s="33"/>
      <c r="FB82" s="31"/>
      <c r="FC82" s="32"/>
      <c r="FD82" s="33"/>
      <c r="FE82" s="33"/>
      <c r="FF82" s="33"/>
      <c r="FG82" s="33"/>
      <c r="FH82" s="33"/>
      <c r="FI82" s="33"/>
      <c r="FJ82" s="33"/>
      <c r="FK82" s="33"/>
      <c r="FL82" s="33"/>
      <c r="FM82" s="33"/>
      <c r="FN82" s="33"/>
      <c r="FO82" s="34"/>
      <c r="FP82" s="34"/>
      <c r="FQ82" s="34"/>
      <c r="FR82" s="34"/>
      <c r="FS82" s="34"/>
      <c r="FT82" s="34"/>
      <c r="FU82" s="34"/>
      <c r="FV82" s="34"/>
      <c r="FW82" s="28"/>
      <c r="FX82" s="29"/>
    </row>
    <row r="83" spans="1:180" ht="18" customHeight="1" x14ac:dyDescent="0.25">
      <c r="A83" s="3" t="str">
        <f>IF(C83&lt;&gt;"","DRG-"&amp;TEXT(79,"000"),"")</f>
        <v>DRG-079</v>
      </c>
      <c r="B83" s="19" t="s">
        <v>140</v>
      </c>
      <c r="C83" s="20" t="s">
        <v>140</v>
      </c>
      <c r="D83" s="20" t="s">
        <v>56</v>
      </c>
      <c r="E83" s="20" t="s">
        <v>141</v>
      </c>
      <c r="F83" s="20" t="s">
        <v>69</v>
      </c>
      <c r="G83" s="21"/>
      <c r="H83" s="21"/>
      <c r="I83" s="21"/>
      <c r="J83" s="21"/>
      <c r="K83" s="21"/>
      <c r="L83" s="21">
        <v>4</v>
      </c>
      <c r="M83" s="23" t="str">
        <f t="shared" si="0"/>
        <v>✘ Pending</v>
      </c>
      <c r="N83" s="23">
        <f t="shared" si="1"/>
        <v>0</v>
      </c>
      <c r="O83" s="25"/>
      <c r="P83" s="26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5"/>
      <c r="AC83" s="26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5"/>
      <c r="AP83" s="26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5"/>
      <c r="BC83" s="26"/>
      <c r="BD83" s="24"/>
      <c r="BE83" s="24"/>
      <c r="BF83" s="24"/>
      <c r="BG83" s="24"/>
      <c r="BH83" s="24"/>
      <c r="BI83" s="24"/>
      <c r="BJ83" s="24"/>
      <c r="BK83" s="24"/>
      <c r="BL83" s="24"/>
      <c r="BM83" s="24"/>
      <c r="BN83" s="24"/>
      <c r="BO83" s="25"/>
      <c r="BP83" s="26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5"/>
      <c r="CC83" s="26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5"/>
      <c r="CP83" s="26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5"/>
      <c r="DC83" s="26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5"/>
      <c r="DP83" s="26"/>
      <c r="DQ83" s="24"/>
      <c r="DR83" s="24"/>
      <c r="DS83" s="24"/>
      <c r="DT83" s="24"/>
      <c r="DU83" s="24"/>
      <c r="DV83" s="24"/>
      <c r="DW83" s="24"/>
      <c r="DX83" s="24"/>
      <c r="DY83" s="24"/>
      <c r="DZ83" s="24"/>
      <c r="EA83" s="24"/>
      <c r="EB83" s="25"/>
      <c r="EC83" s="26"/>
      <c r="ED83" s="24"/>
      <c r="EE83" s="24"/>
      <c r="EF83" s="24"/>
      <c r="EG83" s="24"/>
      <c r="EH83" s="24"/>
      <c r="EI83" s="24"/>
      <c r="EJ83" s="24"/>
      <c r="EK83" s="24"/>
      <c r="EL83" s="24"/>
      <c r="EM83" s="24"/>
      <c r="EN83" s="24"/>
      <c r="EO83" s="25"/>
      <c r="EP83" s="26"/>
      <c r="EQ83" s="24"/>
      <c r="ER83" s="24"/>
      <c r="ES83" s="24"/>
      <c r="ET83" s="24"/>
      <c r="EU83" s="24"/>
      <c r="EV83" s="24"/>
      <c r="EW83" s="24"/>
      <c r="EX83" s="24"/>
      <c r="EY83" s="24"/>
      <c r="EZ83" s="24"/>
      <c r="FA83" s="24"/>
      <c r="FB83" s="25"/>
      <c r="FC83" s="26"/>
      <c r="FD83" s="24"/>
      <c r="FE83" s="24"/>
      <c r="FF83" s="24"/>
      <c r="FG83" s="24"/>
      <c r="FH83" s="24"/>
      <c r="FI83" s="24"/>
      <c r="FJ83" s="24"/>
      <c r="FK83" s="24"/>
      <c r="FL83" s="24"/>
      <c r="FM83" s="24"/>
      <c r="FN83" s="24"/>
      <c r="FO83" s="27">
        <f t="shared" ref="FO83:FV83" si="80">IFERROR(R83*1,0)+IFERROR(AE83*1,0)+IFERROR(AR83*1,0)+IFERROR(BE83*1,0)+IFERROR(BR83*1,0)+IFERROR(CE83*1,0)+IFERROR(CR83*1,0)+IFERROR(DE83*1,0)+IFERROR(DR83*1,0)+IFERROR(EE83*1,0)+IFERROR(ER83*1,0)+IFERROR(FE83*1,0)</f>
        <v>0</v>
      </c>
      <c r="FP83" s="27">
        <f t="shared" si="80"/>
        <v>0</v>
      </c>
      <c r="FQ83" s="27">
        <f t="shared" si="80"/>
        <v>0</v>
      </c>
      <c r="FR83" s="27">
        <f t="shared" si="80"/>
        <v>0</v>
      </c>
      <c r="FS83" s="27">
        <f t="shared" si="80"/>
        <v>0</v>
      </c>
      <c r="FT83" s="27">
        <f t="shared" si="80"/>
        <v>0</v>
      </c>
      <c r="FU83" s="27">
        <f t="shared" si="80"/>
        <v>0</v>
      </c>
      <c r="FV83" s="27">
        <f t="shared" si="80"/>
        <v>0</v>
      </c>
      <c r="FW83" s="28"/>
      <c r="FX83" s="29">
        <f t="shared" si="3"/>
        <v>0</v>
      </c>
    </row>
    <row r="84" spans="1:180" ht="18" customHeight="1" x14ac:dyDescent="0.25">
      <c r="A84" s="3" t="str">
        <f>IF(C84&lt;&gt;"","DRG-"&amp;TEXT(80,"000"),"")</f>
        <v>DRG-080</v>
      </c>
      <c r="B84" s="19" t="s">
        <v>140</v>
      </c>
      <c r="C84" s="20" t="s">
        <v>140</v>
      </c>
      <c r="D84" s="20" t="s">
        <v>56</v>
      </c>
      <c r="E84" s="20" t="s">
        <v>142</v>
      </c>
      <c r="F84" s="20" t="s">
        <v>69</v>
      </c>
      <c r="G84" s="21"/>
      <c r="H84" s="21"/>
      <c r="I84" s="21"/>
      <c r="J84" s="21"/>
      <c r="K84" s="21"/>
      <c r="L84" s="21">
        <v>4</v>
      </c>
      <c r="M84" s="30" t="str">
        <f t="shared" si="0"/>
        <v>✘ Pending</v>
      </c>
      <c r="N84" s="30">
        <f t="shared" si="1"/>
        <v>0</v>
      </c>
      <c r="O84" s="31"/>
      <c r="P84" s="32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1"/>
      <c r="AC84" s="32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1"/>
      <c r="AP84" s="32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1"/>
      <c r="BC84" s="32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1"/>
      <c r="BP84" s="32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1"/>
      <c r="CC84" s="32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1"/>
      <c r="CP84" s="32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1"/>
      <c r="DC84" s="32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1"/>
      <c r="DP84" s="32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1"/>
      <c r="EC84" s="32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1"/>
      <c r="EP84" s="32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1"/>
      <c r="FC84" s="32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4">
        <f t="shared" ref="FO84:FV84" si="81">IFERROR(R84*1,0)+IFERROR(AE84*1,0)+IFERROR(AR84*1,0)+IFERROR(BE84*1,0)+IFERROR(BR84*1,0)+IFERROR(CE84*1,0)+IFERROR(CR84*1,0)+IFERROR(DE84*1,0)+IFERROR(DR84*1,0)+IFERROR(EE84*1,0)+IFERROR(ER84*1,0)+IFERROR(FE84*1,0)</f>
        <v>0</v>
      </c>
      <c r="FP84" s="34">
        <f t="shared" si="81"/>
        <v>0</v>
      </c>
      <c r="FQ84" s="34">
        <f t="shared" si="81"/>
        <v>0</v>
      </c>
      <c r="FR84" s="34">
        <f t="shared" si="81"/>
        <v>0</v>
      </c>
      <c r="FS84" s="34">
        <f t="shared" si="81"/>
        <v>0</v>
      </c>
      <c r="FT84" s="34">
        <f t="shared" si="81"/>
        <v>0</v>
      </c>
      <c r="FU84" s="34">
        <f t="shared" si="81"/>
        <v>0</v>
      </c>
      <c r="FV84" s="34">
        <f t="shared" si="81"/>
        <v>0</v>
      </c>
      <c r="FW84" s="28"/>
      <c r="FX84" s="29">
        <f t="shared" si="3"/>
        <v>0</v>
      </c>
    </row>
    <row r="85" spans="1:180" ht="18" customHeight="1" x14ac:dyDescent="0.25">
      <c r="A85" s="3" t="str">
        <f>IF(C85&lt;&gt;"","DRG-"&amp;TEXT(81,"000"),"")</f>
        <v>DRG-081</v>
      </c>
      <c r="B85" s="19" t="s">
        <v>140</v>
      </c>
      <c r="C85" s="20" t="s">
        <v>140</v>
      </c>
      <c r="D85" s="20" t="s">
        <v>56</v>
      </c>
      <c r="E85" s="20" t="s">
        <v>99</v>
      </c>
      <c r="F85" s="20" t="s">
        <v>69</v>
      </c>
      <c r="G85" s="21"/>
      <c r="H85" s="21"/>
      <c r="I85" s="21"/>
      <c r="J85" s="21"/>
      <c r="K85" s="21"/>
      <c r="L85" s="21">
        <v>4</v>
      </c>
      <c r="M85" s="23" t="str">
        <f t="shared" si="0"/>
        <v>✘ Pending</v>
      </c>
      <c r="N85" s="23">
        <f t="shared" si="1"/>
        <v>0</v>
      </c>
      <c r="O85" s="25"/>
      <c r="P85" s="26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5"/>
      <c r="AC85" s="26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5"/>
      <c r="AP85" s="26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5"/>
      <c r="BC85" s="26"/>
      <c r="BD85" s="24"/>
      <c r="BE85" s="24"/>
      <c r="BF85" s="24"/>
      <c r="BG85" s="24"/>
      <c r="BH85" s="24"/>
      <c r="BI85" s="24"/>
      <c r="BJ85" s="24"/>
      <c r="BK85" s="24"/>
      <c r="BL85" s="24"/>
      <c r="BM85" s="24"/>
      <c r="BN85" s="24"/>
      <c r="BO85" s="25"/>
      <c r="BP85" s="26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5"/>
      <c r="CC85" s="26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5"/>
      <c r="CP85" s="26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5"/>
      <c r="DC85" s="26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5"/>
      <c r="DP85" s="26"/>
      <c r="DQ85" s="24"/>
      <c r="DR85" s="24"/>
      <c r="DS85" s="24"/>
      <c r="DT85" s="24"/>
      <c r="DU85" s="24"/>
      <c r="DV85" s="24"/>
      <c r="DW85" s="24"/>
      <c r="DX85" s="24"/>
      <c r="DY85" s="24"/>
      <c r="DZ85" s="24"/>
      <c r="EA85" s="24"/>
      <c r="EB85" s="25"/>
      <c r="EC85" s="26"/>
      <c r="ED85" s="24"/>
      <c r="EE85" s="24"/>
      <c r="EF85" s="24"/>
      <c r="EG85" s="24"/>
      <c r="EH85" s="24"/>
      <c r="EI85" s="24"/>
      <c r="EJ85" s="24"/>
      <c r="EK85" s="24"/>
      <c r="EL85" s="24"/>
      <c r="EM85" s="24"/>
      <c r="EN85" s="24"/>
      <c r="EO85" s="25"/>
      <c r="EP85" s="26"/>
      <c r="EQ85" s="24"/>
      <c r="ER85" s="24"/>
      <c r="ES85" s="24"/>
      <c r="ET85" s="24"/>
      <c r="EU85" s="24"/>
      <c r="EV85" s="24"/>
      <c r="EW85" s="24"/>
      <c r="EX85" s="24"/>
      <c r="EY85" s="24"/>
      <c r="EZ85" s="24"/>
      <c r="FA85" s="24"/>
      <c r="FB85" s="25"/>
      <c r="FC85" s="26"/>
      <c r="FD85" s="24"/>
      <c r="FE85" s="24"/>
      <c r="FF85" s="24"/>
      <c r="FG85" s="24"/>
      <c r="FH85" s="24"/>
      <c r="FI85" s="24"/>
      <c r="FJ85" s="24"/>
      <c r="FK85" s="24"/>
      <c r="FL85" s="24"/>
      <c r="FM85" s="24"/>
      <c r="FN85" s="24"/>
      <c r="FO85" s="27">
        <f t="shared" ref="FO85:FV85" si="82">IFERROR(R85*1,0)+IFERROR(AE85*1,0)+IFERROR(AR85*1,0)+IFERROR(BE85*1,0)+IFERROR(BR85*1,0)+IFERROR(CE85*1,0)+IFERROR(CR85*1,0)+IFERROR(DE85*1,0)+IFERROR(DR85*1,0)+IFERROR(EE85*1,0)+IFERROR(ER85*1,0)+IFERROR(FE85*1,0)</f>
        <v>0</v>
      </c>
      <c r="FP85" s="27">
        <f t="shared" si="82"/>
        <v>0</v>
      </c>
      <c r="FQ85" s="27">
        <f t="shared" si="82"/>
        <v>0</v>
      </c>
      <c r="FR85" s="27">
        <f t="shared" si="82"/>
        <v>0</v>
      </c>
      <c r="FS85" s="27">
        <f t="shared" si="82"/>
        <v>0</v>
      </c>
      <c r="FT85" s="27">
        <f t="shared" si="82"/>
        <v>0</v>
      </c>
      <c r="FU85" s="27">
        <f t="shared" si="82"/>
        <v>0</v>
      </c>
      <c r="FV85" s="27">
        <f t="shared" si="82"/>
        <v>0</v>
      </c>
      <c r="FW85" s="28"/>
      <c r="FX85" s="29">
        <f t="shared" si="3"/>
        <v>0</v>
      </c>
    </row>
    <row r="86" spans="1:180" ht="18" customHeight="1" x14ac:dyDescent="0.25">
      <c r="A86" s="3" t="str">
        <f>IF(C86&lt;&gt;"","DRG-"&amp;TEXT(82,"000"),"")</f>
        <v>DRG-082</v>
      </c>
      <c r="B86" s="19" t="s">
        <v>140</v>
      </c>
      <c r="C86" s="20" t="s">
        <v>140</v>
      </c>
      <c r="D86" s="20" t="s">
        <v>56</v>
      </c>
      <c r="E86" s="20" t="s">
        <v>126</v>
      </c>
      <c r="F86" s="20" t="s">
        <v>69</v>
      </c>
      <c r="G86" s="21"/>
      <c r="H86" s="21"/>
      <c r="I86" s="21"/>
      <c r="J86" s="21"/>
      <c r="K86" s="21"/>
      <c r="L86" s="21">
        <v>4</v>
      </c>
      <c r="M86" s="30" t="str">
        <f t="shared" si="0"/>
        <v>✘ Pending</v>
      </c>
      <c r="N86" s="30">
        <f t="shared" si="1"/>
        <v>0</v>
      </c>
      <c r="O86" s="31"/>
      <c r="P86" s="32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1"/>
      <c r="AC86" s="32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1"/>
      <c r="AP86" s="32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1"/>
      <c r="BC86" s="32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1"/>
      <c r="BP86" s="32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1"/>
      <c r="CC86" s="32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1"/>
      <c r="CP86" s="32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1"/>
      <c r="DC86" s="32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1"/>
      <c r="DP86" s="32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1"/>
      <c r="EC86" s="32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1"/>
      <c r="EP86" s="32"/>
      <c r="EQ86" s="33"/>
      <c r="ER86" s="33"/>
      <c r="ES86" s="33"/>
      <c r="ET86" s="33"/>
      <c r="EU86" s="33"/>
      <c r="EV86" s="33"/>
      <c r="EW86" s="33"/>
      <c r="EX86" s="33"/>
      <c r="EY86" s="33"/>
      <c r="EZ86" s="33"/>
      <c r="FA86" s="33"/>
      <c r="FB86" s="31"/>
      <c r="FC86" s="32"/>
      <c r="FD86" s="33"/>
      <c r="FE86" s="33"/>
      <c r="FF86" s="33"/>
      <c r="FG86" s="33"/>
      <c r="FH86" s="33"/>
      <c r="FI86" s="33"/>
      <c r="FJ86" s="33"/>
      <c r="FK86" s="33"/>
      <c r="FL86" s="33"/>
      <c r="FM86" s="33"/>
      <c r="FN86" s="33"/>
      <c r="FO86" s="34">
        <f t="shared" ref="FO86:FV86" si="83">IFERROR(R86*1,0)+IFERROR(AE86*1,0)+IFERROR(AR86*1,0)+IFERROR(BE86*1,0)+IFERROR(BR86*1,0)+IFERROR(CE86*1,0)+IFERROR(CR86*1,0)+IFERROR(DE86*1,0)+IFERROR(DR86*1,0)+IFERROR(EE86*1,0)+IFERROR(ER86*1,0)+IFERROR(FE86*1,0)</f>
        <v>0</v>
      </c>
      <c r="FP86" s="34">
        <f t="shared" si="83"/>
        <v>0</v>
      </c>
      <c r="FQ86" s="34">
        <f t="shared" si="83"/>
        <v>0</v>
      </c>
      <c r="FR86" s="34">
        <f t="shared" si="83"/>
        <v>0</v>
      </c>
      <c r="FS86" s="34">
        <f t="shared" si="83"/>
        <v>0</v>
      </c>
      <c r="FT86" s="34">
        <f t="shared" si="83"/>
        <v>0</v>
      </c>
      <c r="FU86" s="34">
        <f t="shared" si="83"/>
        <v>0</v>
      </c>
      <c r="FV86" s="34">
        <f t="shared" si="83"/>
        <v>0</v>
      </c>
      <c r="FW86" s="28"/>
      <c r="FX86" s="29">
        <f t="shared" si="3"/>
        <v>0</v>
      </c>
    </row>
    <row r="87" spans="1:180" ht="18" customHeight="1" x14ac:dyDescent="0.25">
      <c r="A87" s="3" t="str">
        <f>IF(C87&lt;&gt;"","DRG-"&amp;TEXT(83,"000"),"")</f>
        <v>DRG-083</v>
      </c>
      <c r="B87" s="19" t="s">
        <v>140</v>
      </c>
      <c r="C87" s="20" t="s">
        <v>140</v>
      </c>
      <c r="D87" s="20" t="s">
        <v>56</v>
      </c>
      <c r="E87" s="20" t="s">
        <v>143</v>
      </c>
      <c r="F87" s="20" t="s">
        <v>69</v>
      </c>
      <c r="G87" s="21"/>
      <c r="H87" s="21"/>
      <c r="I87" s="21"/>
      <c r="J87" s="21"/>
      <c r="K87" s="21"/>
      <c r="L87" s="21">
        <v>4</v>
      </c>
      <c r="M87" s="23" t="str">
        <f t="shared" si="0"/>
        <v>✘ Pending</v>
      </c>
      <c r="N87" s="23">
        <f t="shared" si="1"/>
        <v>0</v>
      </c>
      <c r="O87" s="25"/>
      <c r="P87" s="26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5"/>
      <c r="AC87" s="26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5"/>
      <c r="AP87" s="26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5"/>
      <c r="BC87" s="26"/>
      <c r="BD87" s="24"/>
      <c r="BE87" s="24"/>
      <c r="BF87" s="24"/>
      <c r="BG87" s="24"/>
      <c r="BH87" s="24"/>
      <c r="BI87" s="24"/>
      <c r="BJ87" s="24"/>
      <c r="BK87" s="24"/>
      <c r="BL87" s="24"/>
      <c r="BM87" s="24"/>
      <c r="BN87" s="24"/>
      <c r="BO87" s="25"/>
      <c r="BP87" s="26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5"/>
      <c r="CC87" s="26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5"/>
      <c r="CP87" s="26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5"/>
      <c r="DC87" s="26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5"/>
      <c r="DP87" s="26"/>
      <c r="DQ87" s="24"/>
      <c r="DR87" s="24"/>
      <c r="DS87" s="24"/>
      <c r="DT87" s="24"/>
      <c r="DU87" s="24"/>
      <c r="DV87" s="24"/>
      <c r="DW87" s="24"/>
      <c r="DX87" s="24"/>
      <c r="DY87" s="24"/>
      <c r="DZ87" s="24"/>
      <c r="EA87" s="24"/>
      <c r="EB87" s="25"/>
      <c r="EC87" s="26"/>
      <c r="ED87" s="24"/>
      <c r="EE87" s="24"/>
      <c r="EF87" s="24"/>
      <c r="EG87" s="24"/>
      <c r="EH87" s="24"/>
      <c r="EI87" s="24"/>
      <c r="EJ87" s="24"/>
      <c r="EK87" s="24"/>
      <c r="EL87" s="24"/>
      <c r="EM87" s="24"/>
      <c r="EN87" s="24"/>
      <c r="EO87" s="25"/>
      <c r="EP87" s="26"/>
      <c r="EQ87" s="24"/>
      <c r="ER87" s="24"/>
      <c r="ES87" s="24"/>
      <c r="ET87" s="24"/>
      <c r="EU87" s="24"/>
      <c r="EV87" s="24"/>
      <c r="EW87" s="24"/>
      <c r="EX87" s="24"/>
      <c r="EY87" s="24"/>
      <c r="EZ87" s="24"/>
      <c r="FA87" s="24"/>
      <c r="FB87" s="25"/>
      <c r="FC87" s="26"/>
      <c r="FD87" s="24"/>
      <c r="FE87" s="24"/>
      <c r="FF87" s="24"/>
      <c r="FG87" s="24"/>
      <c r="FH87" s="24"/>
      <c r="FI87" s="24"/>
      <c r="FJ87" s="24"/>
      <c r="FK87" s="24"/>
      <c r="FL87" s="24"/>
      <c r="FM87" s="24"/>
      <c r="FN87" s="24"/>
      <c r="FO87" s="27">
        <f t="shared" ref="FO87:FV87" si="84">IFERROR(R87*1,0)+IFERROR(AE87*1,0)+IFERROR(AR87*1,0)+IFERROR(BE87*1,0)+IFERROR(BR87*1,0)+IFERROR(CE87*1,0)+IFERROR(CR87*1,0)+IFERROR(DE87*1,0)+IFERROR(DR87*1,0)+IFERROR(EE87*1,0)+IFERROR(ER87*1,0)+IFERROR(FE87*1,0)</f>
        <v>0</v>
      </c>
      <c r="FP87" s="27">
        <f t="shared" si="84"/>
        <v>0</v>
      </c>
      <c r="FQ87" s="27">
        <f t="shared" si="84"/>
        <v>0</v>
      </c>
      <c r="FR87" s="27">
        <f t="shared" si="84"/>
        <v>0</v>
      </c>
      <c r="FS87" s="27">
        <f t="shared" si="84"/>
        <v>0</v>
      </c>
      <c r="FT87" s="27">
        <f t="shared" si="84"/>
        <v>0</v>
      </c>
      <c r="FU87" s="27">
        <f t="shared" si="84"/>
        <v>0</v>
      </c>
      <c r="FV87" s="27">
        <f t="shared" si="84"/>
        <v>0</v>
      </c>
      <c r="FW87" s="28"/>
      <c r="FX87" s="29">
        <f t="shared" si="3"/>
        <v>0</v>
      </c>
    </row>
    <row r="88" spans="1:180" ht="18" customHeight="1" x14ac:dyDescent="0.25">
      <c r="A88" s="3"/>
      <c r="B88" s="19"/>
      <c r="C88" s="20"/>
      <c r="D88" s="20"/>
      <c r="E88" s="20"/>
      <c r="F88" s="20"/>
      <c r="G88" s="21"/>
      <c r="H88" s="21"/>
      <c r="I88" s="21"/>
      <c r="J88" s="21"/>
      <c r="K88" s="21"/>
      <c r="L88" s="21"/>
      <c r="M88" s="30"/>
      <c r="N88" s="30"/>
      <c r="O88" s="31"/>
      <c r="P88" s="32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1"/>
      <c r="AC88" s="32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1"/>
      <c r="AP88" s="32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1"/>
      <c r="BC88" s="32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1"/>
      <c r="BP88" s="32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1"/>
      <c r="CC88" s="32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1"/>
      <c r="CP88" s="32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1"/>
      <c r="DC88" s="32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1"/>
      <c r="DP88" s="32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1"/>
      <c r="EC88" s="32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1"/>
      <c r="EP88" s="32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1"/>
      <c r="FC88" s="32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4"/>
      <c r="FP88" s="34"/>
      <c r="FQ88" s="34"/>
      <c r="FR88" s="34"/>
      <c r="FS88" s="34"/>
      <c r="FT88" s="34"/>
      <c r="FU88" s="34"/>
      <c r="FV88" s="34"/>
      <c r="FW88" s="28"/>
      <c r="FX88" s="29"/>
    </row>
    <row r="89" spans="1:180" ht="18" customHeight="1" x14ac:dyDescent="0.25">
      <c r="A89" s="3" t="str">
        <f>IF(C89&lt;&gt;"","DRG-"&amp;TEXT(85,"000"),"")</f>
        <v>DRG-085</v>
      </c>
      <c r="B89" s="19" t="s">
        <v>140</v>
      </c>
      <c r="C89" s="20" t="s">
        <v>140</v>
      </c>
      <c r="D89" s="20" t="s">
        <v>56</v>
      </c>
      <c r="E89" s="20" t="s">
        <v>144</v>
      </c>
      <c r="F89" s="20" t="s">
        <v>69</v>
      </c>
      <c r="G89" s="21"/>
      <c r="H89" s="21"/>
      <c r="I89" s="21"/>
      <c r="J89" s="21"/>
      <c r="K89" s="21"/>
      <c r="L89" s="21">
        <v>4</v>
      </c>
      <c r="M89" s="23" t="str">
        <f t="shared" si="0"/>
        <v>✘ Pending</v>
      </c>
      <c r="N89" s="23">
        <f t="shared" si="1"/>
        <v>0</v>
      </c>
      <c r="O89" s="25"/>
      <c r="P89" s="26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5"/>
      <c r="AC89" s="26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5"/>
      <c r="AP89" s="26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5"/>
      <c r="BC89" s="26"/>
      <c r="BD89" s="24"/>
      <c r="BE89" s="24"/>
      <c r="BF89" s="24"/>
      <c r="BG89" s="24"/>
      <c r="BH89" s="24"/>
      <c r="BI89" s="24"/>
      <c r="BJ89" s="24"/>
      <c r="BK89" s="24"/>
      <c r="BL89" s="24"/>
      <c r="BM89" s="24"/>
      <c r="BN89" s="24"/>
      <c r="BO89" s="25"/>
      <c r="BP89" s="26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5"/>
      <c r="CC89" s="26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5"/>
      <c r="CP89" s="26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5"/>
      <c r="DC89" s="26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5"/>
      <c r="DP89" s="26"/>
      <c r="DQ89" s="24"/>
      <c r="DR89" s="24"/>
      <c r="DS89" s="24"/>
      <c r="DT89" s="24"/>
      <c r="DU89" s="24"/>
      <c r="DV89" s="24"/>
      <c r="DW89" s="24"/>
      <c r="DX89" s="24"/>
      <c r="DY89" s="24"/>
      <c r="DZ89" s="24"/>
      <c r="EA89" s="24"/>
      <c r="EB89" s="25"/>
      <c r="EC89" s="26"/>
      <c r="ED89" s="24"/>
      <c r="EE89" s="24"/>
      <c r="EF89" s="24"/>
      <c r="EG89" s="24"/>
      <c r="EH89" s="24"/>
      <c r="EI89" s="24"/>
      <c r="EJ89" s="24"/>
      <c r="EK89" s="24"/>
      <c r="EL89" s="24"/>
      <c r="EM89" s="24"/>
      <c r="EN89" s="24"/>
      <c r="EO89" s="25"/>
      <c r="EP89" s="26"/>
      <c r="EQ89" s="24"/>
      <c r="ER89" s="24"/>
      <c r="ES89" s="24"/>
      <c r="ET89" s="24"/>
      <c r="EU89" s="24"/>
      <c r="EV89" s="24"/>
      <c r="EW89" s="24"/>
      <c r="EX89" s="24"/>
      <c r="EY89" s="24"/>
      <c r="EZ89" s="24"/>
      <c r="FA89" s="24"/>
      <c r="FB89" s="25"/>
      <c r="FC89" s="26"/>
      <c r="FD89" s="24"/>
      <c r="FE89" s="24"/>
      <c r="FF89" s="24"/>
      <c r="FG89" s="24"/>
      <c r="FH89" s="24"/>
      <c r="FI89" s="24"/>
      <c r="FJ89" s="24"/>
      <c r="FK89" s="24"/>
      <c r="FL89" s="24"/>
      <c r="FM89" s="24"/>
      <c r="FN89" s="24"/>
      <c r="FO89" s="27">
        <f t="shared" ref="FO89:FV89" si="85">IFERROR(R89*1,0)+IFERROR(AE89*1,0)+IFERROR(AR89*1,0)+IFERROR(BE89*1,0)+IFERROR(BR89*1,0)+IFERROR(CE89*1,0)+IFERROR(CR89*1,0)+IFERROR(DE89*1,0)+IFERROR(DR89*1,0)+IFERROR(EE89*1,0)+IFERROR(ER89*1,0)+IFERROR(FE89*1,0)</f>
        <v>0</v>
      </c>
      <c r="FP89" s="27">
        <f t="shared" si="85"/>
        <v>0</v>
      </c>
      <c r="FQ89" s="27">
        <f t="shared" si="85"/>
        <v>0</v>
      </c>
      <c r="FR89" s="27">
        <f t="shared" si="85"/>
        <v>0</v>
      </c>
      <c r="FS89" s="27">
        <f t="shared" si="85"/>
        <v>0</v>
      </c>
      <c r="FT89" s="27">
        <f t="shared" si="85"/>
        <v>0</v>
      </c>
      <c r="FU89" s="27">
        <f t="shared" si="85"/>
        <v>0</v>
      </c>
      <c r="FV89" s="27">
        <f t="shared" si="85"/>
        <v>0</v>
      </c>
      <c r="FW89" s="28"/>
      <c r="FX89" s="29">
        <f t="shared" si="3"/>
        <v>0</v>
      </c>
    </row>
    <row r="90" spans="1:180" ht="18" customHeight="1" x14ac:dyDescent="0.25">
      <c r="A90" s="3" t="str">
        <f>IF(C90&lt;&gt;"","DRG-"&amp;TEXT(86,"000"),"")</f>
        <v>DRG-086</v>
      </c>
      <c r="B90" s="19" t="s">
        <v>140</v>
      </c>
      <c r="C90" s="20" t="s">
        <v>140</v>
      </c>
      <c r="D90" s="20" t="s">
        <v>56</v>
      </c>
      <c r="E90" s="20" t="s">
        <v>145</v>
      </c>
      <c r="F90" s="20" t="s">
        <v>58</v>
      </c>
      <c r="G90" s="21"/>
      <c r="H90" s="21"/>
      <c r="I90" s="21"/>
      <c r="J90" s="21"/>
      <c r="K90" s="21"/>
      <c r="L90" s="21">
        <v>4</v>
      </c>
      <c r="M90" s="30" t="str">
        <f t="shared" si="0"/>
        <v>✘ Pending</v>
      </c>
      <c r="N90" s="30">
        <f t="shared" si="1"/>
        <v>0</v>
      </c>
      <c r="O90" s="31"/>
      <c r="P90" s="32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1"/>
      <c r="AC90" s="32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1"/>
      <c r="AP90" s="32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1"/>
      <c r="BC90" s="32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1"/>
      <c r="BP90" s="32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1"/>
      <c r="CC90" s="32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1"/>
      <c r="CP90" s="32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1"/>
      <c r="DC90" s="32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1"/>
      <c r="DP90" s="32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1"/>
      <c r="EC90" s="32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1"/>
      <c r="EP90" s="32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1"/>
      <c r="FC90" s="32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4">
        <f t="shared" ref="FO90:FV90" si="86">IFERROR(R90*1,0)+IFERROR(AE90*1,0)+IFERROR(AR90*1,0)+IFERROR(BE90*1,0)+IFERROR(BR90*1,0)+IFERROR(CE90*1,0)+IFERROR(CR90*1,0)+IFERROR(DE90*1,0)+IFERROR(DR90*1,0)+IFERROR(EE90*1,0)+IFERROR(ER90*1,0)+IFERROR(FE90*1,0)</f>
        <v>0</v>
      </c>
      <c r="FP90" s="34">
        <f t="shared" si="86"/>
        <v>0</v>
      </c>
      <c r="FQ90" s="34">
        <f t="shared" si="86"/>
        <v>0</v>
      </c>
      <c r="FR90" s="34">
        <f t="shared" si="86"/>
        <v>0</v>
      </c>
      <c r="FS90" s="34">
        <f t="shared" si="86"/>
        <v>0</v>
      </c>
      <c r="FT90" s="34">
        <f t="shared" si="86"/>
        <v>0</v>
      </c>
      <c r="FU90" s="34">
        <f t="shared" si="86"/>
        <v>0</v>
      </c>
      <c r="FV90" s="34">
        <f t="shared" si="86"/>
        <v>0</v>
      </c>
      <c r="FW90" s="28"/>
      <c r="FX90" s="29">
        <f t="shared" si="3"/>
        <v>0</v>
      </c>
    </row>
    <row r="91" spans="1:180" ht="18" customHeight="1" x14ac:dyDescent="0.25">
      <c r="A91" s="3" t="str">
        <f>IF(C91&lt;&gt;"","DRG-"&amp;TEXT(87,"000"),"")</f>
        <v>DRG-087</v>
      </c>
      <c r="B91" s="35" t="s">
        <v>146</v>
      </c>
      <c r="C91" s="20" t="s">
        <v>146</v>
      </c>
      <c r="D91" s="20" t="s">
        <v>56</v>
      </c>
      <c r="E91" s="20" t="s">
        <v>147</v>
      </c>
      <c r="F91" s="20" t="s">
        <v>69</v>
      </c>
      <c r="G91" s="21"/>
      <c r="H91" s="21"/>
      <c r="I91" s="21"/>
      <c r="J91" s="21"/>
      <c r="K91" s="21"/>
      <c r="L91" s="21">
        <v>4</v>
      </c>
      <c r="M91" s="23" t="str">
        <f t="shared" si="0"/>
        <v>✘ Pending</v>
      </c>
      <c r="N91" s="23">
        <f t="shared" si="1"/>
        <v>0</v>
      </c>
      <c r="O91" s="25"/>
      <c r="P91" s="26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5"/>
      <c r="AC91" s="26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5"/>
      <c r="AP91" s="26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5"/>
      <c r="BC91" s="26"/>
      <c r="BD91" s="24"/>
      <c r="BE91" s="24"/>
      <c r="BF91" s="24"/>
      <c r="BG91" s="24"/>
      <c r="BH91" s="24"/>
      <c r="BI91" s="24"/>
      <c r="BJ91" s="24"/>
      <c r="BK91" s="24"/>
      <c r="BL91" s="24"/>
      <c r="BM91" s="24"/>
      <c r="BN91" s="24"/>
      <c r="BO91" s="25"/>
      <c r="BP91" s="26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5"/>
      <c r="CC91" s="26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5"/>
      <c r="CP91" s="26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5"/>
      <c r="DC91" s="26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5"/>
      <c r="DP91" s="26"/>
      <c r="DQ91" s="24"/>
      <c r="DR91" s="24"/>
      <c r="DS91" s="24"/>
      <c r="DT91" s="24"/>
      <c r="DU91" s="24"/>
      <c r="DV91" s="24"/>
      <c r="DW91" s="24"/>
      <c r="DX91" s="24"/>
      <c r="DY91" s="24"/>
      <c r="DZ91" s="24"/>
      <c r="EA91" s="24"/>
      <c r="EB91" s="25"/>
      <c r="EC91" s="26"/>
      <c r="ED91" s="24"/>
      <c r="EE91" s="24"/>
      <c r="EF91" s="24"/>
      <c r="EG91" s="24"/>
      <c r="EH91" s="24"/>
      <c r="EI91" s="24"/>
      <c r="EJ91" s="24"/>
      <c r="EK91" s="24"/>
      <c r="EL91" s="24"/>
      <c r="EM91" s="24"/>
      <c r="EN91" s="24"/>
      <c r="EO91" s="25"/>
      <c r="EP91" s="26"/>
      <c r="EQ91" s="24"/>
      <c r="ER91" s="24"/>
      <c r="ES91" s="24"/>
      <c r="ET91" s="24"/>
      <c r="EU91" s="24"/>
      <c r="EV91" s="24"/>
      <c r="EW91" s="24"/>
      <c r="EX91" s="24"/>
      <c r="EY91" s="24"/>
      <c r="EZ91" s="24"/>
      <c r="FA91" s="24"/>
      <c r="FB91" s="25"/>
      <c r="FC91" s="26"/>
      <c r="FD91" s="24"/>
      <c r="FE91" s="24"/>
      <c r="FF91" s="24"/>
      <c r="FG91" s="24"/>
      <c r="FH91" s="24"/>
      <c r="FI91" s="24"/>
      <c r="FJ91" s="24"/>
      <c r="FK91" s="24"/>
      <c r="FL91" s="24"/>
      <c r="FM91" s="24"/>
      <c r="FN91" s="24"/>
      <c r="FO91" s="27">
        <f t="shared" ref="FO91:FV91" si="87">IFERROR(R91*1,0)+IFERROR(AE91*1,0)+IFERROR(AR91*1,0)+IFERROR(BE91*1,0)+IFERROR(BR91*1,0)+IFERROR(CE91*1,0)+IFERROR(CR91*1,0)+IFERROR(DE91*1,0)+IFERROR(DR91*1,0)+IFERROR(EE91*1,0)+IFERROR(ER91*1,0)+IFERROR(FE91*1,0)</f>
        <v>0</v>
      </c>
      <c r="FP91" s="27">
        <f t="shared" si="87"/>
        <v>0</v>
      </c>
      <c r="FQ91" s="27">
        <f t="shared" si="87"/>
        <v>0</v>
      </c>
      <c r="FR91" s="27">
        <f t="shared" si="87"/>
        <v>0</v>
      </c>
      <c r="FS91" s="27">
        <f t="shared" si="87"/>
        <v>0</v>
      </c>
      <c r="FT91" s="27">
        <f t="shared" si="87"/>
        <v>0</v>
      </c>
      <c r="FU91" s="27">
        <f t="shared" si="87"/>
        <v>0</v>
      </c>
      <c r="FV91" s="27">
        <f t="shared" si="87"/>
        <v>0</v>
      </c>
      <c r="FW91" s="28"/>
      <c r="FX91" s="29">
        <f t="shared" si="3"/>
        <v>0</v>
      </c>
    </row>
    <row r="92" spans="1:180" ht="18" customHeight="1" x14ac:dyDescent="0.25">
      <c r="A92" s="3" t="str">
        <f>IF(C92&lt;&gt;"","DRG-"&amp;TEXT(88,"000"),"")</f>
        <v>DRG-088</v>
      </c>
      <c r="B92" s="35" t="s">
        <v>146</v>
      </c>
      <c r="C92" s="20" t="s">
        <v>146</v>
      </c>
      <c r="D92" s="20" t="s">
        <v>56</v>
      </c>
      <c r="E92" s="20" t="s">
        <v>126</v>
      </c>
      <c r="F92" s="20" t="s">
        <v>69</v>
      </c>
      <c r="G92" s="21"/>
      <c r="H92" s="21"/>
      <c r="I92" s="21"/>
      <c r="J92" s="21"/>
      <c r="K92" s="21"/>
      <c r="L92" s="21">
        <v>4</v>
      </c>
      <c r="M92" s="30" t="str">
        <f t="shared" si="0"/>
        <v>✘ Pending</v>
      </c>
      <c r="N92" s="30">
        <f t="shared" si="1"/>
        <v>0</v>
      </c>
      <c r="O92" s="31"/>
      <c r="P92" s="32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1"/>
      <c r="AC92" s="32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1"/>
      <c r="AP92" s="32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1"/>
      <c r="BC92" s="32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1"/>
      <c r="BP92" s="32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1"/>
      <c r="CC92" s="32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1"/>
      <c r="CP92" s="32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1"/>
      <c r="DC92" s="32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1"/>
      <c r="DP92" s="32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1"/>
      <c r="EC92" s="32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1"/>
      <c r="EP92" s="32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1"/>
      <c r="FC92" s="32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4">
        <f t="shared" ref="FO92:FV92" si="88">IFERROR(R92*1,0)+IFERROR(AE92*1,0)+IFERROR(AR92*1,0)+IFERROR(BE92*1,0)+IFERROR(BR92*1,0)+IFERROR(CE92*1,0)+IFERROR(CR92*1,0)+IFERROR(DE92*1,0)+IFERROR(DR92*1,0)+IFERROR(EE92*1,0)+IFERROR(ER92*1,0)+IFERROR(FE92*1,0)</f>
        <v>0</v>
      </c>
      <c r="FP92" s="34">
        <f t="shared" si="88"/>
        <v>0</v>
      </c>
      <c r="FQ92" s="34">
        <f t="shared" si="88"/>
        <v>0</v>
      </c>
      <c r="FR92" s="34">
        <f t="shared" si="88"/>
        <v>0</v>
      </c>
      <c r="FS92" s="34">
        <f t="shared" si="88"/>
        <v>0</v>
      </c>
      <c r="FT92" s="34">
        <f t="shared" si="88"/>
        <v>0</v>
      </c>
      <c r="FU92" s="34">
        <f t="shared" si="88"/>
        <v>0</v>
      </c>
      <c r="FV92" s="34">
        <f t="shared" si="88"/>
        <v>0</v>
      </c>
      <c r="FW92" s="28"/>
      <c r="FX92" s="29">
        <f t="shared" si="3"/>
        <v>0</v>
      </c>
    </row>
    <row r="93" spans="1:180" ht="18" customHeight="1" x14ac:dyDescent="0.25">
      <c r="A93" s="3"/>
      <c r="B93" s="35" t="s">
        <v>146</v>
      </c>
      <c r="C93" s="20" t="s">
        <v>146</v>
      </c>
      <c r="D93" s="20" t="s">
        <v>56</v>
      </c>
      <c r="E93" s="20" t="s">
        <v>99</v>
      </c>
      <c r="F93" s="20" t="s">
        <v>69</v>
      </c>
      <c r="G93" s="21"/>
      <c r="H93" s="21"/>
      <c r="I93" s="21"/>
      <c r="J93" s="21"/>
      <c r="K93" s="21"/>
      <c r="L93" s="21"/>
      <c r="M93" s="30"/>
      <c r="N93" s="30"/>
      <c r="O93" s="31"/>
      <c r="P93" s="32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1"/>
      <c r="AC93" s="32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1"/>
      <c r="AP93" s="32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1"/>
      <c r="BC93" s="32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1"/>
      <c r="BP93" s="32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1"/>
      <c r="CC93" s="32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1"/>
      <c r="CP93" s="32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1"/>
      <c r="DC93" s="32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1"/>
      <c r="DP93" s="32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1"/>
      <c r="EC93" s="32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1"/>
      <c r="EP93" s="32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1"/>
      <c r="FC93" s="32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4"/>
      <c r="FP93" s="34"/>
      <c r="FQ93" s="34"/>
      <c r="FR93" s="34"/>
      <c r="FS93" s="34"/>
      <c r="FT93" s="34"/>
      <c r="FU93" s="34"/>
      <c r="FV93" s="34"/>
      <c r="FW93" s="28"/>
      <c r="FX93" s="29"/>
    </row>
    <row r="94" spans="1:180" ht="17.25" customHeight="1" x14ac:dyDescent="0.25">
      <c r="A94" s="3" t="str">
        <f>IF(C94&lt;&gt;"","DRG-"&amp;TEXT(89,"000"),"")</f>
        <v>DRG-089</v>
      </c>
      <c r="B94" s="35" t="s">
        <v>146</v>
      </c>
      <c r="C94" s="20" t="s">
        <v>146</v>
      </c>
      <c r="D94" s="20" t="s">
        <v>56</v>
      </c>
      <c r="E94" s="20" t="s">
        <v>148</v>
      </c>
      <c r="F94" s="20" t="s">
        <v>58</v>
      </c>
      <c r="G94" s="21"/>
      <c r="H94" s="21"/>
      <c r="I94" s="21"/>
      <c r="J94" s="21"/>
      <c r="K94" s="21"/>
      <c r="L94" s="21">
        <v>4</v>
      </c>
      <c r="M94" s="23" t="str">
        <f t="shared" si="0"/>
        <v>✘ Pending</v>
      </c>
      <c r="N94" s="23">
        <f t="shared" si="1"/>
        <v>0</v>
      </c>
      <c r="O94" s="25"/>
      <c r="P94" s="26"/>
      <c r="Q94" s="24"/>
      <c r="R94" s="24"/>
      <c r="S94" s="24"/>
      <c r="T94" s="24"/>
      <c r="U94" s="24"/>
      <c r="V94" s="24"/>
      <c r="W94" s="24"/>
      <c r="X94" s="24"/>
      <c r="Y94" s="24"/>
      <c r="Z94" s="24"/>
      <c r="AA94" s="24"/>
      <c r="AB94" s="25"/>
      <c r="AC94" s="26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5"/>
      <c r="AP94" s="26"/>
      <c r="AQ94" s="24"/>
      <c r="AR94" s="24"/>
      <c r="AS94" s="24"/>
      <c r="AT94" s="24"/>
      <c r="AU94" s="24"/>
      <c r="AV94" s="24"/>
      <c r="AW94" s="24"/>
      <c r="AX94" s="24"/>
      <c r="AY94" s="24"/>
      <c r="AZ94" s="24"/>
      <c r="BA94" s="24"/>
      <c r="BB94" s="25"/>
      <c r="BC94" s="26"/>
      <c r="BD94" s="24"/>
      <c r="BE94" s="24"/>
      <c r="BF94" s="24"/>
      <c r="BG94" s="24"/>
      <c r="BH94" s="24"/>
      <c r="BI94" s="24"/>
      <c r="BJ94" s="24"/>
      <c r="BK94" s="24"/>
      <c r="BL94" s="24"/>
      <c r="BM94" s="24"/>
      <c r="BN94" s="24"/>
      <c r="BO94" s="25"/>
      <c r="BP94" s="26"/>
      <c r="BQ94" s="24"/>
      <c r="BR94" s="24"/>
      <c r="BS94" s="24"/>
      <c r="BT94" s="24"/>
      <c r="BU94" s="24"/>
      <c r="BV94" s="24"/>
      <c r="BW94" s="24"/>
      <c r="BX94" s="24"/>
      <c r="BY94" s="24"/>
      <c r="BZ94" s="24"/>
      <c r="CA94" s="24"/>
      <c r="CB94" s="25"/>
      <c r="CC94" s="26"/>
      <c r="CD94" s="24"/>
      <c r="CE94" s="24"/>
      <c r="CF94" s="24"/>
      <c r="CG94" s="24"/>
      <c r="CH94" s="24"/>
      <c r="CI94" s="24"/>
      <c r="CJ94" s="24"/>
      <c r="CK94" s="24"/>
      <c r="CL94" s="24"/>
      <c r="CM94" s="24"/>
      <c r="CN94" s="24"/>
      <c r="CO94" s="25"/>
      <c r="CP94" s="26"/>
      <c r="CQ94" s="24"/>
      <c r="CR94" s="24"/>
      <c r="CS94" s="24"/>
      <c r="CT94" s="24"/>
      <c r="CU94" s="24"/>
      <c r="CV94" s="24"/>
      <c r="CW94" s="24"/>
      <c r="CX94" s="24"/>
      <c r="CY94" s="24"/>
      <c r="CZ94" s="24"/>
      <c r="DA94" s="24"/>
      <c r="DB94" s="25"/>
      <c r="DC94" s="26"/>
      <c r="DD94" s="24"/>
      <c r="DE94" s="24"/>
      <c r="DF94" s="24"/>
      <c r="DG94" s="24"/>
      <c r="DH94" s="24"/>
      <c r="DI94" s="24"/>
      <c r="DJ94" s="24"/>
      <c r="DK94" s="24"/>
      <c r="DL94" s="24"/>
      <c r="DM94" s="24"/>
      <c r="DN94" s="24"/>
      <c r="DO94" s="25"/>
      <c r="DP94" s="26"/>
      <c r="DQ94" s="24"/>
      <c r="DR94" s="24"/>
      <c r="DS94" s="24"/>
      <c r="DT94" s="24"/>
      <c r="DU94" s="24"/>
      <c r="DV94" s="24"/>
      <c r="DW94" s="24"/>
      <c r="DX94" s="24"/>
      <c r="DY94" s="24"/>
      <c r="DZ94" s="24"/>
      <c r="EA94" s="24"/>
      <c r="EB94" s="25"/>
      <c r="EC94" s="26"/>
      <c r="ED94" s="24"/>
      <c r="EE94" s="24"/>
      <c r="EF94" s="24"/>
      <c r="EG94" s="24"/>
      <c r="EH94" s="24"/>
      <c r="EI94" s="24"/>
      <c r="EJ94" s="24"/>
      <c r="EK94" s="24"/>
      <c r="EL94" s="24"/>
      <c r="EM94" s="24"/>
      <c r="EN94" s="24"/>
      <c r="EO94" s="25"/>
      <c r="EP94" s="26"/>
      <c r="EQ94" s="24"/>
      <c r="ER94" s="24"/>
      <c r="ES94" s="24"/>
      <c r="ET94" s="24"/>
      <c r="EU94" s="24"/>
      <c r="EV94" s="24"/>
      <c r="EW94" s="24"/>
      <c r="EX94" s="24"/>
      <c r="EY94" s="24"/>
      <c r="EZ94" s="24"/>
      <c r="FA94" s="24"/>
      <c r="FB94" s="25"/>
      <c r="FC94" s="26"/>
      <c r="FD94" s="24"/>
      <c r="FE94" s="24"/>
      <c r="FF94" s="24"/>
      <c r="FG94" s="24"/>
      <c r="FH94" s="24"/>
      <c r="FI94" s="24"/>
      <c r="FJ94" s="24"/>
      <c r="FK94" s="24"/>
      <c r="FL94" s="24"/>
      <c r="FM94" s="24"/>
      <c r="FN94" s="24"/>
      <c r="FO94" s="27">
        <f t="shared" ref="FO94:FV94" si="89">IFERROR(R94*1,0)+IFERROR(AE94*1,0)+IFERROR(AR94*1,0)+IFERROR(BE94*1,0)+IFERROR(BR94*1,0)+IFERROR(CE94*1,0)+IFERROR(CR94*1,0)+IFERROR(DE94*1,0)+IFERROR(DR94*1,0)+IFERROR(EE94*1,0)+IFERROR(ER94*1,0)+IFERROR(FE94*1,0)</f>
        <v>0</v>
      </c>
      <c r="FP94" s="27">
        <f t="shared" si="89"/>
        <v>0</v>
      </c>
      <c r="FQ94" s="27">
        <f t="shared" si="89"/>
        <v>0</v>
      </c>
      <c r="FR94" s="27">
        <f t="shared" si="89"/>
        <v>0</v>
      </c>
      <c r="FS94" s="27">
        <f t="shared" si="89"/>
        <v>0</v>
      </c>
      <c r="FT94" s="27">
        <f t="shared" si="89"/>
        <v>0</v>
      </c>
      <c r="FU94" s="27">
        <f t="shared" si="89"/>
        <v>0</v>
      </c>
      <c r="FV94" s="27">
        <f t="shared" si="89"/>
        <v>0</v>
      </c>
      <c r="FW94" s="28"/>
      <c r="FX94" s="29">
        <f t="shared" si="3"/>
        <v>0</v>
      </c>
    </row>
    <row r="95" spans="1:180" ht="18" customHeight="1" x14ac:dyDescent="0.25">
      <c r="A95" s="3" t="str">
        <f>IF(C95&lt;&gt;"","DRG-"&amp;TEXT(90,"000"),"")</f>
        <v>DRG-090</v>
      </c>
      <c r="B95" s="19" t="s">
        <v>149</v>
      </c>
      <c r="C95" s="20" t="s">
        <v>149</v>
      </c>
      <c r="D95" s="20" t="s">
        <v>195</v>
      </c>
      <c r="E95" s="20" t="s">
        <v>150</v>
      </c>
      <c r="F95" s="20" t="s">
        <v>89</v>
      </c>
      <c r="G95" s="21"/>
      <c r="H95" s="21"/>
      <c r="I95" s="21"/>
      <c r="J95" s="21"/>
      <c r="K95" s="21"/>
      <c r="L95" s="21">
        <v>4</v>
      </c>
      <c r="M95" s="30" t="str">
        <f t="shared" si="0"/>
        <v>✘ Pending</v>
      </c>
      <c r="N95" s="30">
        <f t="shared" si="1"/>
        <v>0</v>
      </c>
      <c r="O95" s="31"/>
      <c r="P95" s="32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1"/>
      <c r="AC95" s="32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1"/>
      <c r="AP95" s="32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1"/>
      <c r="BC95" s="32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1"/>
      <c r="BP95" s="32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1"/>
      <c r="CC95" s="32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1"/>
      <c r="CP95" s="32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1"/>
      <c r="DC95" s="32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1"/>
      <c r="DP95" s="32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1"/>
      <c r="EC95" s="32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1"/>
      <c r="EP95" s="32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1"/>
      <c r="FC95" s="32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4">
        <f t="shared" ref="FO95:FV95" si="90">IFERROR(R95*1,0)+IFERROR(AE95*1,0)+IFERROR(AR95*1,0)+IFERROR(BE95*1,0)+IFERROR(BR95*1,0)+IFERROR(CE95*1,0)+IFERROR(CR95*1,0)+IFERROR(DE95*1,0)+IFERROR(DR95*1,0)+IFERROR(EE95*1,0)+IFERROR(ER95*1,0)+IFERROR(FE95*1,0)</f>
        <v>0</v>
      </c>
      <c r="FP95" s="34">
        <f t="shared" si="90"/>
        <v>0</v>
      </c>
      <c r="FQ95" s="34">
        <f t="shared" si="90"/>
        <v>0</v>
      </c>
      <c r="FR95" s="34">
        <f t="shared" si="90"/>
        <v>0</v>
      </c>
      <c r="FS95" s="34">
        <f t="shared" si="90"/>
        <v>0</v>
      </c>
      <c r="FT95" s="34">
        <f t="shared" si="90"/>
        <v>0</v>
      </c>
      <c r="FU95" s="34">
        <f t="shared" si="90"/>
        <v>0</v>
      </c>
      <c r="FV95" s="34">
        <f t="shared" si="90"/>
        <v>0</v>
      </c>
      <c r="FW95" s="28"/>
      <c r="FX95" s="29">
        <f t="shared" si="3"/>
        <v>0</v>
      </c>
    </row>
    <row r="96" spans="1:180" ht="18" customHeight="1" x14ac:dyDescent="0.25">
      <c r="A96" s="3" t="str">
        <f>IF(C96&lt;&gt;"","DRG-"&amp;TEXT(91,"000"),"")</f>
        <v>DRG-091</v>
      </c>
      <c r="B96" s="19" t="s">
        <v>151</v>
      </c>
      <c r="C96" s="20" t="s">
        <v>151</v>
      </c>
      <c r="D96" s="20" t="s">
        <v>195</v>
      </c>
      <c r="E96" s="20" t="s">
        <v>152</v>
      </c>
      <c r="F96" s="20" t="s">
        <v>58</v>
      </c>
      <c r="G96" s="21"/>
      <c r="H96" s="21"/>
      <c r="I96" s="21"/>
      <c r="J96" s="21"/>
      <c r="K96" s="21"/>
      <c r="L96" s="21">
        <v>4</v>
      </c>
      <c r="M96" s="23" t="str">
        <f t="shared" si="0"/>
        <v>✘ Pending</v>
      </c>
      <c r="N96" s="23">
        <f t="shared" si="1"/>
        <v>0</v>
      </c>
      <c r="O96" s="25"/>
      <c r="P96" s="26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5"/>
      <c r="AC96" s="26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5"/>
      <c r="AP96" s="26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5"/>
      <c r="BC96" s="26"/>
      <c r="BD96" s="24"/>
      <c r="BE96" s="24"/>
      <c r="BF96" s="24"/>
      <c r="BG96" s="24"/>
      <c r="BH96" s="24"/>
      <c r="BI96" s="24"/>
      <c r="BJ96" s="24"/>
      <c r="BK96" s="24"/>
      <c r="BL96" s="24"/>
      <c r="BM96" s="24"/>
      <c r="BN96" s="24"/>
      <c r="BO96" s="25"/>
      <c r="BP96" s="26"/>
      <c r="BQ96" s="24"/>
      <c r="BR96" s="24"/>
      <c r="BS96" s="24"/>
      <c r="BT96" s="24"/>
      <c r="BU96" s="24"/>
      <c r="BV96" s="24"/>
      <c r="BW96" s="24"/>
      <c r="BX96" s="24"/>
      <c r="BY96" s="24"/>
      <c r="BZ96" s="24"/>
      <c r="CA96" s="24"/>
      <c r="CB96" s="25"/>
      <c r="CC96" s="26"/>
      <c r="CD96" s="24"/>
      <c r="CE96" s="24"/>
      <c r="CF96" s="24"/>
      <c r="CG96" s="24"/>
      <c r="CH96" s="24"/>
      <c r="CI96" s="24"/>
      <c r="CJ96" s="24"/>
      <c r="CK96" s="24"/>
      <c r="CL96" s="24"/>
      <c r="CM96" s="24"/>
      <c r="CN96" s="24"/>
      <c r="CO96" s="25"/>
      <c r="CP96" s="26"/>
      <c r="CQ96" s="24"/>
      <c r="CR96" s="24"/>
      <c r="CS96" s="24"/>
      <c r="CT96" s="24"/>
      <c r="CU96" s="24"/>
      <c r="CV96" s="24"/>
      <c r="CW96" s="24"/>
      <c r="CX96" s="24"/>
      <c r="CY96" s="24"/>
      <c r="CZ96" s="24"/>
      <c r="DA96" s="24"/>
      <c r="DB96" s="25"/>
      <c r="DC96" s="26"/>
      <c r="DD96" s="24"/>
      <c r="DE96" s="24"/>
      <c r="DF96" s="24"/>
      <c r="DG96" s="24"/>
      <c r="DH96" s="24"/>
      <c r="DI96" s="24"/>
      <c r="DJ96" s="24"/>
      <c r="DK96" s="24"/>
      <c r="DL96" s="24"/>
      <c r="DM96" s="24"/>
      <c r="DN96" s="24"/>
      <c r="DO96" s="25"/>
      <c r="DP96" s="26"/>
      <c r="DQ96" s="24"/>
      <c r="DR96" s="24"/>
      <c r="DS96" s="24"/>
      <c r="DT96" s="24"/>
      <c r="DU96" s="24"/>
      <c r="DV96" s="24"/>
      <c r="DW96" s="24"/>
      <c r="DX96" s="24"/>
      <c r="DY96" s="24"/>
      <c r="DZ96" s="24"/>
      <c r="EA96" s="24"/>
      <c r="EB96" s="25"/>
      <c r="EC96" s="26"/>
      <c r="ED96" s="24"/>
      <c r="EE96" s="24"/>
      <c r="EF96" s="24"/>
      <c r="EG96" s="24"/>
      <c r="EH96" s="24"/>
      <c r="EI96" s="24"/>
      <c r="EJ96" s="24"/>
      <c r="EK96" s="24"/>
      <c r="EL96" s="24"/>
      <c r="EM96" s="24"/>
      <c r="EN96" s="24"/>
      <c r="EO96" s="25"/>
      <c r="EP96" s="26"/>
      <c r="EQ96" s="24"/>
      <c r="ER96" s="24"/>
      <c r="ES96" s="24"/>
      <c r="ET96" s="24"/>
      <c r="EU96" s="24"/>
      <c r="EV96" s="24"/>
      <c r="EW96" s="24"/>
      <c r="EX96" s="24"/>
      <c r="EY96" s="24"/>
      <c r="EZ96" s="24"/>
      <c r="FA96" s="24"/>
      <c r="FB96" s="25"/>
      <c r="FC96" s="26"/>
      <c r="FD96" s="24"/>
      <c r="FE96" s="24"/>
      <c r="FF96" s="24"/>
      <c r="FG96" s="24"/>
      <c r="FH96" s="24"/>
      <c r="FI96" s="24"/>
      <c r="FJ96" s="24"/>
      <c r="FK96" s="24"/>
      <c r="FL96" s="24"/>
      <c r="FM96" s="24"/>
      <c r="FN96" s="24"/>
      <c r="FO96" s="27">
        <f t="shared" ref="FO96:FV96" si="91">IFERROR(R96*1,0)+IFERROR(AE96*1,0)+IFERROR(AR96*1,0)+IFERROR(BE96*1,0)+IFERROR(BR96*1,0)+IFERROR(CE96*1,0)+IFERROR(CR96*1,0)+IFERROR(DE96*1,0)+IFERROR(DR96*1,0)+IFERROR(EE96*1,0)+IFERROR(ER96*1,0)+IFERROR(FE96*1,0)</f>
        <v>0</v>
      </c>
      <c r="FP96" s="27">
        <f t="shared" si="91"/>
        <v>0</v>
      </c>
      <c r="FQ96" s="27">
        <f t="shared" si="91"/>
        <v>0</v>
      </c>
      <c r="FR96" s="27">
        <f t="shared" si="91"/>
        <v>0</v>
      </c>
      <c r="FS96" s="27">
        <f t="shared" si="91"/>
        <v>0</v>
      </c>
      <c r="FT96" s="27">
        <f t="shared" si="91"/>
        <v>0</v>
      </c>
      <c r="FU96" s="27">
        <f t="shared" si="91"/>
        <v>0</v>
      </c>
      <c r="FV96" s="27">
        <f t="shared" si="91"/>
        <v>0</v>
      </c>
      <c r="FW96" s="28"/>
      <c r="FX96" s="29">
        <f t="shared" si="3"/>
        <v>0</v>
      </c>
    </row>
    <row r="97" spans="1:180" ht="18" customHeight="1" x14ac:dyDescent="0.25">
      <c r="A97" s="3" t="str">
        <f>IF(C97&lt;&gt;"","DRG-"&amp;TEXT(92,"000"),"")</f>
        <v>DRG-092</v>
      </c>
      <c r="B97" s="19" t="s">
        <v>153</v>
      </c>
      <c r="C97" s="20" t="s">
        <v>154</v>
      </c>
      <c r="D97" s="20" t="s">
        <v>56</v>
      </c>
      <c r="E97" s="20" t="s">
        <v>126</v>
      </c>
      <c r="F97" s="20" t="s">
        <v>69</v>
      </c>
      <c r="G97" s="21"/>
      <c r="H97" s="21"/>
      <c r="I97" s="21"/>
      <c r="J97" s="21"/>
      <c r="K97" s="21"/>
      <c r="L97" s="21">
        <v>4</v>
      </c>
      <c r="M97" s="30" t="str">
        <f t="shared" si="0"/>
        <v>✘ Pending</v>
      </c>
      <c r="N97" s="30">
        <f t="shared" si="1"/>
        <v>0</v>
      </c>
      <c r="O97" s="31"/>
      <c r="P97" s="32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1"/>
      <c r="AC97" s="32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1"/>
      <c r="AP97" s="32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1"/>
      <c r="BC97" s="32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1"/>
      <c r="BP97" s="32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1"/>
      <c r="CC97" s="32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1"/>
      <c r="CP97" s="32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1"/>
      <c r="DC97" s="32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1"/>
      <c r="DP97" s="32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1"/>
      <c r="EC97" s="32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1"/>
      <c r="EP97" s="32"/>
      <c r="EQ97" s="33"/>
      <c r="ER97" s="33"/>
      <c r="ES97" s="33"/>
      <c r="ET97" s="33"/>
      <c r="EU97" s="33"/>
      <c r="EV97" s="33"/>
      <c r="EW97" s="33"/>
      <c r="EX97" s="33"/>
      <c r="EY97" s="33"/>
      <c r="EZ97" s="33"/>
      <c r="FA97" s="33"/>
      <c r="FB97" s="31"/>
      <c r="FC97" s="32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4">
        <f t="shared" ref="FO97:FV97" si="92">IFERROR(R97*1,0)+IFERROR(AE97*1,0)+IFERROR(AR97*1,0)+IFERROR(BE97*1,0)+IFERROR(BR97*1,0)+IFERROR(CE97*1,0)+IFERROR(CR97*1,0)+IFERROR(DE97*1,0)+IFERROR(DR97*1,0)+IFERROR(EE97*1,0)+IFERROR(ER97*1,0)+IFERROR(FE97*1,0)</f>
        <v>0</v>
      </c>
      <c r="FP97" s="34">
        <f t="shared" si="92"/>
        <v>0</v>
      </c>
      <c r="FQ97" s="34">
        <f t="shared" si="92"/>
        <v>0</v>
      </c>
      <c r="FR97" s="34">
        <f t="shared" si="92"/>
        <v>0</v>
      </c>
      <c r="FS97" s="34">
        <f t="shared" si="92"/>
        <v>0</v>
      </c>
      <c r="FT97" s="34">
        <f t="shared" si="92"/>
        <v>0</v>
      </c>
      <c r="FU97" s="34">
        <f t="shared" si="92"/>
        <v>0</v>
      </c>
      <c r="FV97" s="34">
        <f t="shared" si="92"/>
        <v>0</v>
      </c>
      <c r="FW97" s="28"/>
      <c r="FX97" s="29">
        <f t="shared" si="3"/>
        <v>0</v>
      </c>
    </row>
    <row r="98" spans="1:180" ht="18" customHeight="1" x14ac:dyDescent="0.25">
      <c r="A98" s="3" t="str">
        <f>IF(C98&lt;&gt;"","DRG-"&amp;TEXT(93,"000"),"")</f>
        <v>DRG-093</v>
      </c>
      <c r="B98" s="19">
        <v>1980</v>
      </c>
      <c r="C98" s="20">
        <v>1980</v>
      </c>
      <c r="D98" s="20" t="s">
        <v>56</v>
      </c>
      <c r="E98" s="20" t="s">
        <v>139</v>
      </c>
      <c r="F98" s="20" t="s">
        <v>69</v>
      </c>
      <c r="G98" s="21"/>
      <c r="H98" s="21"/>
      <c r="I98" s="21"/>
      <c r="J98" s="21"/>
      <c r="K98" s="21"/>
      <c r="L98" s="21">
        <v>4</v>
      </c>
      <c r="M98" s="23" t="str">
        <f t="shared" si="0"/>
        <v>✘ Pending</v>
      </c>
      <c r="N98" s="23">
        <f t="shared" si="1"/>
        <v>0</v>
      </c>
      <c r="O98" s="25"/>
      <c r="P98" s="26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5"/>
      <c r="AC98" s="26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5"/>
      <c r="AP98" s="26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5"/>
      <c r="BC98" s="26"/>
      <c r="BD98" s="24"/>
      <c r="BE98" s="24"/>
      <c r="BF98" s="24"/>
      <c r="BG98" s="24"/>
      <c r="BH98" s="24"/>
      <c r="BI98" s="24"/>
      <c r="BJ98" s="24"/>
      <c r="BK98" s="24"/>
      <c r="BL98" s="24"/>
      <c r="BM98" s="24"/>
      <c r="BN98" s="24"/>
      <c r="BO98" s="25"/>
      <c r="BP98" s="26"/>
      <c r="BQ98" s="24"/>
      <c r="BR98" s="24"/>
      <c r="BS98" s="24"/>
      <c r="BT98" s="24"/>
      <c r="BU98" s="24"/>
      <c r="BV98" s="24"/>
      <c r="BW98" s="24"/>
      <c r="BX98" s="24"/>
      <c r="BY98" s="24"/>
      <c r="BZ98" s="24"/>
      <c r="CA98" s="24"/>
      <c r="CB98" s="25"/>
      <c r="CC98" s="26"/>
      <c r="CD98" s="24"/>
      <c r="CE98" s="24"/>
      <c r="CF98" s="24"/>
      <c r="CG98" s="24"/>
      <c r="CH98" s="24"/>
      <c r="CI98" s="24"/>
      <c r="CJ98" s="24"/>
      <c r="CK98" s="24"/>
      <c r="CL98" s="24"/>
      <c r="CM98" s="24"/>
      <c r="CN98" s="24"/>
      <c r="CO98" s="25"/>
      <c r="CP98" s="26"/>
      <c r="CQ98" s="24"/>
      <c r="CR98" s="24"/>
      <c r="CS98" s="24"/>
      <c r="CT98" s="24"/>
      <c r="CU98" s="24"/>
      <c r="CV98" s="24"/>
      <c r="CW98" s="24"/>
      <c r="CX98" s="24"/>
      <c r="CY98" s="24"/>
      <c r="CZ98" s="24"/>
      <c r="DA98" s="24"/>
      <c r="DB98" s="25"/>
      <c r="DC98" s="26"/>
      <c r="DD98" s="24"/>
      <c r="DE98" s="24"/>
      <c r="DF98" s="24"/>
      <c r="DG98" s="24"/>
      <c r="DH98" s="24"/>
      <c r="DI98" s="24"/>
      <c r="DJ98" s="24"/>
      <c r="DK98" s="24"/>
      <c r="DL98" s="24"/>
      <c r="DM98" s="24"/>
      <c r="DN98" s="24"/>
      <c r="DO98" s="25"/>
      <c r="DP98" s="26"/>
      <c r="DQ98" s="24"/>
      <c r="DR98" s="24"/>
      <c r="DS98" s="24"/>
      <c r="DT98" s="24"/>
      <c r="DU98" s="24"/>
      <c r="DV98" s="24"/>
      <c r="DW98" s="24"/>
      <c r="DX98" s="24"/>
      <c r="DY98" s="24"/>
      <c r="DZ98" s="24"/>
      <c r="EA98" s="24"/>
      <c r="EB98" s="25"/>
      <c r="EC98" s="26"/>
      <c r="ED98" s="24"/>
      <c r="EE98" s="24"/>
      <c r="EF98" s="24"/>
      <c r="EG98" s="24"/>
      <c r="EH98" s="24"/>
      <c r="EI98" s="24"/>
      <c r="EJ98" s="24"/>
      <c r="EK98" s="24"/>
      <c r="EL98" s="24"/>
      <c r="EM98" s="24"/>
      <c r="EN98" s="24"/>
      <c r="EO98" s="25"/>
      <c r="EP98" s="26"/>
      <c r="EQ98" s="24"/>
      <c r="ER98" s="24"/>
      <c r="ES98" s="24"/>
      <c r="ET98" s="24"/>
      <c r="EU98" s="24"/>
      <c r="EV98" s="24"/>
      <c r="EW98" s="24"/>
      <c r="EX98" s="24"/>
      <c r="EY98" s="24"/>
      <c r="EZ98" s="24"/>
      <c r="FA98" s="24"/>
      <c r="FB98" s="25"/>
      <c r="FC98" s="26"/>
      <c r="FD98" s="24"/>
      <c r="FE98" s="24"/>
      <c r="FF98" s="24"/>
      <c r="FG98" s="24"/>
      <c r="FH98" s="24"/>
      <c r="FI98" s="24"/>
      <c r="FJ98" s="24"/>
      <c r="FK98" s="24"/>
      <c r="FL98" s="24"/>
      <c r="FM98" s="24"/>
      <c r="FN98" s="24"/>
      <c r="FO98" s="27">
        <f t="shared" ref="FO98:FV98" si="93">IFERROR(R98*1,0)+IFERROR(AE98*1,0)+IFERROR(AR98*1,0)+IFERROR(BE98*1,0)+IFERROR(BR98*1,0)+IFERROR(CE98*1,0)+IFERROR(CR98*1,0)+IFERROR(DE98*1,0)+IFERROR(DR98*1,0)+IFERROR(EE98*1,0)+IFERROR(ER98*1,0)+IFERROR(FE98*1,0)</f>
        <v>0</v>
      </c>
      <c r="FP98" s="27">
        <f t="shared" si="93"/>
        <v>0</v>
      </c>
      <c r="FQ98" s="27">
        <f t="shared" si="93"/>
        <v>0</v>
      </c>
      <c r="FR98" s="27">
        <f t="shared" si="93"/>
        <v>0</v>
      </c>
      <c r="FS98" s="27">
        <f t="shared" si="93"/>
        <v>0</v>
      </c>
      <c r="FT98" s="27">
        <f t="shared" si="93"/>
        <v>0</v>
      </c>
      <c r="FU98" s="27">
        <f t="shared" si="93"/>
        <v>0</v>
      </c>
      <c r="FV98" s="27">
        <f t="shared" si="93"/>
        <v>0</v>
      </c>
      <c r="FW98" s="28"/>
      <c r="FX98" s="29">
        <f t="shared" si="3"/>
        <v>0</v>
      </c>
    </row>
    <row r="99" spans="1:180" ht="18" customHeight="1" x14ac:dyDescent="0.25">
      <c r="A99" s="3" t="str">
        <f>IF(C99&lt;&gt;"","DRG-"&amp;TEXT(94,"000"),"")</f>
        <v>DRG-094</v>
      </c>
      <c r="B99" s="19">
        <v>1980</v>
      </c>
      <c r="C99" s="20">
        <v>1980</v>
      </c>
      <c r="D99" s="20" t="s">
        <v>56</v>
      </c>
      <c r="E99" s="20" t="s">
        <v>143</v>
      </c>
      <c r="F99" s="20" t="s">
        <v>69</v>
      </c>
      <c r="G99" s="21"/>
      <c r="H99" s="21"/>
      <c r="I99" s="21"/>
      <c r="J99" s="21"/>
      <c r="K99" s="21"/>
      <c r="L99" s="21">
        <v>4</v>
      </c>
      <c r="M99" s="30" t="str">
        <f t="shared" si="0"/>
        <v>✘ Pending</v>
      </c>
      <c r="N99" s="30">
        <f t="shared" si="1"/>
        <v>0</v>
      </c>
      <c r="O99" s="31"/>
      <c r="P99" s="32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1"/>
      <c r="AC99" s="32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1"/>
      <c r="AP99" s="32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1"/>
      <c r="BC99" s="32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1"/>
      <c r="BP99" s="32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1"/>
      <c r="CC99" s="32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1"/>
      <c r="CP99" s="32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1"/>
      <c r="DC99" s="32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1"/>
      <c r="DP99" s="32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1"/>
      <c r="EC99" s="32"/>
      <c r="ED99" s="33"/>
      <c r="EE99" s="33"/>
      <c r="EF99" s="33"/>
      <c r="EG99" s="33"/>
      <c r="EH99" s="33"/>
      <c r="EI99" s="33"/>
      <c r="EJ99" s="33"/>
      <c r="EK99" s="33"/>
      <c r="EL99" s="33"/>
      <c r="EM99" s="33"/>
      <c r="EN99" s="33"/>
      <c r="EO99" s="31"/>
      <c r="EP99" s="32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1"/>
      <c r="FC99" s="32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4">
        <f t="shared" ref="FO99:FV99" si="94">IFERROR(R99*1,0)+IFERROR(AE99*1,0)+IFERROR(AR99*1,0)+IFERROR(BE99*1,0)+IFERROR(BR99*1,0)+IFERROR(CE99*1,0)+IFERROR(CR99*1,0)+IFERROR(DE99*1,0)+IFERROR(DR99*1,0)+IFERROR(EE99*1,0)+IFERROR(ER99*1,0)+IFERROR(FE99*1,0)</f>
        <v>0</v>
      </c>
      <c r="FP99" s="34">
        <f t="shared" si="94"/>
        <v>0</v>
      </c>
      <c r="FQ99" s="34">
        <f t="shared" si="94"/>
        <v>0</v>
      </c>
      <c r="FR99" s="34">
        <f t="shared" si="94"/>
        <v>0</v>
      </c>
      <c r="FS99" s="34">
        <f t="shared" si="94"/>
        <v>0</v>
      </c>
      <c r="FT99" s="34">
        <f t="shared" si="94"/>
        <v>0</v>
      </c>
      <c r="FU99" s="34">
        <f t="shared" si="94"/>
        <v>0</v>
      </c>
      <c r="FV99" s="34">
        <f t="shared" si="94"/>
        <v>0</v>
      </c>
      <c r="FW99" s="28"/>
      <c r="FX99" s="29">
        <f t="shared" si="3"/>
        <v>0</v>
      </c>
    </row>
    <row r="100" spans="1:180" ht="18" customHeight="1" x14ac:dyDescent="0.25">
      <c r="A100" s="3" t="str">
        <f>IF(C100&lt;&gt;"","DRG-"&amp;TEXT(95,"000"),"")</f>
        <v>DRG-095</v>
      </c>
      <c r="B100" s="19">
        <v>1980</v>
      </c>
      <c r="C100" s="20">
        <v>1980</v>
      </c>
      <c r="D100" s="20" t="s">
        <v>56</v>
      </c>
      <c r="E100" s="20" t="s">
        <v>155</v>
      </c>
      <c r="F100" s="20" t="s">
        <v>58</v>
      </c>
      <c r="G100" s="21"/>
      <c r="H100" s="21"/>
      <c r="I100" s="21"/>
      <c r="J100" s="21"/>
      <c r="K100" s="21"/>
      <c r="L100" s="21">
        <v>4</v>
      </c>
      <c r="M100" s="23" t="str">
        <f t="shared" si="0"/>
        <v>✘ Pending</v>
      </c>
      <c r="N100" s="23">
        <f t="shared" si="1"/>
        <v>0</v>
      </c>
      <c r="O100" s="25"/>
      <c r="P100" s="26"/>
      <c r="Q100" s="24"/>
      <c r="R100" s="24"/>
      <c r="S100" s="24"/>
      <c r="T100" s="24"/>
      <c r="U100" s="24"/>
      <c r="V100" s="24"/>
      <c r="W100" s="24"/>
      <c r="X100" s="24"/>
      <c r="Y100" s="24"/>
      <c r="Z100" s="24"/>
      <c r="AA100" s="24"/>
      <c r="AB100" s="25"/>
      <c r="AC100" s="26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5"/>
      <c r="AP100" s="26"/>
      <c r="AQ100" s="24"/>
      <c r="AR100" s="24"/>
      <c r="AS100" s="24"/>
      <c r="AT100" s="24"/>
      <c r="AU100" s="24"/>
      <c r="AV100" s="24"/>
      <c r="AW100" s="24"/>
      <c r="AX100" s="24"/>
      <c r="AY100" s="24"/>
      <c r="AZ100" s="24"/>
      <c r="BA100" s="24"/>
      <c r="BB100" s="25"/>
      <c r="BC100" s="26"/>
      <c r="BD100" s="24"/>
      <c r="BE100" s="24"/>
      <c r="BF100" s="24"/>
      <c r="BG100" s="24"/>
      <c r="BH100" s="24"/>
      <c r="BI100" s="24"/>
      <c r="BJ100" s="24"/>
      <c r="BK100" s="24"/>
      <c r="BL100" s="24"/>
      <c r="BM100" s="24"/>
      <c r="BN100" s="24"/>
      <c r="BO100" s="25"/>
      <c r="BP100" s="26"/>
      <c r="BQ100" s="24"/>
      <c r="BR100" s="24"/>
      <c r="BS100" s="24"/>
      <c r="BT100" s="24"/>
      <c r="BU100" s="24"/>
      <c r="BV100" s="24"/>
      <c r="BW100" s="24"/>
      <c r="BX100" s="24"/>
      <c r="BY100" s="24"/>
      <c r="BZ100" s="24"/>
      <c r="CA100" s="24"/>
      <c r="CB100" s="25"/>
      <c r="CC100" s="26"/>
      <c r="CD100" s="24"/>
      <c r="CE100" s="24"/>
      <c r="CF100" s="24"/>
      <c r="CG100" s="24"/>
      <c r="CH100" s="24"/>
      <c r="CI100" s="24"/>
      <c r="CJ100" s="24"/>
      <c r="CK100" s="24"/>
      <c r="CL100" s="24"/>
      <c r="CM100" s="24"/>
      <c r="CN100" s="24"/>
      <c r="CO100" s="25"/>
      <c r="CP100" s="26"/>
      <c r="CQ100" s="24"/>
      <c r="CR100" s="24"/>
      <c r="CS100" s="24"/>
      <c r="CT100" s="24"/>
      <c r="CU100" s="24"/>
      <c r="CV100" s="24"/>
      <c r="CW100" s="24"/>
      <c r="CX100" s="24"/>
      <c r="CY100" s="24"/>
      <c r="CZ100" s="24"/>
      <c r="DA100" s="24"/>
      <c r="DB100" s="25"/>
      <c r="DC100" s="26"/>
      <c r="DD100" s="24"/>
      <c r="DE100" s="24"/>
      <c r="DF100" s="24"/>
      <c r="DG100" s="24"/>
      <c r="DH100" s="24"/>
      <c r="DI100" s="24"/>
      <c r="DJ100" s="24"/>
      <c r="DK100" s="24"/>
      <c r="DL100" s="24"/>
      <c r="DM100" s="24"/>
      <c r="DN100" s="24"/>
      <c r="DO100" s="25"/>
      <c r="DP100" s="26"/>
      <c r="DQ100" s="24"/>
      <c r="DR100" s="24"/>
      <c r="DS100" s="24"/>
      <c r="DT100" s="24"/>
      <c r="DU100" s="24"/>
      <c r="DV100" s="24"/>
      <c r="DW100" s="24"/>
      <c r="DX100" s="24"/>
      <c r="DY100" s="24"/>
      <c r="DZ100" s="24"/>
      <c r="EA100" s="24"/>
      <c r="EB100" s="25"/>
      <c r="EC100" s="26"/>
      <c r="ED100" s="24"/>
      <c r="EE100" s="24"/>
      <c r="EF100" s="24"/>
      <c r="EG100" s="24"/>
      <c r="EH100" s="24"/>
      <c r="EI100" s="24"/>
      <c r="EJ100" s="24"/>
      <c r="EK100" s="24"/>
      <c r="EL100" s="24"/>
      <c r="EM100" s="24"/>
      <c r="EN100" s="24"/>
      <c r="EO100" s="25"/>
      <c r="EP100" s="26"/>
      <c r="EQ100" s="24"/>
      <c r="ER100" s="24"/>
      <c r="ES100" s="24"/>
      <c r="ET100" s="24"/>
      <c r="EU100" s="24"/>
      <c r="EV100" s="24"/>
      <c r="EW100" s="24"/>
      <c r="EX100" s="24"/>
      <c r="EY100" s="24"/>
      <c r="EZ100" s="24"/>
      <c r="FA100" s="24"/>
      <c r="FB100" s="25"/>
      <c r="FC100" s="26"/>
      <c r="FD100" s="24"/>
      <c r="FE100" s="24"/>
      <c r="FF100" s="24"/>
      <c r="FG100" s="24"/>
      <c r="FH100" s="24"/>
      <c r="FI100" s="24"/>
      <c r="FJ100" s="24"/>
      <c r="FK100" s="24"/>
      <c r="FL100" s="24"/>
      <c r="FM100" s="24"/>
      <c r="FN100" s="24"/>
      <c r="FO100" s="27">
        <f t="shared" ref="FO100:FV100" si="95">IFERROR(R100*1,0)+IFERROR(AE100*1,0)+IFERROR(AR100*1,0)+IFERROR(BE100*1,0)+IFERROR(BR100*1,0)+IFERROR(CE100*1,0)+IFERROR(CR100*1,0)+IFERROR(DE100*1,0)+IFERROR(DR100*1,0)+IFERROR(EE100*1,0)+IFERROR(ER100*1,0)+IFERROR(FE100*1,0)</f>
        <v>0</v>
      </c>
      <c r="FP100" s="27">
        <f t="shared" si="95"/>
        <v>0</v>
      </c>
      <c r="FQ100" s="27">
        <f t="shared" si="95"/>
        <v>0</v>
      </c>
      <c r="FR100" s="27">
        <f t="shared" si="95"/>
        <v>0</v>
      </c>
      <c r="FS100" s="27">
        <f t="shared" si="95"/>
        <v>0</v>
      </c>
      <c r="FT100" s="27">
        <f t="shared" si="95"/>
        <v>0</v>
      </c>
      <c r="FU100" s="27">
        <f t="shared" si="95"/>
        <v>0</v>
      </c>
      <c r="FV100" s="27">
        <f t="shared" si="95"/>
        <v>0</v>
      </c>
      <c r="FW100" s="28"/>
      <c r="FX100" s="29">
        <f t="shared" si="3"/>
        <v>0</v>
      </c>
    </row>
    <row r="101" spans="1:180" ht="18" customHeight="1" x14ac:dyDescent="0.25">
      <c r="A101" s="3" t="str">
        <f>IF(C101&lt;&gt;"","DRG-"&amp;TEXT(96,"000"),"")</f>
        <v>DRG-096</v>
      </c>
      <c r="B101" s="19">
        <v>1980</v>
      </c>
      <c r="C101" s="20">
        <v>1980</v>
      </c>
      <c r="D101" s="20" t="s">
        <v>56</v>
      </c>
      <c r="E101" s="20" t="s">
        <v>156</v>
      </c>
      <c r="F101" s="20" t="s">
        <v>58</v>
      </c>
      <c r="G101" s="21"/>
      <c r="H101" s="21"/>
      <c r="I101" s="21"/>
      <c r="J101" s="21"/>
      <c r="K101" s="21"/>
      <c r="L101" s="21">
        <v>4</v>
      </c>
      <c r="M101" s="30" t="str">
        <f t="shared" si="0"/>
        <v>✘ Pending</v>
      </c>
      <c r="N101" s="30">
        <f t="shared" si="1"/>
        <v>0</v>
      </c>
      <c r="O101" s="31"/>
      <c r="P101" s="32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1"/>
      <c r="AC101" s="32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1"/>
      <c r="AP101" s="32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1"/>
      <c r="BC101" s="32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1"/>
      <c r="BP101" s="32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1"/>
      <c r="CC101" s="32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1"/>
      <c r="CP101" s="32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1"/>
      <c r="DC101" s="32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1"/>
      <c r="DP101" s="32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1"/>
      <c r="EC101" s="32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1"/>
      <c r="EP101" s="32"/>
      <c r="EQ101" s="33"/>
      <c r="ER101" s="33"/>
      <c r="ES101" s="33"/>
      <c r="ET101" s="33"/>
      <c r="EU101" s="33"/>
      <c r="EV101" s="33"/>
      <c r="EW101" s="33"/>
      <c r="EX101" s="33"/>
      <c r="EY101" s="33"/>
      <c r="EZ101" s="33"/>
      <c r="FA101" s="33"/>
      <c r="FB101" s="31"/>
      <c r="FC101" s="32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4">
        <f t="shared" ref="FO101:FV101" si="96">IFERROR(R101*1,0)+IFERROR(AE101*1,0)+IFERROR(AR101*1,0)+IFERROR(BE101*1,0)+IFERROR(BR101*1,0)+IFERROR(CE101*1,0)+IFERROR(CR101*1,0)+IFERROR(DE101*1,0)+IFERROR(DR101*1,0)+IFERROR(EE101*1,0)+IFERROR(ER101*1,0)+IFERROR(FE101*1,0)</f>
        <v>0</v>
      </c>
      <c r="FP101" s="34">
        <f t="shared" si="96"/>
        <v>0</v>
      </c>
      <c r="FQ101" s="34">
        <f t="shared" si="96"/>
        <v>0</v>
      </c>
      <c r="FR101" s="34">
        <f t="shared" si="96"/>
        <v>0</v>
      </c>
      <c r="FS101" s="34">
        <f t="shared" si="96"/>
        <v>0</v>
      </c>
      <c r="FT101" s="34">
        <f t="shared" si="96"/>
        <v>0</v>
      </c>
      <c r="FU101" s="34">
        <f t="shared" si="96"/>
        <v>0</v>
      </c>
      <c r="FV101" s="34">
        <f t="shared" si="96"/>
        <v>0</v>
      </c>
      <c r="FW101" s="28"/>
      <c r="FX101" s="29">
        <f t="shared" si="3"/>
        <v>0</v>
      </c>
    </row>
    <row r="102" spans="1:180" ht="18" customHeight="1" x14ac:dyDescent="0.25">
      <c r="A102" s="3" t="str">
        <f>IF(C102&lt;&gt;"","DRG-"&amp;TEXT(97,"000"),"")</f>
        <v>DRG-097</v>
      </c>
      <c r="B102" s="19">
        <v>1980</v>
      </c>
      <c r="C102" s="20">
        <v>1980</v>
      </c>
      <c r="D102" s="20" t="s">
        <v>56</v>
      </c>
      <c r="E102" s="20" t="s">
        <v>87</v>
      </c>
      <c r="F102" s="20" t="s">
        <v>69</v>
      </c>
      <c r="G102" s="21"/>
      <c r="H102" s="21"/>
      <c r="I102" s="21"/>
      <c r="J102" s="21"/>
      <c r="K102" s="21"/>
      <c r="L102" s="21">
        <v>4</v>
      </c>
      <c r="M102" s="23" t="str">
        <f t="shared" si="0"/>
        <v>✘ Pending</v>
      </c>
      <c r="N102" s="23">
        <f t="shared" si="1"/>
        <v>0</v>
      </c>
      <c r="O102" s="25"/>
      <c r="P102" s="26"/>
      <c r="Q102" s="24"/>
      <c r="R102" s="24"/>
      <c r="S102" s="24"/>
      <c r="T102" s="24"/>
      <c r="U102" s="24"/>
      <c r="V102" s="24"/>
      <c r="W102" s="24"/>
      <c r="X102" s="24"/>
      <c r="Y102" s="24"/>
      <c r="Z102" s="24"/>
      <c r="AA102" s="24"/>
      <c r="AB102" s="25"/>
      <c r="AC102" s="26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5"/>
      <c r="AP102" s="26"/>
      <c r="AQ102" s="24"/>
      <c r="AR102" s="24"/>
      <c r="AS102" s="24"/>
      <c r="AT102" s="24"/>
      <c r="AU102" s="24"/>
      <c r="AV102" s="24"/>
      <c r="AW102" s="24"/>
      <c r="AX102" s="24"/>
      <c r="AY102" s="24"/>
      <c r="AZ102" s="24"/>
      <c r="BA102" s="24"/>
      <c r="BB102" s="25"/>
      <c r="BC102" s="26"/>
      <c r="BD102" s="24"/>
      <c r="BE102" s="24"/>
      <c r="BF102" s="24"/>
      <c r="BG102" s="24"/>
      <c r="BH102" s="24"/>
      <c r="BI102" s="24"/>
      <c r="BJ102" s="24"/>
      <c r="BK102" s="24"/>
      <c r="BL102" s="24"/>
      <c r="BM102" s="24"/>
      <c r="BN102" s="24"/>
      <c r="BO102" s="25"/>
      <c r="BP102" s="26"/>
      <c r="BQ102" s="24"/>
      <c r="BR102" s="24"/>
      <c r="BS102" s="24"/>
      <c r="BT102" s="24"/>
      <c r="BU102" s="24"/>
      <c r="BV102" s="24"/>
      <c r="BW102" s="24"/>
      <c r="BX102" s="24"/>
      <c r="BY102" s="24"/>
      <c r="BZ102" s="24"/>
      <c r="CA102" s="24"/>
      <c r="CB102" s="25"/>
      <c r="CC102" s="26"/>
      <c r="CD102" s="24"/>
      <c r="CE102" s="24"/>
      <c r="CF102" s="24"/>
      <c r="CG102" s="24"/>
      <c r="CH102" s="24"/>
      <c r="CI102" s="24"/>
      <c r="CJ102" s="24"/>
      <c r="CK102" s="24"/>
      <c r="CL102" s="24"/>
      <c r="CM102" s="24"/>
      <c r="CN102" s="24"/>
      <c r="CO102" s="25"/>
      <c r="CP102" s="26"/>
      <c r="CQ102" s="24"/>
      <c r="CR102" s="24"/>
      <c r="CS102" s="24"/>
      <c r="CT102" s="24"/>
      <c r="CU102" s="24"/>
      <c r="CV102" s="24"/>
      <c r="CW102" s="24"/>
      <c r="CX102" s="24"/>
      <c r="CY102" s="24"/>
      <c r="CZ102" s="24"/>
      <c r="DA102" s="24"/>
      <c r="DB102" s="25"/>
      <c r="DC102" s="26"/>
      <c r="DD102" s="24"/>
      <c r="DE102" s="24"/>
      <c r="DF102" s="24"/>
      <c r="DG102" s="24"/>
      <c r="DH102" s="24"/>
      <c r="DI102" s="24"/>
      <c r="DJ102" s="24"/>
      <c r="DK102" s="24"/>
      <c r="DL102" s="24"/>
      <c r="DM102" s="24"/>
      <c r="DN102" s="24"/>
      <c r="DO102" s="25"/>
      <c r="DP102" s="26"/>
      <c r="DQ102" s="24"/>
      <c r="DR102" s="24"/>
      <c r="DS102" s="24"/>
      <c r="DT102" s="24"/>
      <c r="DU102" s="24"/>
      <c r="DV102" s="24"/>
      <c r="DW102" s="24"/>
      <c r="DX102" s="24"/>
      <c r="DY102" s="24"/>
      <c r="DZ102" s="24"/>
      <c r="EA102" s="24"/>
      <c r="EB102" s="25"/>
      <c r="EC102" s="26"/>
      <c r="ED102" s="24"/>
      <c r="EE102" s="24"/>
      <c r="EF102" s="24"/>
      <c r="EG102" s="24"/>
      <c r="EH102" s="24"/>
      <c r="EI102" s="24"/>
      <c r="EJ102" s="24"/>
      <c r="EK102" s="24"/>
      <c r="EL102" s="24"/>
      <c r="EM102" s="24"/>
      <c r="EN102" s="24"/>
      <c r="EO102" s="25"/>
      <c r="EP102" s="26"/>
      <c r="EQ102" s="24"/>
      <c r="ER102" s="24"/>
      <c r="ES102" s="24"/>
      <c r="ET102" s="24"/>
      <c r="EU102" s="24"/>
      <c r="EV102" s="24"/>
      <c r="EW102" s="24"/>
      <c r="EX102" s="24"/>
      <c r="EY102" s="24"/>
      <c r="EZ102" s="24"/>
      <c r="FA102" s="24"/>
      <c r="FB102" s="25"/>
      <c r="FC102" s="26"/>
      <c r="FD102" s="24"/>
      <c r="FE102" s="24"/>
      <c r="FF102" s="24"/>
      <c r="FG102" s="24"/>
      <c r="FH102" s="24"/>
      <c r="FI102" s="24"/>
      <c r="FJ102" s="24"/>
      <c r="FK102" s="24"/>
      <c r="FL102" s="24"/>
      <c r="FM102" s="24"/>
      <c r="FN102" s="24"/>
      <c r="FO102" s="27">
        <f t="shared" ref="FO102:FV102" si="97">IFERROR(R102*1,0)+IFERROR(AE102*1,0)+IFERROR(AR102*1,0)+IFERROR(BE102*1,0)+IFERROR(BR102*1,0)+IFERROR(CE102*1,0)+IFERROR(CR102*1,0)+IFERROR(DE102*1,0)+IFERROR(DR102*1,0)+IFERROR(EE102*1,0)+IFERROR(ER102*1,0)+IFERROR(FE102*1,0)</f>
        <v>0</v>
      </c>
      <c r="FP102" s="27">
        <f t="shared" si="97"/>
        <v>0</v>
      </c>
      <c r="FQ102" s="27">
        <f t="shared" si="97"/>
        <v>0</v>
      </c>
      <c r="FR102" s="27">
        <f t="shared" si="97"/>
        <v>0</v>
      </c>
      <c r="FS102" s="27">
        <f t="shared" si="97"/>
        <v>0</v>
      </c>
      <c r="FT102" s="27">
        <f t="shared" si="97"/>
        <v>0</v>
      </c>
      <c r="FU102" s="27">
        <f t="shared" si="97"/>
        <v>0</v>
      </c>
      <c r="FV102" s="27">
        <f t="shared" si="97"/>
        <v>0</v>
      </c>
      <c r="FW102" s="28"/>
      <c r="FX102" s="29">
        <f t="shared" si="3"/>
        <v>0</v>
      </c>
    </row>
    <row r="103" spans="1:180" ht="18" customHeight="1" x14ac:dyDescent="0.25">
      <c r="A103" s="3" t="str">
        <f>IF(C103&lt;&gt;"","DRG-"&amp;TEXT(98,"000"),"")</f>
        <v>DRG-098</v>
      </c>
      <c r="B103" s="19">
        <v>1980</v>
      </c>
      <c r="C103" s="20">
        <v>1980</v>
      </c>
      <c r="D103" s="20" t="s">
        <v>56</v>
      </c>
      <c r="E103" s="20" t="s">
        <v>157</v>
      </c>
      <c r="F103" s="20" t="s">
        <v>69</v>
      </c>
      <c r="G103" s="21"/>
      <c r="H103" s="21"/>
      <c r="I103" s="21"/>
      <c r="J103" s="21"/>
      <c r="K103" s="21"/>
      <c r="L103" s="21">
        <v>4</v>
      </c>
      <c r="M103" s="30" t="str">
        <f t="shared" si="0"/>
        <v>✘ Pending</v>
      </c>
      <c r="N103" s="30">
        <f t="shared" si="1"/>
        <v>0</v>
      </c>
      <c r="O103" s="31"/>
      <c r="P103" s="32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1"/>
      <c r="AC103" s="32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1"/>
      <c r="AP103" s="32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1"/>
      <c r="BC103" s="32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1"/>
      <c r="BP103" s="32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1"/>
      <c r="CC103" s="32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1"/>
      <c r="CP103" s="32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1"/>
      <c r="DC103" s="32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1"/>
      <c r="DP103" s="32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1"/>
      <c r="EC103" s="32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1"/>
      <c r="EP103" s="32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1"/>
      <c r="FC103" s="32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4">
        <f t="shared" ref="FO103:FV103" si="98">IFERROR(R103*1,0)+IFERROR(AE103*1,0)+IFERROR(AR103*1,0)+IFERROR(BE103*1,0)+IFERROR(BR103*1,0)+IFERROR(CE103*1,0)+IFERROR(CR103*1,0)+IFERROR(DE103*1,0)+IFERROR(DR103*1,0)+IFERROR(EE103*1,0)+IFERROR(ER103*1,0)+IFERROR(FE103*1,0)</f>
        <v>0</v>
      </c>
      <c r="FP103" s="34">
        <f t="shared" si="98"/>
        <v>0</v>
      </c>
      <c r="FQ103" s="34">
        <f t="shared" si="98"/>
        <v>0</v>
      </c>
      <c r="FR103" s="34">
        <f t="shared" si="98"/>
        <v>0</v>
      </c>
      <c r="FS103" s="34">
        <f t="shared" si="98"/>
        <v>0</v>
      </c>
      <c r="FT103" s="34">
        <f t="shared" si="98"/>
        <v>0</v>
      </c>
      <c r="FU103" s="34">
        <f t="shared" si="98"/>
        <v>0</v>
      </c>
      <c r="FV103" s="34">
        <f t="shared" si="98"/>
        <v>0</v>
      </c>
      <c r="FW103" s="28"/>
      <c r="FX103" s="29">
        <f t="shared" si="3"/>
        <v>0</v>
      </c>
    </row>
    <row r="104" spans="1:180" ht="18" customHeight="1" x14ac:dyDescent="0.25">
      <c r="A104" s="3"/>
      <c r="B104" s="19">
        <v>1980</v>
      </c>
      <c r="C104" s="20">
        <v>1980</v>
      </c>
      <c r="D104" s="20" t="s">
        <v>56</v>
      </c>
      <c r="E104" s="20" t="s">
        <v>318</v>
      </c>
      <c r="F104" s="20" t="s">
        <v>69</v>
      </c>
      <c r="G104" s="21"/>
      <c r="H104" s="21"/>
      <c r="I104" s="21"/>
      <c r="J104" s="21"/>
      <c r="K104" s="21"/>
      <c r="L104" s="21"/>
      <c r="M104" s="30"/>
      <c r="N104" s="30"/>
      <c r="O104" s="31"/>
      <c r="P104" s="32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1"/>
      <c r="AC104" s="32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1"/>
      <c r="AP104" s="32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1"/>
      <c r="BC104" s="32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1"/>
      <c r="BP104" s="32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1"/>
      <c r="CC104" s="32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1"/>
      <c r="CP104" s="32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1"/>
      <c r="DC104" s="32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1"/>
      <c r="DP104" s="32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1"/>
      <c r="EC104" s="32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1"/>
      <c r="EP104" s="32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1"/>
      <c r="FC104" s="32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4"/>
      <c r="FP104" s="34"/>
      <c r="FQ104" s="34"/>
      <c r="FR104" s="34"/>
      <c r="FS104" s="34"/>
      <c r="FT104" s="34"/>
      <c r="FU104" s="34"/>
      <c r="FV104" s="34"/>
      <c r="FW104" s="28"/>
      <c r="FX104" s="29"/>
    </row>
    <row r="105" spans="1:180" ht="18" customHeight="1" x14ac:dyDescent="0.25">
      <c r="A105" s="3" t="str">
        <f>IF(C105&lt;&gt;"","DRG-"&amp;TEXT(99,"000"),"")</f>
        <v>DRG-099</v>
      </c>
      <c r="B105" s="19">
        <v>1980</v>
      </c>
      <c r="C105" s="20">
        <v>1980</v>
      </c>
      <c r="D105" s="20" t="s">
        <v>56</v>
      </c>
      <c r="E105" s="20" t="s">
        <v>158</v>
      </c>
      <c r="F105" s="20" t="s">
        <v>69</v>
      </c>
      <c r="G105" s="21"/>
      <c r="H105" s="21"/>
      <c r="I105" s="22">
        <v>0.29166666666666669</v>
      </c>
      <c r="J105" s="21" t="s">
        <v>73</v>
      </c>
      <c r="K105" s="21">
        <v>4</v>
      </c>
      <c r="L105" s="21">
        <v>8</v>
      </c>
      <c r="M105" s="23" t="str">
        <f t="shared" si="0"/>
        <v>✘ Pending</v>
      </c>
      <c r="N105" s="23">
        <f t="shared" si="1"/>
        <v>0</v>
      </c>
      <c r="O105" s="25"/>
      <c r="P105" s="26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5"/>
      <c r="AC105" s="26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5"/>
      <c r="AP105" s="26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5"/>
      <c r="BC105" s="26"/>
      <c r="BD105" s="24"/>
      <c r="BE105" s="24"/>
      <c r="BF105" s="24"/>
      <c r="BG105" s="24"/>
      <c r="BH105" s="24"/>
      <c r="BI105" s="24"/>
      <c r="BJ105" s="24"/>
      <c r="BK105" s="24"/>
      <c r="BL105" s="24"/>
      <c r="BM105" s="24"/>
      <c r="BN105" s="24"/>
      <c r="BO105" s="25"/>
      <c r="BP105" s="26"/>
      <c r="BQ105" s="24"/>
      <c r="BR105" s="24"/>
      <c r="BS105" s="24"/>
      <c r="BT105" s="24"/>
      <c r="BU105" s="24"/>
      <c r="BV105" s="24"/>
      <c r="BW105" s="24"/>
      <c r="BX105" s="24"/>
      <c r="BY105" s="24"/>
      <c r="BZ105" s="24"/>
      <c r="CA105" s="24"/>
      <c r="CB105" s="25"/>
      <c r="CC105" s="26"/>
      <c r="CD105" s="24"/>
      <c r="CE105" s="24"/>
      <c r="CF105" s="24"/>
      <c r="CG105" s="24"/>
      <c r="CH105" s="24"/>
      <c r="CI105" s="24"/>
      <c r="CJ105" s="24"/>
      <c r="CK105" s="24"/>
      <c r="CL105" s="24"/>
      <c r="CM105" s="24"/>
      <c r="CN105" s="24"/>
      <c r="CO105" s="25"/>
      <c r="CP105" s="26"/>
      <c r="CQ105" s="24"/>
      <c r="CR105" s="24"/>
      <c r="CS105" s="24"/>
      <c r="CT105" s="24"/>
      <c r="CU105" s="24"/>
      <c r="CV105" s="24"/>
      <c r="CW105" s="24"/>
      <c r="CX105" s="24"/>
      <c r="CY105" s="24"/>
      <c r="CZ105" s="24"/>
      <c r="DA105" s="24"/>
      <c r="DB105" s="25"/>
      <c r="DC105" s="26"/>
      <c r="DD105" s="24"/>
      <c r="DE105" s="24"/>
      <c r="DF105" s="24"/>
      <c r="DG105" s="24"/>
      <c r="DH105" s="24"/>
      <c r="DI105" s="24"/>
      <c r="DJ105" s="24"/>
      <c r="DK105" s="24"/>
      <c r="DL105" s="24"/>
      <c r="DM105" s="24"/>
      <c r="DN105" s="24"/>
      <c r="DO105" s="25"/>
      <c r="DP105" s="26"/>
      <c r="DQ105" s="24"/>
      <c r="DR105" s="24"/>
      <c r="DS105" s="24"/>
      <c r="DT105" s="24"/>
      <c r="DU105" s="24"/>
      <c r="DV105" s="24"/>
      <c r="DW105" s="24"/>
      <c r="DX105" s="24"/>
      <c r="DY105" s="24"/>
      <c r="DZ105" s="24"/>
      <c r="EA105" s="24"/>
      <c r="EB105" s="25"/>
      <c r="EC105" s="26"/>
      <c r="ED105" s="24"/>
      <c r="EE105" s="24"/>
      <c r="EF105" s="24"/>
      <c r="EG105" s="24"/>
      <c r="EH105" s="24"/>
      <c r="EI105" s="24"/>
      <c r="EJ105" s="24"/>
      <c r="EK105" s="24"/>
      <c r="EL105" s="24"/>
      <c r="EM105" s="24"/>
      <c r="EN105" s="24"/>
      <c r="EO105" s="25"/>
      <c r="EP105" s="26"/>
      <c r="EQ105" s="24"/>
      <c r="ER105" s="24"/>
      <c r="ES105" s="24"/>
      <c r="ET105" s="24"/>
      <c r="EU105" s="24"/>
      <c r="EV105" s="24"/>
      <c r="EW105" s="24"/>
      <c r="EX105" s="24"/>
      <c r="EY105" s="24"/>
      <c r="EZ105" s="24"/>
      <c r="FA105" s="24"/>
      <c r="FB105" s="25"/>
      <c r="FC105" s="26"/>
      <c r="FD105" s="24"/>
      <c r="FE105" s="24"/>
      <c r="FF105" s="24"/>
      <c r="FG105" s="24"/>
      <c r="FH105" s="24"/>
      <c r="FI105" s="24"/>
      <c r="FJ105" s="24"/>
      <c r="FK105" s="24"/>
      <c r="FL105" s="24"/>
      <c r="FM105" s="24"/>
      <c r="FN105" s="24"/>
      <c r="FO105" s="27">
        <f t="shared" ref="FO105:FV105" si="99">IFERROR(R105*1,0)+IFERROR(AE105*1,0)+IFERROR(AR105*1,0)+IFERROR(BE105*1,0)+IFERROR(BR105*1,0)+IFERROR(CE105*1,0)+IFERROR(CR105*1,0)+IFERROR(DE105*1,0)+IFERROR(DR105*1,0)+IFERROR(EE105*1,0)+IFERROR(ER105*1,0)+IFERROR(FE105*1,0)</f>
        <v>0</v>
      </c>
      <c r="FP105" s="27">
        <f t="shared" si="99"/>
        <v>0</v>
      </c>
      <c r="FQ105" s="27">
        <f t="shared" si="99"/>
        <v>0</v>
      </c>
      <c r="FR105" s="27">
        <f t="shared" si="99"/>
        <v>0</v>
      </c>
      <c r="FS105" s="27">
        <f t="shared" si="99"/>
        <v>0</v>
      </c>
      <c r="FT105" s="27">
        <f t="shared" si="99"/>
        <v>0</v>
      </c>
      <c r="FU105" s="27">
        <f t="shared" si="99"/>
        <v>0</v>
      </c>
      <c r="FV105" s="27">
        <f t="shared" si="99"/>
        <v>0</v>
      </c>
      <c r="FW105" s="28"/>
      <c r="FX105" s="29">
        <f t="shared" si="3"/>
        <v>0</v>
      </c>
    </row>
    <row r="106" spans="1:180" ht="18" customHeight="1" x14ac:dyDescent="0.25">
      <c r="A106" s="3" t="str">
        <f>IF(C106&lt;&gt;"","DRG-"&amp;TEXT(100,"000"),"")</f>
        <v>DRG-100</v>
      </c>
      <c r="B106" s="19">
        <v>1980</v>
      </c>
      <c r="C106" s="20">
        <v>1980</v>
      </c>
      <c r="D106" s="20" t="s">
        <v>56</v>
      </c>
      <c r="E106" s="20" t="s">
        <v>159</v>
      </c>
      <c r="F106" s="20" t="s">
        <v>58</v>
      </c>
      <c r="G106" s="21" t="s">
        <v>160</v>
      </c>
      <c r="H106" s="21"/>
      <c r="I106" s="22">
        <v>0.29166666666666669</v>
      </c>
      <c r="J106" s="21" t="s">
        <v>73</v>
      </c>
      <c r="K106" s="21">
        <v>4</v>
      </c>
      <c r="L106" s="21">
        <v>8</v>
      </c>
      <c r="M106" s="30" t="str">
        <f t="shared" si="0"/>
        <v>✘ Pending</v>
      </c>
      <c r="N106" s="30">
        <f t="shared" si="1"/>
        <v>0</v>
      </c>
      <c r="O106" s="31"/>
      <c r="P106" s="32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1"/>
      <c r="AC106" s="32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1"/>
      <c r="AP106" s="32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1"/>
      <c r="BC106" s="32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1"/>
      <c r="BP106" s="32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1"/>
      <c r="CC106" s="32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1"/>
      <c r="CP106" s="32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1"/>
      <c r="DC106" s="32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1"/>
      <c r="DP106" s="32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1"/>
      <c r="EC106" s="32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1"/>
      <c r="EP106" s="32"/>
      <c r="EQ106" s="33"/>
      <c r="ER106" s="33"/>
      <c r="ES106" s="33"/>
      <c r="ET106" s="33"/>
      <c r="EU106" s="33"/>
      <c r="EV106" s="33"/>
      <c r="EW106" s="33"/>
      <c r="EX106" s="33"/>
      <c r="EY106" s="33"/>
      <c r="EZ106" s="33"/>
      <c r="FA106" s="33"/>
      <c r="FB106" s="31"/>
      <c r="FC106" s="32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4">
        <f t="shared" ref="FO106:FV106" si="100">IFERROR(R106*1,0)+IFERROR(AE106*1,0)+IFERROR(AR106*1,0)+IFERROR(BE106*1,0)+IFERROR(BR106*1,0)+IFERROR(CE106*1,0)+IFERROR(CR106*1,0)+IFERROR(DE106*1,0)+IFERROR(DR106*1,0)+IFERROR(EE106*1,0)+IFERROR(ER106*1,0)+IFERROR(FE106*1,0)</f>
        <v>0</v>
      </c>
      <c r="FP106" s="34">
        <f t="shared" si="100"/>
        <v>0</v>
      </c>
      <c r="FQ106" s="34">
        <f t="shared" si="100"/>
        <v>0</v>
      </c>
      <c r="FR106" s="34">
        <f t="shared" si="100"/>
        <v>0</v>
      </c>
      <c r="FS106" s="34">
        <f t="shared" si="100"/>
        <v>0</v>
      </c>
      <c r="FT106" s="34">
        <f t="shared" si="100"/>
        <v>0</v>
      </c>
      <c r="FU106" s="34">
        <f t="shared" si="100"/>
        <v>0</v>
      </c>
      <c r="FV106" s="34">
        <f t="shared" si="100"/>
        <v>0</v>
      </c>
      <c r="FW106" s="28"/>
      <c r="FX106" s="29">
        <f t="shared" si="3"/>
        <v>0</v>
      </c>
    </row>
    <row r="107" spans="1:180" ht="18" customHeight="1" x14ac:dyDescent="0.25">
      <c r="A107" s="3" t="str">
        <f>IF(C107&lt;&gt;"","DRG-"&amp;TEXT(101,"000"),"")</f>
        <v>DRG-101</v>
      </c>
      <c r="B107" s="19">
        <v>1980</v>
      </c>
      <c r="C107" s="20">
        <v>1980</v>
      </c>
      <c r="D107" s="20" t="s">
        <v>56</v>
      </c>
      <c r="E107" s="20" t="s">
        <v>161</v>
      </c>
      <c r="F107" s="20" t="s">
        <v>58</v>
      </c>
      <c r="G107" s="21"/>
      <c r="H107" s="21"/>
      <c r="I107" s="22">
        <v>0.29166666666666669</v>
      </c>
      <c r="J107" s="21" t="s">
        <v>73</v>
      </c>
      <c r="K107" s="21">
        <v>4</v>
      </c>
      <c r="L107" s="21">
        <v>8</v>
      </c>
      <c r="M107" s="23" t="str">
        <f t="shared" si="0"/>
        <v>✘ Pending</v>
      </c>
      <c r="N107" s="23">
        <f t="shared" si="1"/>
        <v>0</v>
      </c>
      <c r="O107" s="25"/>
      <c r="P107" s="26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5"/>
      <c r="AC107" s="26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5"/>
      <c r="AP107" s="26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5"/>
      <c r="BC107" s="26"/>
      <c r="BD107" s="24"/>
      <c r="BE107" s="24"/>
      <c r="BF107" s="24"/>
      <c r="BG107" s="24"/>
      <c r="BH107" s="24"/>
      <c r="BI107" s="24"/>
      <c r="BJ107" s="24"/>
      <c r="BK107" s="24"/>
      <c r="BL107" s="24"/>
      <c r="BM107" s="24"/>
      <c r="BN107" s="24"/>
      <c r="BO107" s="25"/>
      <c r="BP107" s="26"/>
      <c r="BQ107" s="24"/>
      <c r="BR107" s="24"/>
      <c r="BS107" s="24"/>
      <c r="BT107" s="24"/>
      <c r="BU107" s="24"/>
      <c r="BV107" s="24"/>
      <c r="BW107" s="24"/>
      <c r="BX107" s="24"/>
      <c r="BY107" s="24"/>
      <c r="BZ107" s="24"/>
      <c r="CA107" s="24"/>
      <c r="CB107" s="25"/>
      <c r="CC107" s="26"/>
      <c r="CD107" s="24"/>
      <c r="CE107" s="24"/>
      <c r="CF107" s="24"/>
      <c r="CG107" s="24"/>
      <c r="CH107" s="24"/>
      <c r="CI107" s="24"/>
      <c r="CJ107" s="24"/>
      <c r="CK107" s="24"/>
      <c r="CL107" s="24"/>
      <c r="CM107" s="24"/>
      <c r="CN107" s="24"/>
      <c r="CO107" s="25"/>
      <c r="CP107" s="26"/>
      <c r="CQ107" s="24"/>
      <c r="CR107" s="24"/>
      <c r="CS107" s="24"/>
      <c r="CT107" s="24"/>
      <c r="CU107" s="24"/>
      <c r="CV107" s="24"/>
      <c r="CW107" s="24"/>
      <c r="CX107" s="24"/>
      <c r="CY107" s="24"/>
      <c r="CZ107" s="24"/>
      <c r="DA107" s="24"/>
      <c r="DB107" s="25"/>
      <c r="DC107" s="26"/>
      <c r="DD107" s="24"/>
      <c r="DE107" s="24"/>
      <c r="DF107" s="24"/>
      <c r="DG107" s="24"/>
      <c r="DH107" s="24"/>
      <c r="DI107" s="24"/>
      <c r="DJ107" s="24"/>
      <c r="DK107" s="24"/>
      <c r="DL107" s="24"/>
      <c r="DM107" s="24"/>
      <c r="DN107" s="24"/>
      <c r="DO107" s="25"/>
      <c r="DP107" s="26"/>
      <c r="DQ107" s="24"/>
      <c r="DR107" s="24"/>
      <c r="DS107" s="24"/>
      <c r="DT107" s="24"/>
      <c r="DU107" s="24"/>
      <c r="DV107" s="24"/>
      <c r="DW107" s="24"/>
      <c r="DX107" s="24"/>
      <c r="DY107" s="24"/>
      <c r="DZ107" s="24"/>
      <c r="EA107" s="24"/>
      <c r="EB107" s="25"/>
      <c r="EC107" s="26"/>
      <c r="ED107" s="24"/>
      <c r="EE107" s="24"/>
      <c r="EF107" s="24"/>
      <c r="EG107" s="24"/>
      <c r="EH107" s="24"/>
      <c r="EI107" s="24"/>
      <c r="EJ107" s="24"/>
      <c r="EK107" s="24"/>
      <c r="EL107" s="24"/>
      <c r="EM107" s="24"/>
      <c r="EN107" s="24"/>
      <c r="EO107" s="25"/>
      <c r="EP107" s="26"/>
      <c r="EQ107" s="24"/>
      <c r="ER107" s="24"/>
      <c r="ES107" s="24"/>
      <c r="ET107" s="24"/>
      <c r="EU107" s="24"/>
      <c r="EV107" s="24"/>
      <c r="EW107" s="24"/>
      <c r="EX107" s="24"/>
      <c r="EY107" s="24"/>
      <c r="EZ107" s="24"/>
      <c r="FA107" s="24"/>
      <c r="FB107" s="25"/>
      <c r="FC107" s="26"/>
      <c r="FD107" s="24"/>
      <c r="FE107" s="24"/>
      <c r="FF107" s="24"/>
      <c r="FG107" s="24"/>
      <c r="FH107" s="24"/>
      <c r="FI107" s="24"/>
      <c r="FJ107" s="24"/>
      <c r="FK107" s="24"/>
      <c r="FL107" s="24"/>
      <c r="FM107" s="24"/>
      <c r="FN107" s="24"/>
      <c r="FO107" s="27">
        <f t="shared" ref="FO107:FV107" si="101">IFERROR(R107*1,0)+IFERROR(AE107*1,0)+IFERROR(AR107*1,0)+IFERROR(BE107*1,0)+IFERROR(BR107*1,0)+IFERROR(CE107*1,0)+IFERROR(CR107*1,0)+IFERROR(DE107*1,0)+IFERROR(DR107*1,0)+IFERROR(EE107*1,0)+IFERROR(ER107*1,0)+IFERROR(FE107*1,0)</f>
        <v>0</v>
      </c>
      <c r="FP107" s="27">
        <f t="shared" si="101"/>
        <v>0</v>
      </c>
      <c r="FQ107" s="27">
        <f t="shared" si="101"/>
        <v>0</v>
      </c>
      <c r="FR107" s="27">
        <f t="shared" si="101"/>
        <v>0</v>
      </c>
      <c r="FS107" s="27">
        <f t="shared" si="101"/>
        <v>0</v>
      </c>
      <c r="FT107" s="27">
        <f t="shared" si="101"/>
        <v>0</v>
      </c>
      <c r="FU107" s="27">
        <f t="shared" si="101"/>
        <v>0</v>
      </c>
      <c r="FV107" s="27">
        <f t="shared" si="101"/>
        <v>0</v>
      </c>
      <c r="FW107" s="28"/>
      <c r="FX107" s="29">
        <f t="shared" si="3"/>
        <v>0</v>
      </c>
    </row>
    <row r="108" spans="1:180" ht="18" customHeight="1" x14ac:dyDescent="0.25">
      <c r="A108" s="3" t="str">
        <f>IF(C108&lt;&gt;"","DRG-"&amp;TEXT(102,"000"),"")</f>
        <v>DRG-102</v>
      </c>
      <c r="B108" s="19" t="s">
        <v>162</v>
      </c>
      <c r="C108" s="20" t="s">
        <v>162</v>
      </c>
      <c r="D108" s="20" t="s">
        <v>56</v>
      </c>
      <c r="E108" s="20" t="s">
        <v>163</v>
      </c>
      <c r="F108" s="20" t="s">
        <v>69</v>
      </c>
      <c r="G108" s="21"/>
      <c r="H108" s="21"/>
      <c r="I108" s="21"/>
      <c r="J108" s="21"/>
      <c r="K108" s="21"/>
      <c r="L108" s="21">
        <v>4</v>
      </c>
      <c r="M108" s="30" t="str">
        <f t="shared" si="0"/>
        <v>✘ Pending</v>
      </c>
      <c r="N108" s="30">
        <f t="shared" si="1"/>
        <v>0</v>
      </c>
      <c r="O108" s="31"/>
      <c r="P108" s="32"/>
      <c r="Q108" s="33"/>
      <c r="R108" s="33"/>
      <c r="S108" s="33"/>
      <c r="T108" s="33"/>
      <c r="U108" s="33"/>
      <c r="V108" s="33"/>
      <c r="W108" s="33"/>
      <c r="X108" s="33"/>
      <c r="Y108" s="33"/>
      <c r="Z108" s="33"/>
      <c r="AA108" s="33"/>
      <c r="AB108" s="31"/>
      <c r="AC108" s="32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1"/>
      <c r="AP108" s="32"/>
      <c r="AQ108" s="33"/>
      <c r="AR108" s="33"/>
      <c r="AS108" s="33"/>
      <c r="AT108" s="33"/>
      <c r="AU108" s="33"/>
      <c r="AV108" s="33"/>
      <c r="AW108" s="33"/>
      <c r="AX108" s="33"/>
      <c r="AY108" s="33"/>
      <c r="AZ108" s="33"/>
      <c r="BA108" s="33"/>
      <c r="BB108" s="31"/>
      <c r="BC108" s="32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1"/>
      <c r="BP108" s="32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1"/>
      <c r="CC108" s="32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1"/>
      <c r="CP108" s="32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1"/>
      <c r="DC108" s="32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1"/>
      <c r="DP108" s="32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1"/>
      <c r="EC108" s="32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1"/>
      <c r="EP108" s="32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1"/>
      <c r="FC108" s="32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4">
        <f t="shared" ref="FO108:FV108" si="102">IFERROR(R108*1,0)+IFERROR(AE108*1,0)+IFERROR(AR108*1,0)+IFERROR(BE108*1,0)+IFERROR(BR108*1,0)+IFERROR(CE108*1,0)+IFERROR(CR108*1,0)+IFERROR(DE108*1,0)+IFERROR(DR108*1,0)+IFERROR(EE108*1,0)+IFERROR(ER108*1,0)+IFERROR(FE108*1,0)</f>
        <v>0</v>
      </c>
      <c r="FP108" s="34">
        <f t="shared" si="102"/>
        <v>0</v>
      </c>
      <c r="FQ108" s="34">
        <f t="shared" si="102"/>
        <v>0</v>
      </c>
      <c r="FR108" s="34">
        <f t="shared" si="102"/>
        <v>0</v>
      </c>
      <c r="FS108" s="34">
        <f t="shared" si="102"/>
        <v>0</v>
      </c>
      <c r="FT108" s="34">
        <f t="shared" si="102"/>
        <v>0</v>
      </c>
      <c r="FU108" s="34">
        <f t="shared" si="102"/>
        <v>0</v>
      </c>
      <c r="FV108" s="34">
        <f t="shared" si="102"/>
        <v>0</v>
      </c>
      <c r="FW108" s="28"/>
      <c r="FX108" s="29">
        <f t="shared" si="3"/>
        <v>0</v>
      </c>
    </row>
    <row r="109" spans="1:180" ht="18" customHeight="1" x14ac:dyDescent="0.25">
      <c r="A109" s="3" t="str">
        <f>IF(C109&lt;&gt;"","DRG-"&amp;TEXT(103,"000"),"")</f>
        <v>DRG-103</v>
      </c>
      <c r="B109" s="19" t="s">
        <v>164</v>
      </c>
      <c r="C109" s="20" t="s">
        <v>164</v>
      </c>
      <c r="D109" s="20" t="s">
        <v>56</v>
      </c>
      <c r="E109" s="20" t="s">
        <v>165</v>
      </c>
      <c r="F109" s="20" t="s">
        <v>58</v>
      </c>
      <c r="G109" s="21"/>
      <c r="H109" s="21"/>
      <c r="I109" s="21"/>
      <c r="J109" s="21"/>
      <c r="K109" s="21"/>
      <c r="L109" s="21">
        <v>4</v>
      </c>
      <c r="M109" s="23" t="str">
        <f t="shared" si="0"/>
        <v>✘ Pending</v>
      </c>
      <c r="N109" s="23">
        <f t="shared" si="1"/>
        <v>0</v>
      </c>
      <c r="O109" s="25"/>
      <c r="P109" s="26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  <c r="AB109" s="25"/>
      <c r="AC109" s="26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5"/>
      <c r="AP109" s="26"/>
      <c r="AQ109" s="24"/>
      <c r="AR109" s="24"/>
      <c r="AS109" s="24"/>
      <c r="AT109" s="24"/>
      <c r="AU109" s="24"/>
      <c r="AV109" s="24"/>
      <c r="AW109" s="24"/>
      <c r="AX109" s="24"/>
      <c r="AY109" s="24"/>
      <c r="AZ109" s="24"/>
      <c r="BA109" s="24"/>
      <c r="BB109" s="25"/>
      <c r="BC109" s="26"/>
      <c r="BD109" s="24"/>
      <c r="BE109" s="24"/>
      <c r="BF109" s="24"/>
      <c r="BG109" s="24"/>
      <c r="BH109" s="24"/>
      <c r="BI109" s="24"/>
      <c r="BJ109" s="24"/>
      <c r="BK109" s="24"/>
      <c r="BL109" s="24"/>
      <c r="BM109" s="24"/>
      <c r="BN109" s="24"/>
      <c r="BO109" s="25"/>
      <c r="BP109" s="26"/>
      <c r="BQ109" s="24"/>
      <c r="BR109" s="24"/>
      <c r="BS109" s="24"/>
      <c r="BT109" s="24"/>
      <c r="BU109" s="24"/>
      <c r="BV109" s="24"/>
      <c r="BW109" s="24"/>
      <c r="BX109" s="24"/>
      <c r="BY109" s="24"/>
      <c r="BZ109" s="24"/>
      <c r="CA109" s="24"/>
      <c r="CB109" s="25"/>
      <c r="CC109" s="26"/>
      <c r="CD109" s="24"/>
      <c r="CE109" s="24"/>
      <c r="CF109" s="24"/>
      <c r="CG109" s="24"/>
      <c r="CH109" s="24"/>
      <c r="CI109" s="24"/>
      <c r="CJ109" s="24"/>
      <c r="CK109" s="24"/>
      <c r="CL109" s="24"/>
      <c r="CM109" s="24"/>
      <c r="CN109" s="24"/>
      <c r="CO109" s="25"/>
      <c r="CP109" s="26"/>
      <c r="CQ109" s="24"/>
      <c r="CR109" s="24"/>
      <c r="CS109" s="24"/>
      <c r="CT109" s="24"/>
      <c r="CU109" s="24"/>
      <c r="CV109" s="24"/>
      <c r="CW109" s="24"/>
      <c r="CX109" s="24"/>
      <c r="CY109" s="24"/>
      <c r="CZ109" s="24"/>
      <c r="DA109" s="24"/>
      <c r="DB109" s="25"/>
      <c r="DC109" s="26"/>
      <c r="DD109" s="24"/>
      <c r="DE109" s="24"/>
      <c r="DF109" s="24"/>
      <c r="DG109" s="24"/>
      <c r="DH109" s="24"/>
      <c r="DI109" s="24"/>
      <c r="DJ109" s="24"/>
      <c r="DK109" s="24"/>
      <c r="DL109" s="24"/>
      <c r="DM109" s="24"/>
      <c r="DN109" s="24"/>
      <c r="DO109" s="25"/>
      <c r="DP109" s="26"/>
      <c r="DQ109" s="24"/>
      <c r="DR109" s="24"/>
      <c r="DS109" s="24"/>
      <c r="DT109" s="24"/>
      <c r="DU109" s="24"/>
      <c r="DV109" s="24"/>
      <c r="DW109" s="24"/>
      <c r="DX109" s="24"/>
      <c r="DY109" s="24"/>
      <c r="DZ109" s="24"/>
      <c r="EA109" s="24"/>
      <c r="EB109" s="25"/>
      <c r="EC109" s="26"/>
      <c r="ED109" s="24"/>
      <c r="EE109" s="24"/>
      <c r="EF109" s="24"/>
      <c r="EG109" s="24"/>
      <c r="EH109" s="24"/>
      <c r="EI109" s="24"/>
      <c r="EJ109" s="24"/>
      <c r="EK109" s="24"/>
      <c r="EL109" s="24"/>
      <c r="EM109" s="24"/>
      <c r="EN109" s="24"/>
      <c r="EO109" s="25"/>
      <c r="EP109" s="26"/>
      <c r="EQ109" s="24"/>
      <c r="ER109" s="24"/>
      <c r="ES109" s="24"/>
      <c r="ET109" s="24"/>
      <c r="EU109" s="24"/>
      <c r="EV109" s="24"/>
      <c r="EW109" s="24"/>
      <c r="EX109" s="24"/>
      <c r="EY109" s="24"/>
      <c r="EZ109" s="24"/>
      <c r="FA109" s="24"/>
      <c r="FB109" s="25"/>
      <c r="FC109" s="26"/>
      <c r="FD109" s="24"/>
      <c r="FE109" s="24"/>
      <c r="FF109" s="24"/>
      <c r="FG109" s="24"/>
      <c r="FH109" s="24"/>
      <c r="FI109" s="24"/>
      <c r="FJ109" s="24"/>
      <c r="FK109" s="24"/>
      <c r="FL109" s="24"/>
      <c r="FM109" s="24"/>
      <c r="FN109" s="24"/>
      <c r="FO109" s="27">
        <f t="shared" ref="FO109:FV109" si="103">IFERROR(R109*1,0)+IFERROR(AE109*1,0)+IFERROR(AR109*1,0)+IFERROR(BE109*1,0)+IFERROR(BR109*1,0)+IFERROR(CE109*1,0)+IFERROR(CR109*1,0)+IFERROR(DE109*1,0)+IFERROR(DR109*1,0)+IFERROR(EE109*1,0)+IFERROR(ER109*1,0)+IFERROR(FE109*1,0)</f>
        <v>0</v>
      </c>
      <c r="FP109" s="27">
        <f t="shared" si="103"/>
        <v>0</v>
      </c>
      <c r="FQ109" s="27">
        <f t="shared" si="103"/>
        <v>0</v>
      </c>
      <c r="FR109" s="27">
        <f t="shared" si="103"/>
        <v>0</v>
      </c>
      <c r="FS109" s="27">
        <f t="shared" si="103"/>
        <v>0</v>
      </c>
      <c r="FT109" s="27">
        <f t="shared" si="103"/>
        <v>0</v>
      </c>
      <c r="FU109" s="27">
        <f t="shared" si="103"/>
        <v>0</v>
      </c>
      <c r="FV109" s="27">
        <f t="shared" si="103"/>
        <v>0</v>
      </c>
      <c r="FW109" s="28"/>
      <c r="FX109" s="29">
        <f t="shared" si="3"/>
        <v>0</v>
      </c>
    </row>
    <row r="110" spans="1:180" ht="18" customHeight="1" x14ac:dyDescent="0.25">
      <c r="A110" s="3" t="str">
        <f>IF(C110&lt;&gt;"","DRG-"&amp;TEXT(104,"000"),"")</f>
        <v>DRG-104</v>
      </c>
      <c r="B110" s="19" t="s">
        <v>166</v>
      </c>
      <c r="C110" s="20" t="s">
        <v>166</v>
      </c>
      <c r="D110" s="20" t="s">
        <v>56</v>
      </c>
      <c r="E110" s="20" t="s">
        <v>105</v>
      </c>
      <c r="F110" s="20" t="s">
        <v>69</v>
      </c>
      <c r="G110" s="21"/>
      <c r="H110" s="21"/>
      <c r="I110" s="21"/>
      <c r="J110" s="21"/>
      <c r="K110" s="21"/>
      <c r="L110" s="21">
        <v>4</v>
      </c>
      <c r="M110" s="30" t="str">
        <f t="shared" si="0"/>
        <v>✘ Pending</v>
      </c>
      <c r="N110" s="30">
        <f t="shared" si="1"/>
        <v>0</v>
      </c>
      <c r="O110" s="31"/>
      <c r="P110" s="32"/>
      <c r="Q110" s="33"/>
      <c r="R110" s="33"/>
      <c r="S110" s="33"/>
      <c r="T110" s="33"/>
      <c r="U110" s="33"/>
      <c r="V110" s="33"/>
      <c r="W110" s="33"/>
      <c r="X110" s="33"/>
      <c r="Y110" s="33"/>
      <c r="Z110" s="33"/>
      <c r="AA110" s="33"/>
      <c r="AB110" s="31"/>
      <c r="AC110" s="32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1"/>
      <c r="AP110" s="32"/>
      <c r="AQ110" s="33"/>
      <c r="AR110" s="33"/>
      <c r="AS110" s="33"/>
      <c r="AT110" s="33"/>
      <c r="AU110" s="33"/>
      <c r="AV110" s="33"/>
      <c r="AW110" s="33"/>
      <c r="AX110" s="33"/>
      <c r="AY110" s="33"/>
      <c r="AZ110" s="33"/>
      <c r="BA110" s="33"/>
      <c r="BB110" s="31"/>
      <c r="BC110" s="32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1"/>
      <c r="BP110" s="32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1"/>
      <c r="CC110" s="32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1"/>
      <c r="CP110" s="32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1"/>
      <c r="DC110" s="32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1"/>
      <c r="DP110" s="32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1"/>
      <c r="EC110" s="32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1"/>
      <c r="EP110" s="32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1"/>
      <c r="FC110" s="32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4">
        <f t="shared" ref="FO110:FV110" si="104">IFERROR(R110*1,0)+IFERROR(AE110*1,0)+IFERROR(AR110*1,0)+IFERROR(BE110*1,0)+IFERROR(BR110*1,0)+IFERROR(CE110*1,0)+IFERROR(CR110*1,0)+IFERROR(DE110*1,0)+IFERROR(DR110*1,0)+IFERROR(EE110*1,0)+IFERROR(ER110*1,0)+IFERROR(FE110*1,0)</f>
        <v>0</v>
      </c>
      <c r="FP110" s="34">
        <f t="shared" si="104"/>
        <v>0</v>
      </c>
      <c r="FQ110" s="34">
        <f t="shared" si="104"/>
        <v>0</v>
      </c>
      <c r="FR110" s="34">
        <f t="shared" si="104"/>
        <v>0</v>
      </c>
      <c r="FS110" s="34">
        <f t="shared" si="104"/>
        <v>0</v>
      </c>
      <c r="FT110" s="34">
        <f t="shared" si="104"/>
        <v>0</v>
      </c>
      <c r="FU110" s="34">
        <f t="shared" si="104"/>
        <v>0</v>
      </c>
      <c r="FV110" s="34">
        <f t="shared" si="104"/>
        <v>0</v>
      </c>
      <c r="FW110" s="28"/>
      <c r="FX110" s="29">
        <f t="shared" si="3"/>
        <v>0</v>
      </c>
    </row>
    <row r="111" spans="1:180" ht="18" customHeight="1" x14ac:dyDescent="0.25">
      <c r="A111" s="3" t="str">
        <f>IF(C111&lt;&gt;"","DRG-"&amp;TEXT(105,"000"),"")</f>
        <v>DRG-105</v>
      </c>
      <c r="B111" s="19" t="s">
        <v>166</v>
      </c>
      <c r="C111" s="20" t="s">
        <v>166</v>
      </c>
      <c r="D111" s="20" t="s">
        <v>56</v>
      </c>
      <c r="E111" s="20" t="s">
        <v>126</v>
      </c>
      <c r="F111" s="20" t="s">
        <v>69</v>
      </c>
      <c r="G111" s="21"/>
      <c r="H111" s="21"/>
      <c r="I111" s="21"/>
      <c r="J111" s="21"/>
      <c r="K111" s="21"/>
      <c r="L111" s="21">
        <v>4</v>
      </c>
      <c r="M111" s="23" t="str">
        <f t="shared" si="0"/>
        <v>✘ Pending</v>
      </c>
      <c r="N111" s="23">
        <f t="shared" si="1"/>
        <v>0</v>
      </c>
      <c r="O111" s="25"/>
      <c r="P111" s="26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5"/>
      <c r="AC111" s="26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5"/>
      <c r="AP111" s="26"/>
      <c r="AQ111" s="24"/>
      <c r="AR111" s="24"/>
      <c r="AS111" s="24"/>
      <c r="AT111" s="24"/>
      <c r="AU111" s="24"/>
      <c r="AV111" s="24"/>
      <c r="AW111" s="24"/>
      <c r="AX111" s="24"/>
      <c r="AY111" s="24"/>
      <c r="AZ111" s="24"/>
      <c r="BA111" s="24"/>
      <c r="BB111" s="25"/>
      <c r="BC111" s="26"/>
      <c r="BD111" s="24"/>
      <c r="BE111" s="24"/>
      <c r="BF111" s="24"/>
      <c r="BG111" s="24"/>
      <c r="BH111" s="24"/>
      <c r="BI111" s="24"/>
      <c r="BJ111" s="24"/>
      <c r="BK111" s="24"/>
      <c r="BL111" s="24"/>
      <c r="BM111" s="24"/>
      <c r="BN111" s="24"/>
      <c r="BO111" s="25"/>
      <c r="BP111" s="26"/>
      <c r="BQ111" s="24"/>
      <c r="BR111" s="24"/>
      <c r="BS111" s="24"/>
      <c r="BT111" s="24"/>
      <c r="BU111" s="24"/>
      <c r="BV111" s="24"/>
      <c r="BW111" s="24"/>
      <c r="BX111" s="24"/>
      <c r="BY111" s="24"/>
      <c r="BZ111" s="24"/>
      <c r="CA111" s="24"/>
      <c r="CB111" s="25"/>
      <c r="CC111" s="26"/>
      <c r="CD111" s="24"/>
      <c r="CE111" s="24"/>
      <c r="CF111" s="24"/>
      <c r="CG111" s="24"/>
      <c r="CH111" s="24"/>
      <c r="CI111" s="24"/>
      <c r="CJ111" s="24"/>
      <c r="CK111" s="24"/>
      <c r="CL111" s="24"/>
      <c r="CM111" s="24"/>
      <c r="CN111" s="24"/>
      <c r="CO111" s="25"/>
      <c r="CP111" s="26"/>
      <c r="CQ111" s="24"/>
      <c r="CR111" s="24"/>
      <c r="CS111" s="24"/>
      <c r="CT111" s="24"/>
      <c r="CU111" s="24"/>
      <c r="CV111" s="24"/>
      <c r="CW111" s="24"/>
      <c r="CX111" s="24"/>
      <c r="CY111" s="24"/>
      <c r="CZ111" s="24"/>
      <c r="DA111" s="24"/>
      <c r="DB111" s="25"/>
      <c r="DC111" s="26"/>
      <c r="DD111" s="24"/>
      <c r="DE111" s="24"/>
      <c r="DF111" s="24"/>
      <c r="DG111" s="24"/>
      <c r="DH111" s="24"/>
      <c r="DI111" s="24"/>
      <c r="DJ111" s="24"/>
      <c r="DK111" s="24"/>
      <c r="DL111" s="24"/>
      <c r="DM111" s="24"/>
      <c r="DN111" s="24"/>
      <c r="DO111" s="25"/>
      <c r="DP111" s="26"/>
      <c r="DQ111" s="24"/>
      <c r="DR111" s="24"/>
      <c r="DS111" s="24"/>
      <c r="DT111" s="24"/>
      <c r="DU111" s="24"/>
      <c r="DV111" s="24"/>
      <c r="DW111" s="24"/>
      <c r="DX111" s="24"/>
      <c r="DY111" s="24"/>
      <c r="DZ111" s="24"/>
      <c r="EA111" s="24"/>
      <c r="EB111" s="25"/>
      <c r="EC111" s="26"/>
      <c r="ED111" s="24"/>
      <c r="EE111" s="24"/>
      <c r="EF111" s="24"/>
      <c r="EG111" s="24"/>
      <c r="EH111" s="24"/>
      <c r="EI111" s="24"/>
      <c r="EJ111" s="24"/>
      <c r="EK111" s="24"/>
      <c r="EL111" s="24"/>
      <c r="EM111" s="24"/>
      <c r="EN111" s="24"/>
      <c r="EO111" s="25"/>
      <c r="EP111" s="26"/>
      <c r="EQ111" s="24"/>
      <c r="ER111" s="24"/>
      <c r="ES111" s="24"/>
      <c r="ET111" s="24"/>
      <c r="EU111" s="24"/>
      <c r="EV111" s="24"/>
      <c r="EW111" s="24"/>
      <c r="EX111" s="24"/>
      <c r="EY111" s="24"/>
      <c r="EZ111" s="24"/>
      <c r="FA111" s="24"/>
      <c r="FB111" s="25"/>
      <c r="FC111" s="26"/>
      <c r="FD111" s="24"/>
      <c r="FE111" s="24"/>
      <c r="FF111" s="24"/>
      <c r="FG111" s="24"/>
      <c r="FH111" s="24"/>
      <c r="FI111" s="24"/>
      <c r="FJ111" s="24"/>
      <c r="FK111" s="24"/>
      <c r="FL111" s="24"/>
      <c r="FM111" s="24"/>
      <c r="FN111" s="24"/>
      <c r="FO111" s="27">
        <f t="shared" ref="FO111:FV111" si="105">IFERROR(R111*1,0)+IFERROR(AE111*1,0)+IFERROR(AR111*1,0)+IFERROR(BE111*1,0)+IFERROR(BR111*1,0)+IFERROR(CE111*1,0)+IFERROR(CR111*1,0)+IFERROR(DE111*1,0)+IFERROR(DR111*1,0)+IFERROR(EE111*1,0)+IFERROR(ER111*1,0)+IFERROR(FE111*1,0)</f>
        <v>0</v>
      </c>
      <c r="FP111" s="27">
        <f t="shared" si="105"/>
        <v>0</v>
      </c>
      <c r="FQ111" s="27">
        <f t="shared" si="105"/>
        <v>0</v>
      </c>
      <c r="FR111" s="27">
        <f t="shared" si="105"/>
        <v>0</v>
      </c>
      <c r="FS111" s="27">
        <f t="shared" si="105"/>
        <v>0</v>
      </c>
      <c r="FT111" s="27">
        <f t="shared" si="105"/>
        <v>0</v>
      </c>
      <c r="FU111" s="27">
        <f t="shared" si="105"/>
        <v>0</v>
      </c>
      <c r="FV111" s="27">
        <f t="shared" si="105"/>
        <v>0</v>
      </c>
      <c r="FW111" s="28"/>
      <c r="FX111" s="29">
        <f t="shared" si="3"/>
        <v>0</v>
      </c>
    </row>
    <row r="112" spans="1:180" ht="18" customHeight="1" x14ac:dyDescent="0.25">
      <c r="A112" s="3" t="str">
        <f>IF(C112&lt;&gt;"","DRG-"&amp;TEXT(106,"000"),"")</f>
        <v>DRG-106</v>
      </c>
      <c r="B112" s="19" t="s">
        <v>166</v>
      </c>
      <c r="C112" s="20" t="s">
        <v>166</v>
      </c>
      <c r="D112" s="20" t="s">
        <v>56</v>
      </c>
      <c r="E112" s="20" t="s">
        <v>126</v>
      </c>
      <c r="F112" s="20" t="s">
        <v>69</v>
      </c>
      <c r="G112" s="21"/>
      <c r="H112" s="21"/>
      <c r="I112" s="21"/>
      <c r="J112" s="21"/>
      <c r="K112" s="21"/>
      <c r="L112" s="21">
        <v>4</v>
      </c>
      <c r="M112" s="30" t="str">
        <f t="shared" si="0"/>
        <v>✘ Pending</v>
      </c>
      <c r="N112" s="30">
        <f t="shared" si="1"/>
        <v>0</v>
      </c>
      <c r="O112" s="31"/>
      <c r="P112" s="32"/>
      <c r="Q112" s="33"/>
      <c r="R112" s="33"/>
      <c r="S112" s="33"/>
      <c r="T112" s="33"/>
      <c r="U112" s="33"/>
      <c r="V112" s="33"/>
      <c r="W112" s="33"/>
      <c r="X112" s="33"/>
      <c r="Y112" s="33"/>
      <c r="Z112" s="33"/>
      <c r="AA112" s="33"/>
      <c r="AB112" s="31"/>
      <c r="AC112" s="32"/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1"/>
      <c r="AP112" s="32"/>
      <c r="AQ112" s="33"/>
      <c r="AR112" s="33"/>
      <c r="AS112" s="33"/>
      <c r="AT112" s="33"/>
      <c r="AU112" s="33"/>
      <c r="AV112" s="33"/>
      <c r="AW112" s="33"/>
      <c r="AX112" s="33"/>
      <c r="AY112" s="33"/>
      <c r="AZ112" s="33"/>
      <c r="BA112" s="33"/>
      <c r="BB112" s="31"/>
      <c r="BC112" s="32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1"/>
      <c r="BP112" s="32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1"/>
      <c r="CC112" s="32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1"/>
      <c r="CP112" s="32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1"/>
      <c r="DC112" s="32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1"/>
      <c r="DP112" s="32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1"/>
      <c r="EC112" s="32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1"/>
      <c r="EP112" s="32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1"/>
      <c r="FC112" s="32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4">
        <f t="shared" ref="FO112:FV112" si="106">IFERROR(R112*1,0)+IFERROR(AE112*1,0)+IFERROR(AR112*1,0)+IFERROR(BE112*1,0)+IFERROR(BR112*1,0)+IFERROR(CE112*1,0)+IFERROR(CR112*1,0)+IFERROR(DE112*1,0)+IFERROR(DR112*1,0)+IFERROR(EE112*1,0)+IFERROR(ER112*1,0)+IFERROR(FE112*1,0)</f>
        <v>0</v>
      </c>
      <c r="FP112" s="34">
        <f t="shared" si="106"/>
        <v>0</v>
      </c>
      <c r="FQ112" s="34">
        <f t="shared" si="106"/>
        <v>0</v>
      </c>
      <c r="FR112" s="34">
        <f t="shared" si="106"/>
        <v>0</v>
      </c>
      <c r="FS112" s="34">
        <f t="shared" si="106"/>
        <v>0</v>
      </c>
      <c r="FT112" s="34">
        <f t="shared" si="106"/>
        <v>0</v>
      </c>
      <c r="FU112" s="34">
        <f t="shared" si="106"/>
        <v>0</v>
      </c>
      <c r="FV112" s="34">
        <f t="shared" si="106"/>
        <v>0</v>
      </c>
      <c r="FW112" s="28"/>
      <c r="FX112" s="29">
        <f t="shared" si="3"/>
        <v>0</v>
      </c>
    </row>
    <row r="113" spans="1:180" ht="18" customHeight="1" x14ac:dyDescent="0.25">
      <c r="A113" s="3" t="str">
        <f>IF(C113&lt;&gt;"","DRG-"&amp;TEXT(107,"000"),"")</f>
        <v>DRG-107</v>
      </c>
      <c r="B113" s="19" t="s">
        <v>166</v>
      </c>
      <c r="C113" s="20" t="s">
        <v>166</v>
      </c>
      <c r="D113" s="20" t="s">
        <v>56</v>
      </c>
      <c r="E113" s="20" t="s">
        <v>165</v>
      </c>
      <c r="F113" s="20" t="s">
        <v>58</v>
      </c>
      <c r="G113" s="21"/>
      <c r="H113" s="21"/>
      <c r="I113" s="21"/>
      <c r="J113" s="21"/>
      <c r="K113" s="21"/>
      <c r="L113" s="21">
        <v>4</v>
      </c>
      <c r="M113" s="23" t="str">
        <f t="shared" si="0"/>
        <v>✘ Pending</v>
      </c>
      <c r="N113" s="23">
        <f t="shared" si="1"/>
        <v>0</v>
      </c>
      <c r="O113" s="25"/>
      <c r="P113" s="26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  <c r="AB113" s="25"/>
      <c r="AC113" s="26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5"/>
      <c r="AP113" s="26"/>
      <c r="AQ113" s="24"/>
      <c r="AR113" s="24"/>
      <c r="AS113" s="24"/>
      <c r="AT113" s="24"/>
      <c r="AU113" s="24"/>
      <c r="AV113" s="24"/>
      <c r="AW113" s="24"/>
      <c r="AX113" s="24"/>
      <c r="AY113" s="24"/>
      <c r="AZ113" s="24"/>
      <c r="BA113" s="24"/>
      <c r="BB113" s="25"/>
      <c r="BC113" s="26"/>
      <c r="BD113" s="24"/>
      <c r="BE113" s="24"/>
      <c r="BF113" s="24"/>
      <c r="BG113" s="24"/>
      <c r="BH113" s="24"/>
      <c r="BI113" s="24"/>
      <c r="BJ113" s="24"/>
      <c r="BK113" s="24"/>
      <c r="BL113" s="24"/>
      <c r="BM113" s="24"/>
      <c r="BN113" s="24"/>
      <c r="BO113" s="25"/>
      <c r="BP113" s="26"/>
      <c r="BQ113" s="24"/>
      <c r="BR113" s="24"/>
      <c r="BS113" s="24"/>
      <c r="BT113" s="24"/>
      <c r="BU113" s="24"/>
      <c r="BV113" s="24"/>
      <c r="BW113" s="24"/>
      <c r="BX113" s="24"/>
      <c r="BY113" s="24"/>
      <c r="BZ113" s="24"/>
      <c r="CA113" s="24"/>
      <c r="CB113" s="25"/>
      <c r="CC113" s="26"/>
      <c r="CD113" s="24"/>
      <c r="CE113" s="24"/>
      <c r="CF113" s="24"/>
      <c r="CG113" s="24"/>
      <c r="CH113" s="24"/>
      <c r="CI113" s="24"/>
      <c r="CJ113" s="24"/>
      <c r="CK113" s="24"/>
      <c r="CL113" s="24"/>
      <c r="CM113" s="24"/>
      <c r="CN113" s="24"/>
      <c r="CO113" s="25"/>
      <c r="CP113" s="26"/>
      <c r="CQ113" s="24"/>
      <c r="CR113" s="24"/>
      <c r="CS113" s="24"/>
      <c r="CT113" s="24"/>
      <c r="CU113" s="24"/>
      <c r="CV113" s="24"/>
      <c r="CW113" s="24"/>
      <c r="CX113" s="24"/>
      <c r="CY113" s="24"/>
      <c r="CZ113" s="24"/>
      <c r="DA113" s="24"/>
      <c r="DB113" s="25"/>
      <c r="DC113" s="26"/>
      <c r="DD113" s="24"/>
      <c r="DE113" s="24"/>
      <c r="DF113" s="24"/>
      <c r="DG113" s="24"/>
      <c r="DH113" s="24"/>
      <c r="DI113" s="24"/>
      <c r="DJ113" s="24"/>
      <c r="DK113" s="24"/>
      <c r="DL113" s="24"/>
      <c r="DM113" s="24"/>
      <c r="DN113" s="24"/>
      <c r="DO113" s="25"/>
      <c r="DP113" s="26"/>
      <c r="DQ113" s="24"/>
      <c r="DR113" s="24"/>
      <c r="DS113" s="24"/>
      <c r="DT113" s="24"/>
      <c r="DU113" s="24"/>
      <c r="DV113" s="24"/>
      <c r="DW113" s="24"/>
      <c r="DX113" s="24"/>
      <c r="DY113" s="24"/>
      <c r="DZ113" s="24"/>
      <c r="EA113" s="24"/>
      <c r="EB113" s="25"/>
      <c r="EC113" s="26"/>
      <c r="ED113" s="24"/>
      <c r="EE113" s="24"/>
      <c r="EF113" s="24"/>
      <c r="EG113" s="24"/>
      <c r="EH113" s="24"/>
      <c r="EI113" s="24"/>
      <c r="EJ113" s="24"/>
      <c r="EK113" s="24"/>
      <c r="EL113" s="24"/>
      <c r="EM113" s="24"/>
      <c r="EN113" s="24"/>
      <c r="EO113" s="25"/>
      <c r="EP113" s="26"/>
      <c r="EQ113" s="24"/>
      <c r="ER113" s="24"/>
      <c r="ES113" s="24"/>
      <c r="ET113" s="24"/>
      <c r="EU113" s="24"/>
      <c r="EV113" s="24"/>
      <c r="EW113" s="24"/>
      <c r="EX113" s="24"/>
      <c r="EY113" s="24"/>
      <c r="EZ113" s="24"/>
      <c r="FA113" s="24"/>
      <c r="FB113" s="25"/>
      <c r="FC113" s="26"/>
      <c r="FD113" s="24"/>
      <c r="FE113" s="24"/>
      <c r="FF113" s="24"/>
      <c r="FG113" s="24"/>
      <c r="FH113" s="24"/>
      <c r="FI113" s="24"/>
      <c r="FJ113" s="24"/>
      <c r="FK113" s="24"/>
      <c r="FL113" s="24"/>
      <c r="FM113" s="24"/>
      <c r="FN113" s="24"/>
      <c r="FO113" s="27">
        <f t="shared" ref="FO113:FV113" si="107">IFERROR(R113*1,0)+IFERROR(AE113*1,0)+IFERROR(AR113*1,0)+IFERROR(BE113*1,0)+IFERROR(BR113*1,0)+IFERROR(CE113*1,0)+IFERROR(CR113*1,0)+IFERROR(DE113*1,0)+IFERROR(DR113*1,0)+IFERROR(EE113*1,0)+IFERROR(ER113*1,0)+IFERROR(FE113*1,0)</f>
        <v>0</v>
      </c>
      <c r="FP113" s="27">
        <f t="shared" si="107"/>
        <v>0</v>
      </c>
      <c r="FQ113" s="27">
        <f t="shared" si="107"/>
        <v>0</v>
      </c>
      <c r="FR113" s="27">
        <f t="shared" si="107"/>
        <v>0</v>
      </c>
      <c r="FS113" s="27">
        <f t="shared" si="107"/>
        <v>0</v>
      </c>
      <c r="FT113" s="27">
        <f t="shared" si="107"/>
        <v>0</v>
      </c>
      <c r="FU113" s="27">
        <f t="shared" si="107"/>
        <v>0</v>
      </c>
      <c r="FV113" s="27">
        <f t="shared" si="107"/>
        <v>0</v>
      </c>
      <c r="FW113" s="28"/>
      <c r="FX113" s="29">
        <f t="shared" si="3"/>
        <v>0</v>
      </c>
    </row>
    <row r="114" spans="1:180" ht="18" customHeight="1" x14ac:dyDescent="0.25">
      <c r="A114" s="3" t="str">
        <f>IF(C114&lt;&gt;"","DRG-"&amp;TEXT(108,"000"),"")</f>
        <v>DRG-108</v>
      </c>
      <c r="B114" s="19" t="s">
        <v>166</v>
      </c>
      <c r="C114" s="20" t="s">
        <v>166</v>
      </c>
      <c r="D114" s="20" t="s">
        <v>56</v>
      </c>
      <c r="E114" s="20" t="s">
        <v>165</v>
      </c>
      <c r="F114" s="20" t="s">
        <v>58</v>
      </c>
      <c r="G114" s="21"/>
      <c r="H114" s="21"/>
      <c r="I114" s="21"/>
      <c r="J114" s="21"/>
      <c r="K114" s="21"/>
      <c r="L114" s="21">
        <v>4</v>
      </c>
      <c r="M114" s="30" t="str">
        <f t="shared" si="0"/>
        <v>✘ Pending</v>
      </c>
      <c r="N114" s="30">
        <f t="shared" si="1"/>
        <v>0</v>
      </c>
      <c r="O114" s="31"/>
      <c r="P114" s="32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1"/>
      <c r="AC114" s="32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1"/>
      <c r="AP114" s="32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1"/>
      <c r="BC114" s="32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1"/>
      <c r="BP114" s="32"/>
      <c r="BQ114" s="33"/>
      <c r="BR114" s="33"/>
      <c r="BS114" s="33"/>
      <c r="BT114" s="33"/>
      <c r="BU114" s="33"/>
      <c r="BV114" s="33"/>
      <c r="BW114" s="33"/>
      <c r="BX114" s="33"/>
      <c r="BY114" s="33"/>
      <c r="BZ114" s="33"/>
      <c r="CA114" s="33"/>
      <c r="CB114" s="31"/>
      <c r="CC114" s="32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1"/>
      <c r="CP114" s="32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1"/>
      <c r="DC114" s="32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1"/>
      <c r="DP114" s="32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1"/>
      <c r="EC114" s="32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1"/>
      <c r="EP114" s="32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1"/>
      <c r="FC114" s="32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4">
        <f t="shared" ref="FO114:FV114" si="108">IFERROR(R114*1,0)+IFERROR(AE114*1,0)+IFERROR(AR114*1,0)+IFERROR(BE114*1,0)+IFERROR(BR114*1,0)+IFERROR(CE114*1,0)+IFERROR(CR114*1,0)+IFERROR(DE114*1,0)+IFERROR(DR114*1,0)+IFERROR(EE114*1,0)+IFERROR(ER114*1,0)+IFERROR(FE114*1,0)</f>
        <v>0</v>
      </c>
      <c r="FP114" s="34">
        <f t="shared" si="108"/>
        <v>0</v>
      </c>
      <c r="FQ114" s="34">
        <f t="shared" si="108"/>
        <v>0</v>
      </c>
      <c r="FR114" s="34">
        <f t="shared" si="108"/>
        <v>0</v>
      </c>
      <c r="FS114" s="34">
        <f t="shared" si="108"/>
        <v>0</v>
      </c>
      <c r="FT114" s="34">
        <f t="shared" si="108"/>
        <v>0</v>
      </c>
      <c r="FU114" s="34">
        <f t="shared" si="108"/>
        <v>0</v>
      </c>
      <c r="FV114" s="34">
        <f t="shared" si="108"/>
        <v>0</v>
      </c>
      <c r="FW114" s="28"/>
      <c r="FX114" s="29">
        <f t="shared" si="3"/>
        <v>0</v>
      </c>
    </row>
    <row r="115" spans="1:180" ht="18" customHeight="1" x14ac:dyDescent="0.25">
      <c r="A115" s="3" t="str">
        <f>IF(C115&lt;&gt;"","DRG-"&amp;TEXT(109,"000"),"")</f>
        <v>DRG-109</v>
      </c>
      <c r="B115" s="19" t="s">
        <v>167</v>
      </c>
      <c r="C115" s="20" t="s">
        <v>167</v>
      </c>
      <c r="D115" s="20" t="s">
        <v>56</v>
      </c>
      <c r="E115" s="20" t="s">
        <v>168</v>
      </c>
      <c r="F115" s="20" t="s">
        <v>69</v>
      </c>
      <c r="G115" s="21"/>
      <c r="H115" s="21"/>
      <c r="I115" s="21"/>
      <c r="J115" s="21"/>
      <c r="K115" s="21"/>
      <c r="L115" s="21">
        <v>4</v>
      </c>
      <c r="M115" s="23" t="str">
        <f t="shared" si="0"/>
        <v>✘ Pending</v>
      </c>
      <c r="N115" s="23">
        <f t="shared" si="1"/>
        <v>0</v>
      </c>
      <c r="O115" s="25"/>
      <c r="P115" s="26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  <c r="AB115" s="25"/>
      <c r="AC115" s="26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5"/>
      <c r="AP115" s="26"/>
      <c r="AQ115" s="24"/>
      <c r="AR115" s="24"/>
      <c r="AS115" s="24"/>
      <c r="AT115" s="24"/>
      <c r="AU115" s="24"/>
      <c r="AV115" s="24"/>
      <c r="AW115" s="24"/>
      <c r="AX115" s="24"/>
      <c r="AY115" s="24"/>
      <c r="AZ115" s="24"/>
      <c r="BA115" s="24"/>
      <c r="BB115" s="25"/>
      <c r="BC115" s="26"/>
      <c r="BD115" s="24"/>
      <c r="BE115" s="24"/>
      <c r="BF115" s="24"/>
      <c r="BG115" s="24"/>
      <c r="BH115" s="24"/>
      <c r="BI115" s="24"/>
      <c r="BJ115" s="24"/>
      <c r="BK115" s="24"/>
      <c r="BL115" s="24"/>
      <c r="BM115" s="24"/>
      <c r="BN115" s="24"/>
      <c r="BO115" s="25"/>
      <c r="BP115" s="26"/>
      <c r="BQ115" s="24"/>
      <c r="BR115" s="24"/>
      <c r="BS115" s="24"/>
      <c r="BT115" s="24"/>
      <c r="BU115" s="24"/>
      <c r="BV115" s="24"/>
      <c r="BW115" s="24"/>
      <c r="BX115" s="24"/>
      <c r="BY115" s="24"/>
      <c r="BZ115" s="24"/>
      <c r="CA115" s="24"/>
      <c r="CB115" s="25"/>
      <c r="CC115" s="26"/>
      <c r="CD115" s="24"/>
      <c r="CE115" s="24"/>
      <c r="CF115" s="24"/>
      <c r="CG115" s="24"/>
      <c r="CH115" s="24"/>
      <c r="CI115" s="24"/>
      <c r="CJ115" s="24"/>
      <c r="CK115" s="24"/>
      <c r="CL115" s="24"/>
      <c r="CM115" s="24"/>
      <c r="CN115" s="24"/>
      <c r="CO115" s="25"/>
      <c r="CP115" s="26"/>
      <c r="CQ115" s="24"/>
      <c r="CR115" s="24"/>
      <c r="CS115" s="24"/>
      <c r="CT115" s="24"/>
      <c r="CU115" s="24"/>
      <c r="CV115" s="24"/>
      <c r="CW115" s="24"/>
      <c r="CX115" s="24"/>
      <c r="CY115" s="24"/>
      <c r="CZ115" s="24"/>
      <c r="DA115" s="24"/>
      <c r="DB115" s="25"/>
      <c r="DC115" s="26"/>
      <c r="DD115" s="24"/>
      <c r="DE115" s="24"/>
      <c r="DF115" s="24"/>
      <c r="DG115" s="24"/>
      <c r="DH115" s="24"/>
      <c r="DI115" s="24"/>
      <c r="DJ115" s="24"/>
      <c r="DK115" s="24"/>
      <c r="DL115" s="24"/>
      <c r="DM115" s="24"/>
      <c r="DN115" s="24"/>
      <c r="DO115" s="25"/>
      <c r="DP115" s="26"/>
      <c r="DQ115" s="24"/>
      <c r="DR115" s="24"/>
      <c r="DS115" s="24"/>
      <c r="DT115" s="24"/>
      <c r="DU115" s="24"/>
      <c r="DV115" s="24"/>
      <c r="DW115" s="24"/>
      <c r="DX115" s="24"/>
      <c r="DY115" s="24"/>
      <c r="DZ115" s="24"/>
      <c r="EA115" s="24"/>
      <c r="EB115" s="25"/>
      <c r="EC115" s="26"/>
      <c r="ED115" s="24"/>
      <c r="EE115" s="24"/>
      <c r="EF115" s="24"/>
      <c r="EG115" s="24"/>
      <c r="EH115" s="24"/>
      <c r="EI115" s="24"/>
      <c r="EJ115" s="24"/>
      <c r="EK115" s="24"/>
      <c r="EL115" s="24"/>
      <c r="EM115" s="24"/>
      <c r="EN115" s="24"/>
      <c r="EO115" s="25"/>
      <c r="EP115" s="26"/>
      <c r="EQ115" s="24"/>
      <c r="ER115" s="24"/>
      <c r="ES115" s="24"/>
      <c r="ET115" s="24"/>
      <c r="EU115" s="24"/>
      <c r="EV115" s="24"/>
      <c r="EW115" s="24"/>
      <c r="EX115" s="24"/>
      <c r="EY115" s="24"/>
      <c r="EZ115" s="24"/>
      <c r="FA115" s="24"/>
      <c r="FB115" s="25"/>
      <c r="FC115" s="26"/>
      <c r="FD115" s="24"/>
      <c r="FE115" s="24"/>
      <c r="FF115" s="24"/>
      <c r="FG115" s="24"/>
      <c r="FH115" s="24"/>
      <c r="FI115" s="24"/>
      <c r="FJ115" s="24"/>
      <c r="FK115" s="24"/>
      <c r="FL115" s="24"/>
      <c r="FM115" s="24"/>
      <c r="FN115" s="24"/>
      <c r="FO115" s="27">
        <f t="shared" ref="FO115:FV115" si="109">IFERROR(R115*1,0)+IFERROR(AE115*1,0)+IFERROR(AR115*1,0)+IFERROR(BE115*1,0)+IFERROR(BR115*1,0)+IFERROR(CE115*1,0)+IFERROR(CR115*1,0)+IFERROR(DE115*1,0)+IFERROR(DR115*1,0)+IFERROR(EE115*1,0)+IFERROR(ER115*1,0)+IFERROR(FE115*1,0)</f>
        <v>0</v>
      </c>
      <c r="FP115" s="27">
        <f t="shared" si="109"/>
        <v>0</v>
      </c>
      <c r="FQ115" s="27">
        <f t="shared" si="109"/>
        <v>0</v>
      </c>
      <c r="FR115" s="27">
        <f t="shared" si="109"/>
        <v>0</v>
      </c>
      <c r="FS115" s="27">
        <f t="shared" si="109"/>
        <v>0</v>
      </c>
      <c r="FT115" s="27">
        <f t="shared" si="109"/>
        <v>0</v>
      </c>
      <c r="FU115" s="27">
        <f t="shared" si="109"/>
        <v>0</v>
      </c>
      <c r="FV115" s="27">
        <f t="shared" si="109"/>
        <v>0</v>
      </c>
      <c r="FW115" s="28"/>
      <c r="FX115" s="29">
        <f t="shared" si="3"/>
        <v>0</v>
      </c>
    </row>
    <row r="116" spans="1:180" ht="18" customHeight="1" x14ac:dyDescent="0.25">
      <c r="A116" s="3" t="str">
        <f>IF(C116&lt;&gt;"","DRG-"&amp;TEXT(110,"000"),"")</f>
        <v>DRG-110</v>
      </c>
      <c r="B116" s="19" t="s">
        <v>167</v>
      </c>
      <c r="C116" s="20" t="s">
        <v>169</v>
      </c>
      <c r="D116" s="20" t="s">
        <v>56</v>
      </c>
      <c r="E116" s="20" t="s">
        <v>168</v>
      </c>
      <c r="F116" s="20" t="s">
        <v>69</v>
      </c>
      <c r="G116" s="21"/>
      <c r="H116" s="21"/>
      <c r="I116" s="21"/>
      <c r="J116" s="21"/>
      <c r="K116" s="21"/>
      <c r="L116" s="21">
        <v>4</v>
      </c>
      <c r="M116" s="30" t="str">
        <f t="shared" si="0"/>
        <v>✘ Pending</v>
      </c>
      <c r="N116" s="30">
        <f t="shared" si="1"/>
        <v>0</v>
      </c>
      <c r="O116" s="31"/>
      <c r="P116" s="32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1"/>
      <c r="AC116" s="32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1"/>
      <c r="AP116" s="32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1"/>
      <c r="BC116" s="32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1"/>
      <c r="BP116" s="32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1"/>
      <c r="CC116" s="32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1"/>
      <c r="CP116" s="32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1"/>
      <c r="DC116" s="32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1"/>
      <c r="DP116" s="32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1"/>
      <c r="EC116" s="32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1"/>
      <c r="EP116" s="32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1"/>
      <c r="FC116" s="32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4">
        <f t="shared" ref="FO116:FV116" si="110">IFERROR(R116*1,0)+IFERROR(AE116*1,0)+IFERROR(AR116*1,0)+IFERROR(BE116*1,0)+IFERROR(BR116*1,0)+IFERROR(CE116*1,0)+IFERROR(CR116*1,0)+IFERROR(DE116*1,0)+IFERROR(DR116*1,0)+IFERROR(EE116*1,0)+IFERROR(ER116*1,0)+IFERROR(FE116*1,0)</f>
        <v>0</v>
      </c>
      <c r="FP116" s="34">
        <f t="shared" si="110"/>
        <v>0</v>
      </c>
      <c r="FQ116" s="34">
        <f t="shared" si="110"/>
        <v>0</v>
      </c>
      <c r="FR116" s="34">
        <f t="shared" si="110"/>
        <v>0</v>
      </c>
      <c r="FS116" s="34">
        <f t="shared" si="110"/>
        <v>0</v>
      </c>
      <c r="FT116" s="34">
        <f t="shared" si="110"/>
        <v>0</v>
      </c>
      <c r="FU116" s="34">
        <f t="shared" si="110"/>
        <v>0</v>
      </c>
      <c r="FV116" s="34">
        <f t="shared" si="110"/>
        <v>0</v>
      </c>
      <c r="FW116" s="28"/>
      <c r="FX116" s="29">
        <f t="shared" si="3"/>
        <v>0</v>
      </c>
    </row>
    <row r="117" spans="1:180" ht="18" customHeight="1" x14ac:dyDescent="0.25">
      <c r="A117" s="3" t="str">
        <f>IF(C117&lt;&gt;"","DRG-"&amp;TEXT(111,"000"),"")</f>
        <v>DRG-111</v>
      </c>
      <c r="B117" s="19" t="s">
        <v>170</v>
      </c>
      <c r="C117" s="20" t="s">
        <v>171</v>
      </c>
      <c r="D117" s="20" t="s">
        <v>56</v>
      </c>
      <c r="E117" s="20" t="s">
        <v>172</v>
      </c>
      <c r="F117" s="20" t="s">
        <v>69</v>
      </c>
      <c r="G117" s="21"/>
      <c r="H117" s="21"/>
      <c r="I117" s="21"/>
      <c r="J117" s="21"/>
      <c r="K117" s="21"/>
      <c r="L117" s="21">
        <v>4</v>
      </c>
      <c r="M117" s="23" t="str">
        <f t="shared" si="0"/>
        <v>✘ Pending</v>
      </c>
      <c r="N117" s="23">
        <f t="shared" si="1"/>
        <v>0</v>
      </c>
      <c r="O117" s="25"/>
      <c r="P117" s="26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  <c r="AB117" s="25"/>
      <c r="AC117" s="26"/>
      <c r="AD117" s="24"/>
      <c r="AE117" s="24"/>
      <c r="AF117" s="24"/>
      <c r="AG117" s="24"/>
      <c r="AH117" s="24"/>
      <c r="AI117" s="24"/>
      <c r="AJ117" s="24"/>
      <c r="AK117" s="24"/>
      <c r="AL117" s="24"/>
      <c r="AM117" s="24"/>
      <c r="AN117" s="24"/>
      <c r="AO117" s="25"/>
      <c r="AP117" s="26"/>
      <c r="AQ117" s="24"/>
      <c r="AR117" s="24"/>
      <c r="AS117" s="24"/>
      <c r="AT117" s="24"/>
      <c r="AU117" s="24"/>
      <c r="AV117" s="24"/>
      <c r="AW117" s="24"/>
      <c r="AX117" s="24"/>
      <c r="AY117" s="24"/>
      <c r="AZ117" s="24"/>
      <c r="BA117" s="24"/>
      <c r="BB117" s="25"/>
      <c r="BC117" s="26"/>
      <c r="BD117" s="24"/>
      <c r="BE117" s="24"/>
      <c r="BF117" s="24"/>
      <c r="BG117" s="24"/>
      <c r="BH117" s="24"/>
      <c r="BI117" s="24"/>
      <c r="BJ117" s="24"/>
      <c r="BK117" s="24"/>
      <c r="BL117" s="24"/>
      <c r="BM117" s="24"/>
      <c r="BN117" s="24"/>
      <c r="BO117" s="25"/>
      <c r="BP117" s="26"/>
      <c r="BQ117" s="24"/>
      <c r="BR117" s="24"/>
      <c r="BS117" s="24"/>
      <c r="BT117" s="24"/>
      <c r="BU117" s="24"/>
      <c r="BV117" s="24"/>
      <c r="BW117" s="24"/>
      <c r="BX117" s="24"/>
      <c r="BY117" s="24"/>
      <c r="BZ117" s="24"/>
      <c r="CA117" s="24"/>
      <c r="CB117" s="25"/>
      <c r="CC117" s="26"/>
      <c r="CD117" s="24"/>
      <c r="CE117" s="24"/>
      <c r="CF117" s="24"/>
      <c r="CG117" s="24"/>
      <c r="CH117" s="24"/>
      <c r="CI117" s="24"/>
      <c r="CJ117" s="24"/>
      <c r="CK117" s="24"/>
      <c r="CL117" s="24"/>
      <c r="CM117" s="24"/>
      <c r="CN117" s="24"/>
      <c r="CO117" s="25"/>
      <c r="CP117" s="26"/>
      <c r="CQ117" s="24"/>
      <c r="CR117" s="24"/>
      <c r="CS117" s="24"/>
      <c r="CT117" s="24"/>
      <c r="CU117" s="24"/>
      <c r="CV117" s="24"/>
      <c r="CW117" s="24"/>
      <c r="CX117" s="24"/>
      <c r="CY117" s="24"/>
      <c r="CZ117" s="24"/>
      <c r="DA117" s="24"/>
      <c r="DB117" s="25"/>
      <c r="DC117" s="26"/>
      <c r="DD117" s="24"/>
      <c r="DE117" s="24"/>
      <c r="DF117" s="24"/>
      <c r="DG117" s="24"/>
      <c r="DH117" s="24"/>
      <c r="DI117" s="24"/>
      <c r="DJ117" s="24"/>
      <c r="DK117" s="24"/>
      <c r="DL117" s="24"/>
      <c r="DM117" s="24"/>
      <c r="DN117" s="24"/>
      <c r="DO117" s="25"/>
      <c r="DP117" s="26"/>
      <c r="DQ117" s="24"/>
      <c r="DR117" s="24"/>
      <c r="DS117" s="24"/>
      <c r="DT117" s="24"/>
      <c r="DU117" s="24"/>
      <c r="DV117" s="24"/>
      <c r="DW117" s="24"/>
      <c r="DX117" s="24"/>
      <c r="DY117" s="24"/>
      <c r="DZ117" s="24"/>
      <c r="EA117" s="24"/>
      <c r="EB117" s="25"/>
      <c r="EC117" s="26"/>
      <c r="ED117" s="24"/>
      <c r="EE117" s="24"/>
      <c r="EF117" s="24"/>
      <c r="EG117" s="24"/>
      <c r="EH117" s="24"/>
      <c r="EI117" s="24"/>
      <c r="EJ117" s="24"/>
      <c r="EK117" s="24"/>
      <c r="EL117" s="24"/>
      <c r="EM117" s="24"/>
      <c r="EN117" s="24"/>
      <c r="EO117" s="25"/>
      <c r="EP117" s="26"/>
      <c r="EQ117" s="24"/>
      <c r="ER117" s="24"/>
      <c r="ES117" s="24"/>
      <c r="ET117" s="24"/>
      <c r="EU117" s="24"/>
      <c r="EV117" s="24"/>
      <c r="EW117" s="24"/>
      <c r="EX117" s="24"/>
      <c r="EY117" s="24"/>
      <c r="EZ117" s="24"/>
      <c r="FA117" s="24"/>
      <c r="FB117" s="25"/>
      <c r="FC117" s="26"/>
      <c r="FD117" s="24"/>
      <c r="FE117" s="24"/>
      <c r="FF117" s="24"/>
      <c r="FG117" s="24"/>
      <c r="FH117" s="24"/>
      <c r="FI117" s="24"/>
      <c r="FJ117" s="24"/>
      <c r="FK117" s="24"/>
      <c r="FL117" s="24"/>
      <c r="FM117" s="24"/>
      <c r="FN117" s="24"/>
      <c r="FO117" s="27">
        <f t="shared" ref="FO117:FV117" si="111">IFERROR(R117*1,0)+IFERROR(AE117*1,0)+IFERROR(AR117*1,0)+IFERROR(BE117*1,0)+IFERROR(BR117*1,0)+IFERROR(CE117*1,0)+IFERROR(CR117*1,0)+IFERROR(DE117*1,0)+IFERROR(DR117*1,0)+IFERROR(EE117*1,0)+IFERROR(ER117*1,0)+IFERROR(FE117*1,0)</f>
        <v>0</v>
      </c>
      <c r="FP117" s="27">
        <f t="shared" si="111"/>
        <v>0</v>
      </c>
      <c r="FQ117" s="27">
        <f t="shared" si="111"/>
        <v>0</v>
      </c>
      <c r="FR117" s="27">
        <f t="shared" si="111"/>
        <v>0</v>
      </c>
      <c r="FS117" s="27">
        <f t="shared" si="111"/>
        <v>0</v>
      </c>
      <c r="FT117" s="27">
        <f t="shared" si="111"/>
        <v>0</v>
      </c>
      <c r="FU117" s="27">
        <f t="shared" si="111"/>
        <v>0</v>
      </c>
      <c r="FV117" s="27">
        <f t="shared" si="111"/>
        <v>0</v>
      </c>
      <c r="FW117" s="28"/>
      <c r="FX117" s="29">
        <f t="shared" si="3"/>
        <v>0</v>
      </c>
    </row>
    <row r="118" spans="1:180" ht="18" customHeight="1" x14ac:dyDescent="0.25">
      <c r="A118" s="3" t="str">
        <f>IF(C118&lt;&gt;"","DRG-"&amp;TEXT(112,"000"),"")</f>
        <v>DRG-112</v>
      </c>
      <c r="B118" s="19" t="s">
        <v>170</v>
      </c>
      <c r="C118" s="20" t="s">
        <v>171</v>
      </c>
      <c r="D118" s="20" t="s">
        <v>56</v>
      </c>
      <c r="E118" s="20" t="s">
        <v>126</v>
      </c>
      <c r="F118" s="20" t="s">
        <v>69</v>
      </c>
      <c r="G118" s="21"/>
      <c r="H118" s="21"/>
      <c r="I118" s="21"/>
      <c r="J118" s="21"/>
      <c r="K118" s="21"/>
      <c r="L118" s="21">
        <v>4</v>
      </c>
      <c r="M118" s="30" t="str">
        <f t="shared" si="0"/>
        <v>✘ Pending</v>
      </c>
      <c r="N118" s="30">
        <f t="shared" si="1"/>
        <v>0</v>
      </c>
      <c r="O118" s="31"/>
      <c r="P118" s="32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1"/>
      <c r="AC118" s="32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1"/>
      <c r="AP118" s="32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1"/>
      <c r="BC118" s="32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1"/>
      <c r="BP118" s="32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1"/>
      <c r="CC118" s="32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1"/>
      <c r="CP118" s="32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1"/>
      <c r="DC118" s="32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1"/>
      <c r="DP118" s="32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1"/>
      <c r="EC118" s="32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1"/>
      <c r="EP118" s="32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1"/>
      <c r="FC118" s="32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4">
        <f t="shared" ref="FO118:FV118" si="112">IFERROR(R118*1,0)+IFERROR(AE118*1,0)+IFERROR(AR118*1,0)+IFERROR(BE118*1,0)+IFERROR(BR118*1,0)+IFERROR(CE118*1,0)+IFERROR(CR118*1,0)+IFERROR(DE118*1,0)+IFERROR(DR118*1,0)+IFERROR(EE118*1,0)+IFERROR(ER118*1,0)+IFERROR(FE118*1,0)</f>
        <v>0</v>
      </c>
      <c r="FP118" s="34">
        <f t="shared" si="112"/>
        <v>0</v>
      </c>
      <c r="FQ118" s="34">
        <f t="shared" si="112"/>
        <v>0</v>
      </c>
      <c r="FR118" s="34">
        <f t="shared" si="112"/>
        <v>0</v>
      </c>
      <c r="FS118" s="34">
        <f t="shared" si="112"/>
        <v>0</v>
      </c>
      <c r="FT118" s="34">
        <f t="shared" si="112"/>
        <v>0</v>
      </c>
      <c r="FU118" s="34">
        <f t="shared" si="112"/>
        <v>0</v>
      </c>
      <c r="FV118" s="34">
        <f t="shared" si="112"/>
        <v>0</v>
      </c>
      <c r="FW118" s="28"/>
      <c r="FX118" s="29">
        <f t="shared" si="3"/>
        <v>0</v>
      </c>
    </row>
    <row r="119" spans="1:180" ht="18" customHeight="1" x14ac:dyDescent="0.25">
      <c r="A119" s="3" t="str">
        <f>IF(C119&lt;&gt;"","DRG-"&amp;TEXT(113,"000"),"")</f>
        <v>DRG-113</v>
      </c>
      <c r="B119" s="19" t="s">
        <v>170</v>
      </c>
      <c r="C119" s="20" t="s">
        <v>171</v>
      </c>
      <c r="D119" s="20" t="s">
        <v>56</v>
      </c>
      <c r="E119" s="20" t="s">
        <v>173</v>
      </c>
      <c r="F119" s="20" t="s">
        <v>69</v>
      </c>
      <c r="G119" s="21"/>
      <c r="H119" s="21"/>
      <c r="I119" s="21"/>
      <c r="J119" s="21"/>
      <c r="K119" s="21"/>
      <c r="L119" s="21">
        <v>4</v>
      </c>
      <c r="M119" s="23" t="str">
        <f t="shared" si="0"/>
        <v>✘ Pending</v>
      </c>
      <c r="N119" s="23">
        <f t="shared" si="1"/>
        <v>0</v>
      </c>
      <c r="O119" s="25"/>
      <c r="P119" s="26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5"/>
      <c r="AC119" s="26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5"/>
      <c r="AP119" s="26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5"/>
      <c r="BC119" s="26"/>
      <c r="BD119" s="24"/>
      <c r="BE119" s="24"/>
      <c r="BF119" s="24"/>
      <c r="BG119" s="24"/>
      <c r="BH119" s="24"/>
      <c r="BI119" s="24"/>
      <c r="BJ119" s="24"/>
      <c r="BK119" s="24"/>
      <c r="BL119" s="24"/>
      <c r="BM119" s="24"/>
      <c r="BN119" s="24"/>
      <c r="BO119" s="25"/>
      <c r="BP119" s="26"/>
      <c r="BQ119" s="24"/>
      <c r="BR119" s="24"/>
      <c r="BS119" s="24"/>
      <c r="BT119" s="24"/>
      <c r="BU119" s="24"/>
      <c r="BV119" s="24"/>
      <c r="BW119" s="24"/>
      <c r="BX119" s="24"/>
      <c r="BY119" s="24"/>
      <c r="BZ119" s="24"/>
      <c r="CA119" s="24"/>
      <c r="CB119" s="25"/>
      <c r="CC119" s="26"/>
      <c r="CD119" s="24"/>
      <c r="CE119" s="24"/>
      <c r="CF119" s="24"/>
      <c r="CG119" s="24"/>
      <c r="CH119" s="24"/>
      <c r="CI119" s="24"/>
      <c r="CJ119" s="24"/>
      <c r="CK119" s="24"/>
      <c r="CL119" s="24"/>
      <c r="CM119" s="24"/>
      <c r="CN119" s="24"/>
      <c r="CO119" s="25"/>
      <c r="CP119" s="26"/>
      <c r="CQ119" s="24"/>
      <c r="CR119" s="24"/>
      <c r="CS119" s="24"/>
      <c r="CT119" s="24"/>
      <c r="CU119" s="24"/>
      <c r="CV119" s="24"/>
      <c r="CW119" s="24"/>
      <c r="CX119" s="24"/>
      <c r="CY119" s="24"/>
      <c r="CZ119" s="24"/>
      <c r="DA119" s="24"/>
      <c r="DB119" s="25"/>
      <c r="DC119" s="26"/>
      <c r="DD119" s="24"/>
      <c r="DE119" s="24"/>
      <c r="DF119" s="24"/>
      <c r="DG119" s="24"/>
      <c r="DH119" s="24"/>
      <c r="DI119" s="24"/>
      <c r="DJ119" s="24"/>
      <c r="DK119" s="24"/>
      <c r="DL119" s="24"/>
      <c r="DM119" s="24"/>
      <c r="DN119" s="24"/>
      <c r="DO119" s="25"/>
      <c r="DP119" s="26"/>
      <c r="DQ119" s="24"/>
      <c r="DR119" s="24"/>
      <c r="DS119" s="24"/>
      <c r="DT119" s="24"/>
      <c r="DU119" s="24"/>
      <c r="DV119" s="24"/>
      <c r="DW119" s="24"/>
      <c r="DX119" s="24"/>
      <c r="DY119" s="24"/>
      <c r="DZ119" s="24"/>
      <c r="EA119" s="24"/>
      <c r="EB119" s="25"/>
      <c r="EC119" s="26"/>
      <c r="ED119" s="24"/>
      <c r="EE119" s="24"/>
      <c r="EF119" s="24"/>
      <c r="EG119" s="24"/>
      <c r="EH119" s="24"/>
      <c r="EI119" s="24"/>
      <c r="EJ119" s="24"/>
      <c r="EK119" s="24"/>
      <c r="EL119" s="24"/>
      <c r="EM119" s="24"/>
      <c r="EN119" s="24"/>
      <c r="EO119" s="25"/>
      <c r="EP119" s="26"/>
      <c r="EQ119" s="24"/>
      <c r="ER119" s="24"/>
      <c r="ES119" s="24"/>
      <c r="ET119" s="24"/>
      <c r="EU119" s="24"/>
      <c r="EV119" s="24"/>
      <c r="EW119" s="24"/>
      <c r="EX119" s="24"/>
      <c r="EY119" s="24"/>
      <c r="EZ119" s="24"/>
      <c r="FA119" s="24"/>
      <c r="FB119" s="25"/>
      <c r="FC119" s="26"/>
      <c r="FD119" s="24"/>
      <c r="FE119" s="24"/>
      <c r="FF119" s="24"/>
      <c r="FG119" s="24"/>
      <c r="FH119" s="24"/>
      <c r="FI119" s="24"/>
      <c r="FJ119" s="24"/>
      <c r="FK119" s="24"/>
      <c r="FL119" s="24"/>
      <c r="FM119" s="24"/>
      <c r="FN119" s="24"/>
      <c r="FO119" s="27">
        <f t="shared" ref="FO119:FV119" si="113">IFERROR(R119*1,0)+IFERROR(AE119*1,0)+IFERROR(AR119*1,0)+IFERROR(BE119*1,0)+IFERROR(BR119*1,0)+IFERROR(CE119*1,0)+IFERROR(CR119*1,0)+IFERROR(DE119*1,0)+IFERROR(DR119*1,0)+IFERROR(EE119*1,0)+IFERROR(ER119*1,0)+IFERROR(FE119*1,0)</f>
        <v>0</v>
      </c>
      <c r="FP119" s="27">
        <f t="shared" si="113"/>
        <v>0</v>
      </c>
      <c r="FQ119" s="27">
        <f t="shared" si="113"/>
        <v>0</v>
      </c>
      <c r="FR119" s="27">
        <f t="shared" si="113"/>
        <v>0</v>
      </c>
      <c r="FS119" s="27">
        <f t="shared" si="113"/>
        <v>0</v>
      </c>
      <c r="FT119" s="27">
        <f t="shared" si="113"/>
        <v>0</v>
      </c>
      <c r="FU119" s="27">
        <f t="shared" si="113"/>
        <v>0</v>
      </c>
      <c r="FV119" s="27">
        <f t="shared" si="113"/>
        <v>0</v>
      </c>
      <c r="FW119" s="28"/>
      <c r="FX119" s="29">
        <f t="shared" si="3"/>
        <v>0</v>
      </c>
    </row>
    <row r="120" spans="1:180" ht="18" customHeight="1" x14ac:dyDescent="0.25">
      <c r="A120" s="3" t="str">
        <f>IF(C120&lt;&gt;"","DRG-"&amp;TEXT(114,"000"),"")</f>
        <v>DRG-114</v>
      </c>
      <c r="B120" s="19" t="s">
        <v>174</v>
      </c>
      <c r="C120" s="20" t="s">
        <v>174</v>
      </c>
      <c r="D120" s="20" t="s">
        <v>319</v>
      </c>
      <c r="E120" s="20" t="s">
        <v>175</v>
      </c>
      <c r="F120" s="20" t="s">
        <v>69</v>
      </c>
      <c r="G120" s="21"/>
      <c r="H120" s="21"/>
      <c r="I120" s="21"/>
      <c r="J120" s="21"/>
      <c r="K120" s="21"/>
      <c r="L120" s="21">
        <v>4</v>
      </c>
      <c r="M120" s="30" t="str">
        <f t="shared" si="0"/>
        <v>✘ Pending</v>
      </c>
      <c r="N120" s="30">
        <f t="shared" si="1"/>
        <v>0</v>
      </c>
      <c r="O120" s="31"/>
      <c r="P120" s="32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1"/>
      <c r="AC120" s="32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1"/>
      <c r="AP120" s="32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1"/>
      <c r="BC120" s="32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1"/>
      <c r="BP120" s="32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1"/>
      <c r="CC120" s="32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1"/>
      <c r="CP120" s="32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1"/>
      <c r="DC120" s="32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1"/>
      <c r="DP120" s="32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1"/>
      <c r="EC120" s="32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1"/>
      <c r="EP120" s="32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1"/>
      <c r="FC120" s="32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4">
        <f t="shared" ref="FO120:FV120" si="114">IFERROR(R120*1,0)+IFERROR(AE120*1,0)+IFERROR(AR120*1,0)+IFERROR(BE120*1,0)+IFERROR(BR120*1,0)+IFERROR(CE120*1,0)+IFERROR(CR120*1,0)+IFERROR(DE120*1,0)+IFERROR(DR120*1,0)+IFERROR(EE120*1,0)+IFERROR(ER120*1,0)+IFERROR(FE120*1,0)</f>
        <v>0</v>
      </c>
      <c r="FP120" s="34">
        <f t="shared" si="114"/>
        <v>0</v>
      </c>
      <c r="FQ120" s="34">
        <f t="shared" si="114"/>
        <v>0</v>
      </c>
      <c r="FR120" s="34">
        <f t="shared" si="114"/>
        <v>0</v>
      </c>
      <c r="FS120" s="34">
        <f t="shared" si="114"/>
        <v>0</v>
      </c>
      <c r="FT120" s="34">
        <f t="shared" si="114"/>
        <v>0</v>
      </c>
      <c r="FU120" s="34">
        <f t="shared" si="114"/>
        <v>0</v>
      </c>
      <c r="FV120" s="34">
        <f t="shared" si="114"/>
        <v>0</v>
      </c>
      <c r="FW120" s="28"/>
      <c r="FX120" s="29">
        <f t="shared" si="3"/>
        <v>0</v>
      </c>
    </row>
    <row r="121" spans="1:180" ht="18" customHeight="1" x14ac:dyDescent="0.25">
      <c r="A121" s="3" t="str">
        <f>IF(C121&lt;&gt;"","DRG-"&amp;TEXT(115,"000"),"")</f>
        <v>DRG-115</v>
      </c>
      <c r="B121" s="19" t="s">
        <v>174</v>
      </c>
      <c r="C121" s="20" t="s">
        <v>174</v>
      </c>
      <c r="D121" s="20" t="s">
        <v>319</v>
      </c>
      <c r="E121" s="20" t="s">
        <v>176</v>
      </c>
      <c r="F121" s="20" t="s">
        <v>58</v>
      </c>
      <c r="G121" s="21"/>
      <c r="H121" s="21"/>
      <c r="I121" s="21"/>
      <c r="J121" s="21"/>
      <c r="K121" s="21"/>
      <c r="L121" s="21">
        <v>4</v>
      </c>
      <c r="M121" s="23" t="str">
        <f t="shared" si="0"/>
        <v>✘ Pending</v>
      </c>
      <c r="N121" s="23">
        <f t="shared" si="1"/>
        <v>0</v>
      </c>
      <c r="O121" s="25"/>
      <c r="P121" s="26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  <c r="AB121" s="25"/>
      <c r="AC121" s="26"/>
      <c r="AD121" s="24"/>
      <c r="AE121" s="24"/>
      <c r="AF121" s="24"/>
      <c r="AG121" s="24"/>
      <c r="AH121" s="24"/>
      <c r="AI121" s="24"/>
      <c r="AJ121" s="24"/>
      <c r="AK121" s="24"/>
      <c r="AL121" s="24"/>
      <c r="AM121" s="24"/>
      <c r="AN121" s="24"/>
      <c r="AO121" s="25"/>
      <c r="AP121" s="26"/>
      <c r="AQ121" s="24"/>
      <c r="AR121" s="24"/>
      <c r="AS121" s="24"/>
      <c r="AT121" s="24"/>
      <c r="AU121" s="24"/>
      <c r="AV121" s="24"/>
      <c r="AW121" s="24"/>
      <c r="AX121" s="24"/>
      <c r="AY121" s="24"/>
      <c r="AZ121" s="24"/>
      <c r="BA121" s="24"/>
      <c r="BB121" s="25"/>
      <c r="BC121" s="26"/>
      <c r="BD121" s="24"/>
      <c r="BE121" s="24"/>
      <c r="BF121" s="24"/>
      <c r="BG121" s="24"/>
      <c r="BH121" s="24"/>
      <c r="BI121" s="24"/>
      <c r="BJ121" s="24"/>
      <c r="BK121" s="24"/>
      <c r="BL121" s="24"/>
      <c r="BM121" s="24"/>
      <c r="BN121" s="24"/>
      <c r="BO121" s="25"/>
      <c r="BP121" s="26"/>
      <c r="BQ121" s="24"/>
      <c r="BR121" s="24"/>
      <c r="BS121" s="24"/>
      <c r="BT121" s="24"/>
      <c r="BU121" s="24"/>
      <c r="BV121" s="24"/>
      <c r="BW121" s="24"/>
      <c r="BX121" s="24"/>
      <c r="BY121" s="24"/>
      <c r="BZ121" s="24"/>
      <c r="CA121" s="24"/>
      <c r="CB121" s="25"/>
      <c r="CC121" s="26"/>
      <c r="CD121" s="24"/>
      <c r="CE121" s="24"/>
      <c r="CF121" s="24"/>
      <c r="CG121" s="24"/>
      <c r="CH121" s="24"/>
      <c r="CI121" s="24"/>
      <c r="CJ121" s="24"/>
      <c r="CK121" s="24"/>
      <c r="CL121" s="24"/>
      <c r="CM121" s="24"/>
      <c r="CN121" s="24"/>
      <c r="CO121" s="25"/>
      <c r="CP121" s="26"/>
      <c r="CQ121" s="24"/>
      <c r="CR121" s="24"/>
      <c r="CS121" s="24"/>
      <c r="CT121" s="24"/>
      <c r="CU121" s="24"/>
      <c r="CV121" s="24"/>
      <c r="CW121" s="24"/>
      <c r="CX121" s="24"/>
      <c r="CY121" s="24"/>
      <c r="CZ121" s="24"/>
      <c r="DA121" s="24"/>
      <c r="DB121" s="25"/>
      <c r="DC121" s="26"/>
      <c r="DD121" s="24"/>
      <c r="DE121" s="24"/>
      <c r="DF121" s="24"/>
      <c r="DG121" s="24"/>
      <c r="DH121" s="24"/>
      <c r="DI121" s="24"/>
      <c r="DJ121" s="24"/>
      <c r="DK121" s="24"/>
      <c r="DL121" s="24"/>
      <c r="DM121" s="24"/>
      <c r="DN121" s="24"/>
      <c r="DO121" s="25"/>
      <c r="DP121" s="26"/>
      <c r="DQ121" s="24"/>
      <c r="DR121" s="24"/>
      <c r="DS121" s="24"/>
      <c r="DT121" s="24"/>
      <c r="DU121" s="24"/>
      <c r="DV121" s="24"/>
      <c r="DW121" s="24"/>
      <c r="DX121" s="24"/>
      <c r="DY121" s="24"/>
      <c r="DZ121" s="24"/>
      <c r="EA121" s="24"/>
      <c r="EB121" s="25"/>
      <c r="EC121" s="26"/>
      <c r="ED121" s="24"/>
      <c r="EE121" s="24"/>
      <c r="EF121" s="24"/>
      <c r="EG121" s="24"/>
      <c r="EH121" s="24"/>
      <c r="EI121" s="24"/>
      <c r="EJ121" s="24"/>
      <c r="EK121" s="24"/>
      <c r="EL121" s="24"/>
      <c r="EM121" s="24"/>
      <c r="EN121" s="24"/>
      <c r="EO121" s="25"/>
      <c r="EP121" s="26"/>
      <c r="EQ121" s="24"/>
      <c r="ER121" s="24"/>
      <c r="ES121" s="24"/>
      <c r="ET121" s="24"/>
      <c r="EU121" s="24"/>
      <c r="EV121" s="24"/>
      <c r="EW121" s="24"/>
      <c r="EX121" s="24"/>
      <c r="EY121" s="24"/>
      <c r="EZ121" s="24"/>
      <c r="FA121" s="24"/>
      <c r="FB121" s="25"/>
      <c r="FC121" s="26"/>
      <c r="FD121" s="24"/>
      <c r="FE121" s="24"/>
      <c r="FF121" s="24"/>
      <c r="FG121" s="24"/>
      <c r="FH121" s="24"/>
      <c r="FI121" s="24"/>
      <c r="FJ121" s="24"/>
      <c r="FK121" s="24"/>
      <c r="FL121" s="24"/>
      <c r="FM121" s="24"/>
      <c r="FN121" s="24"/>
      <c r="FO121" s="27">
        <f t="shared" ref="FO121:FV121" si="115">IFERROR(R121*1,0)+IFERROR(AE121*1,0)+IFERROR(AR121*1,0)+IFERROR(BE121*1,0)+IFERROR(BR121*1,0)+IFERROR(CE121*1,0)+IFERROR(CR121*1,0)+IFERROR(DE121*1,0)+IFERROR(DR121*1,0)+IFERROR(EE121*1,0)+IFERROR(ER121*1,0)+IFERROR(FE121*1,0)</f>
        <v>0</v>
      </c>
      <c r="FP121" s="27">
        <f t="shared" si="115"/>
        <v>0</v>
      </c>
      <c r="FQ121" s="27">
        <f t="shared" si="115"/>
        <v>0</v>
      </c>
      <c r="FR121" s="27">
        <f t="shared" si="115"/>
        <v>0</v>
      </c>
      <c r="FS121" s="27">
        <f t="shared" si="115"/>
        <v>0</v>
      </c>
      <c r="FT121" s="27">
        <f t="shared" si="115"/>
        <v>0</v>
      </c>
      <c r="FU121" s="27">
        <f t="shared" si="115"/>
        <v>0</v>
      </c>
      <c r="FV121" s="27">
        <f t="shared" si="115"/>
        <v>0</v>
      </c>
      <c r="FW121" s="28"/>
      <c r="FX121" s="29">
        <f t="shared" si="3"/>
        <v>0</v>
      </c>
    </row>
    <row r="122" spans="1:180" ht="18" customHeight="1" x14ac:dyDescent="0.25">
      <c r="A122" s="3" t="str">
        <f>IF(C122&lt;&gt;"","DRG-"&amp;TEXT(116,"000"),"")</f>
        <v>DRG-116</v>
      </c>
      <c r="B122" s="19" t="s">
        <v>174</v>
      </c>
      <c r="C122" s="20" t="s">
        <v>177</v>
      </c>
      <c r="D122" s="20" t="s">
        <v>319</v>
      </c>
      <c r="E122" s="20" t="s">
        <v>178</v>
      </c>
      <c r="F122" s="20" t="s">
        <v>58</v>
      </c>
      <c r="G122" s="21" t="s">
        <v>110</v>
      </c>
      <c r="H122" s="21"/>
      <c r="I122" s="21"/>
      <c r="J122" s="21" t="s">
        <v>179</v>
      </c>
      <c r="K122" s="21">
        <v>10</v>
      </c>
      <c r="L122" s="21">
        <v>12</v>
      </c>
      <c r="M122" s="30" t="str">
        <f t="shared" si="0"/>
        <v>✘ Pending</v>
      </c>
      <c r="N122" s="30">
        <f t="shared" si="1"/>
        <v>0</v>
      </c>
      <c r="O122" s="31"/>
      <c r="P122" s="32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1"/>
      <c r="AC122" s="32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1"/>
      <c r="AP122" s="32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1"/>
      <c r="BC122" s="32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1"/>
      <c r="BP122" s="32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1"/>
      <c r="CC122" s="32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1"/>
      <c r="CP122" s="32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1"/>
      <c r="DC122" s="32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1"/>
      <c r="DP122" s="32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1"/>
      <c r="EC122" s="32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1"/>
      <c r="EP122" s="32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1"/>
      <c r="FC122" s="32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4">
        <f t="shared" ref="FO122:FV122" si="116">IFERROR(R122*1,0)+IFERROR(AE122*1,0)+IFERROR(AR122*1,0)+IFERROR(BE122*1,0)+IFERROR(BR122*1,0)+IFERROR(CE122*1,0)+IFERROR(CR122*1,0)+IFERROR(DE122*1,0)+IFERROR(DR122*1,0)+IFERROR(EE122*1,0)+IFERROR(ER122*1,0)+IFERROR(FE122*1,0)</f>
        <v>0</v>
      </c>
      <c r="FP122" s="34">
        <f t="shared" si="116"/>
        <v>0</v>
      </c>
      <c r="FQ122" s="34">
        <f t="shared" si="116"/>
        <v>0</v>
      </c>
      <c r="FR122" s="34">
        <f t="shared" si="116"/>
        <v>0</v>
      </c>
      <c r="FS122" s="34">
        <f t="shared" si="116"/>
        <v>0</v>
      </c>
      <c r="FT122" s="34">
        <f t="shared" si="116"/>
        <v>0</v>
      </c>
      <c r="FU122" s="34">
        <f t="shared" si="116"/>
        <v>0</v>
      </c>
      <c r="FV122" s="34">
        <f t="shared" si="116"/>
        <v>0</v>
      </c>
      <c r="FW122" s="28"/>
      <c r="FX122" s="29">
        <f t="shared" si="3"/>
        <v>0</v>
      </c>
    </row>
    <row r="123" spans="1:180" ht="18" customHeight="1" x14ac:dyDescent="0.25">
      <c r="A123" s="3" t="str">
        <f>IF(C123&lt;&gt;"","DRG-"&amp;TEXT(117,"000"),"")</f>
        <v>DRG-117</v>
      </c>
      <c r="B123" s="19" t="s">
        <v>180</v>
      </c>
      <c r="C123" s="20" t="s">
        <v>180</v>
      </c>
      <c r="D123" s="20" t="s">
        <v>319</v>
      </c>
      <c r="E123" s="20" t="s">
        <v>147</v>
      </c>
      <c r="F123" s="20" t="s">
        <v>69</v>
      </c>
      <c r="G123" s="21"/>
      <c r="H123" s="21"/>
      <c r="I123" s="21"/>
      <c r="J123" s="21"/>
      <c r="K123" s="21"/>
      <c r="L123" s="21">
        <v>4</v>
      </c>
      <c r="M123" s="23" t="str">
        <f t="shared" si="0"/>
        <v>✘ Pending</v>
      </c>
      <c r="N123" s="23">
        <f t="shared" si="1"/>
        <v>0</v>
      </c>
      <c r="O123" s="25"/>
      <c r="P123" s="26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5"/>
      <c r="AC123" s="26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5"/>
      <c r="AP123" s="26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5"/>
      <c r="BC123" s="26"/>
      <c r="BD123" s="24"/>
      <c r="BE123" s="24"/>
      <c r="BF123" s="24"/>
      <c r="BG123" s="24"/>
      <c r="BH123" s="24"/>
      <c r="BI123" s="24"/>
      <c r="BJ123" s="24"/>
      <c r="BK123" s="24"/>
      <c r="BL123" s="24"/>
      <c r="BM123" s="24"/>
      <c r="BN123" s="24"/>
      <c r="BO123" s="25"/>
      <c r="BP123" s="26"/>
      <c r="BQ123" s="24"/>
      <c r="BR123" s="24"/>
      <c r="BS123" s="24"/>
      <c r="BT123" s="24"/>
      <c r="BU123" s="24"/>
      <c r="BV123" s="24"/>
      <c r="BW123" s="24"/>
      <c r="BX123" s="24"/>
      <c r="BY123" s="24"/>
      <c r="BZ123" s="24"/>
      <c r="CA123" s="24"/>
      <c r="CB123" s="25"/>
      <c r="CC123" s="26"/>
      <c r="CD123" s="24"/>
      <c r="CE123" s="24"/>
      <c r="CF123" s="24"/>
      <c r="CG123" s="24"/>
      <c r="CH123" s="24"/>
      <c r="CI123" s="24"/>
      <c r="CJ123" s="24"/>
      <c r="CK123" s="24"/>
      <c r="CL123" s="24"/>
      <c r="CM123" s="24"/>
      <c r="CN123" s="24"/>
      <c r="CO123" s="25"/>
      <c r="CP123" s="26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5"/>
      <c r="DC123" s="26"/>
      <c r="DD123" s="24"/>
      <c r="DE123" s="24"/>
      <c r="DF123" s="24"/>
      <c r="DG123" s="24"/>
      <c r="DH123" s="24"/>
      <c r="DI123" s="24"/>
      <c r="DJ123" s="24"/>
      <c r="DK123" s="24"/>
      <c r="DL123" s="24"/>
      <c r="DM123" s="24"/>
      <c r="DN123" s="24"/>
      <c r="DO123" s="25"/>
      <c r="DP123" s="26"/>
      <c r="DQ123" s="24"/>
      <c r="DR123" s="24"/>
      <c r="DS123" s="24"/>
      <c r="DT123" s="24"/>
      <c r="DU123" s="24"/>
      <c r="DV123" s="24"/>
      <c r="DW123" s="24"/>
      <c r="DX123" s="24"/>
      <c r="DY123" s="24"/>
      <c r="DZ123" s="24"/>
      <c r="EA123" s="24"/>
      <c r="EB123" s="25"/>
      <c r="EC123" s="26"/>
      <c r="ED123" s="24"/>
      <c r="EE123" s="24"/>
      <c r="EF123" s="24"/>
      <c r="EG123" s="24"/>
      <c r="EH123" s="24"/>
      <c r="EI123" s="24"/>
      <c r="EJ123" s="24"/>
      <c r="EK123" s="24"/>
      <c r="EL123" s="24"/>
      <c r="EM123" s="24"/>
      <c r="EN123" s="24"/>
      <c r="EO123" s="25"/>
      <c r="EP123" s="26"/>
      <c r="EQ123" s="24"/>
      <c r="ER123" s="24"/>
      <c r="ES123" s="24"/>
      <c r="ET123" s="24"/>
      <c r="EU123" s="24"/>
      <c r="EV123" s="24"/>
      <c r="EW123" s="24"/>
      <c r="EX123" s="24"/>
      <c r="EY123" s="24"/>
      <c r="EZ123" s="24"/>
      <c r="FA123" s="24"/>
      <c r="FB123" s="25"/>
      <c r="FC123" s="26"/>
      <c r="FD123" s="24"/>
      <c r="FE123" s="24"/>
      <c r="FF123" s="24"/>
      <c r="FG123" s="24"/>
      <c r="FH123" s="24"/>
      <c r="FI123" s="24"/>
      <c r="FJ123" s="24"/>
      <c r="FK123" s="24"/>
      <c r="FL123" s="24"/>
      <c r="FM123" s="24"/>
      <c r="FN123" s="24"/>
      <c r="FO123" s="27">
        <f t="shared" ref="FO123:FV123" si="117">IFERROR(R123*1,0)+IFERROR(AE123*1,0)+IFERROR(AR123*1,0)+IFERROR(BE123*1,0)+IFERROR(BR123*1,0)+IFERROR(CE123*1,0)+IFERROR(CR123*1,0)+IFERROR(DE123*1,0)+IFERROR(DR123*1,0)+IFERROR(EE123*1,0)+IFERROR(ER123*1,0)+IFERROR(FE123*1,0)</f>
        <v>0</v>
      </c>
      <c r="FP123" s="27">
        <f t="shared" si="117"/>
        <v>0</v>
      </c>
      <c r="FQ123" s="27">
        <f t="shared" si="117"/>
        <v>0</v>
      </c>
      <c r="FR123" s="27">
        <f t="shared" si="117"/>
        <v>0</v>
      </c>
      <c r="FS123" s="27">
        <f t="shared" si="117"/>
        <v>0</v>
      </c>
      <c r="FT123" s="27">
        <f t="shared" si="117"/>
        <v>0</v>
      </c>
      <c r="FU123" s="27">
        <f t="shared" si="117"/>
        <v>0</v>
      </c>
      <c r="FV123" s="27">
        <f t="shared" si="117"/>
        <v>0</v>
      </c>
      <c r="FW123" s="28"/>
      <c r="FX123" s="29">
        <f t="shared" si="3"/>
        <v>0</v>
      </c>
    </row>
    <row r="124" spans="1:180" ht="18" customHeight="1" x14ac:dyDescent="0.25">
      <c r="A124" s="3" t="str">
        <f>IF(C124&lt;&gt;"","DRG-"&amp;TEXT(118,"000"),"")</f>
        <v>DRG-118</v>
      </c>
      <c r="B124" s="19" t="s">
        <v>181</v>
      </c>
      <c r="C124" s="20" t="s">
        <v>181</v>
      </c>
      <c r="D124" s="20" t="s">
        <v>319</v>
      </c>
      <c r="E124" s="20" t="s">
        <v>172</v>
      </c>
      <c r="F124" s="20" t="s">
        <v>69</v>
      </c>
      <c r="G124" s="21"/>
      <c r="H124" s="21"/>
      <c r="I124" s="21"/>
      <c r="J124" s="21"/>
      <c r="K124" s="21"/>
      <c r="L124" s="21">
        <v>4</v>
      </c>
      <c r="M124" s="30" t="str">
        <f t="shared" si="0"/>
        <v>✘ Pending</v>
      </c>
      <c r="N124" s="30">
        <f t="shared" si="1"/>
        <v>0</v>
      </c>
      <c r="O124" s="31"/>
      <c r="P124" s="32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1"/>
      <c r="AC124" s="32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1"/>
      <c r="AP124" s="32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1"/>
      <c r="BC124" s="32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1"/>
      <c r="BP124" s="32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1"/>
      <c r="CC124" s="32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1"/>
      <c r="CP124" s="32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1"/>
      <c r="DC124" s="32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1"/>
      <c r="DP124" s="32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1"/>
      <c r="EC124" s="32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1"/>
      <c r="EP124" s="32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1"/>
      <c r="FC124" s="32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4">
        <f t="shared" ref="FO124:FV124" si="118">IFERROR(R124*1,0)+IFERROR(AE124*1,0)+IFERROR(AR124*1,0)+IFERROR(BE124*1,0)+IFERROR(BR124*1,0)+IFERROR(CE124*1,0)+IFERROR(CR124*1,0)+IFERROR(DE124*1,0)+IFERROR(DR124*1,0)+IFERROR(EE124*1,0)+IFERROR(ER124*1,0)+IFERROR(FE124*1,0)</f>
        <v>0</v>
      </c>
      <c r="FP124" s="34">
        <f t="shared" si="118"/>
        <v>0</v>
      </c>
      <c r="FQ124" s="34">
        <f t="shared" si="118"/>
        <v>0</v>
      </c>
      <c r="FR124" s="34">
        <f t="shared" si="118"/>
        <v>0</v>
      </c>
      <c r="FS124" s="34">
        <f t="shared" si="118"/>
        <v>0</v>
      </c>
      <c r="FT124" s="34">
        <f t="shared" si="118"/>
        <v>0</v>
      </c>
      <c r="FU124" s="34">
        <f t="shared" si="118"/>
        <v>0</v>
      </c>
      <c r="FV124" s="34">
        <f t="shared" si="118"/>
        <v>0</v>
      </c>
      <c r="FW124" s="28"/>
      <c r="FX124" s="29">
        <f t="shared" si="3"/>
        <v>0</v>
      </c>
    </row>
    <row r="125" spans="1:180" ht="18" customHeight="1" x14ac:dyDescent="0.25">
      <c r="A125" s="3" t="str">
        <f>IF(C125&lt;&gt;"","DRG-"&amp;TEXT(119,"000"),"")</f>
        <v>DRG-119</v>
      </c>
      <c r="B125" s="19" t="s">
        <v>181</v>
      </c>
      <c r="C125" s="20" t="s">
        <v>181</v>
      </c>
      <c r="D125" s="20" t="s">
        <v>56</v>
      </c>
      <c r="E125" s="20" t="s">
        <v>172</v>
      </c>
      <c r="F125" s="20" t="s">
        <v>69</v>
      </c>
      <c r="G125" s="21"/>
      <c r="H125" s="21"/>
      <c r="I125" s="21"/>
      <c r="J125" s="21"/>
      <c r="K125" s="21"/>
      <c r="L125" s="21">
        <v>4</v>
      </c>
      <c r="M125" s="23" t="str">
        <f t="shared" si="0"/>
        <v>✘ Pending</v>
      </c>
      <c r="N125" s="23">
        <f t="shared" si="1"/>
        <v>0</v>
      </c>
      <c r="O125" s="25"/>
      <c r="P125" s="26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5"/>
      <c r="AC125" s="26"/>
      <c r="AD125" s="24"/>
      <c r="AE125" s="24"/>
      <c r="AF125" s="24"/>
      <c r="AG125" s="24"/>
      <c r="AH125" s="24"/>
      <c r="AI125" s="24"/>
      <c r="AJ125" s="24"/>
      <c r="AK125" s="24"/>
      <c r="AL125" s="24"/>
      <c r="AM125" s="24"/>
      <c r="AN125" s="24"/>
      <c r="AO125" s="25"/>
      <c r="AP125" s="26"/>
      <c r="AQ125" s="24"/>
      <c r="AR125" s="24"/>
      <c r="AS125" s="24"/>
      <c r="AT125" s="24"/>
      <c r="AU125" s="24"/>
      <c r="AV125" s="24"/>
      <c r="AW125" s="24"/>
      <c r="AX125" s="24"/>
      <c r="AY125" s="24"/>
      <c r="AZ125" s="24"/>
      <c r="BA125" s="24"/>
      <c r="BB125" s="25"/>
      <c r="BC125" s="26"/>
      <c r="BD125" s="24"/>
      <c r="BE125" s="24"/>
      <c r="BF125" s="24"/>
      <c r="BG125" s="24"/>
      <c r="BH125" s="24"/>
      <c r="BI125" s="24"/>
      <c r="BJ125" s="24"/>
      <c r="BK125" s="24"/>
      <c r="BL125" s="24"/>
      <c r="BM125" s="24"/>
      <c r="BN125" s="24"/>
      <c r="BO125" s="25"/>
      <c r="BP125" s="26"/>
      <c r="BQ125" s="24"/>
      <c r="BR125" s="24"/>
      <c r="BS125" s="24"/>
      <c r="BT125" s="24"/>
      <c r="BU125" s="24"/>
      <c r="BV125" s="24"/>
      <c r="BW125" s="24"/>
      <c r="BX125" s="24"/>
      <c r="BY125" s="24"/>
      <c r="BZ125" s="24"/>
      <c r="CA125" s="24"/>
      <c r="CB125" s="25"/>
      <c r="CC125" s="26"/>
      <c r="CD125" s="24"/>
      <c r="CE125" s="24"/>
      <c r="CF125" s="24"/>
      <c r="CG125" s="24"/>
      <c r="CH125" s="24"/>
      <c r="CI125" s="24"/>
      <c r="CJ125" s="24"/>
      <c r="CK125" s="24"/>
      <c r="CL125" s="24"/>
      <c r="CM125" s="24"/>
      <c r="CN125" s="24"/>
      <c r="CO125" s="25"/>
      <c r="CP125" s="26"/>
      <c r="CQ125" s="24"/>
      <c r="CR125" s="24"/>
      <c r="CS125" s="24"/>
      <c r="CT125" s="24"/>
      <c r="CU125" s="24"/>
      <c r="CV125" s="24"/>
      <c r="CW125" s="24"/>
      <c r="CX125" s="24"/>
      <c r="CY125" s="24"/>
      <c r="CZ125" s="24"/>
      <c r="DA125" s="24"/>
      <c r="DB125" s="25"/>
      <c r="DC125" s="26"/>
      <c r="DD125" s="24"/>
      <c r="DE125" s="24"/>
      <c r="DF125" s="24"/>
      <c r="DG125" s="24"/>
      <c r="DH125" s="24"/>
      <c r="DI125" s="24"/>
      <c r="DJ125" s="24"/>
      <c r="DK125" s="24"/>
      <c r="DL125" s="24"/>
      <c r="DM125" s="24"/>
      <c r="DN125" s="24"/>
      <c r="DO125" s="25"/>
      <c r="DP125" s="26"/>
      <c r="DQ125" s="24"/>
      <c r="DR125" s="24"/>
      <c r="DS125" s="24"/>
      <c r="DT125" s="24"/>
      <c r="DU125" s="24"/>
      <c r="DV125" s="24"/>
      <c r="DW125" s="24"/>
      <c r="DX125" s="24"/>
      <c r="DY125" s="24"/>
      <c r="DZ125" s="24"/>
      <c r="EA125" s="24"/>
      <c r="EB125" s="25"/>
      <c r="EC125" s="26"/>
      <c r="ED125" s="24"/>
      <c r="EE125" s="24"/>
      <c r="EF125" s="24"/>
      <c r="EG125" s="24"/>
      <c r="EH125" s="24"/>
      <c r="EI125" s="24"/>
      <c r="EJ125" s="24"/>
      <c r="EK125" s="24"/>
      <c r="EL125" s="24"/>
      <c r="EM125" s="24"/>
      <c r="EN125" s="24"/>
      <c r="EO125" s="25"/>
      <c r="EP125" s="26"/>
      <c r="EQ125" s="24"/>
      <c r="ER125" s="24"/>
      <c r="ES125" s="24"/>
      <c r="ET125" s="24"/>
      <c r="EU125" s="24"/>
      <c r="EV125" s="24"/>
      <c r="EW125" s="24"/>
      <c r="EX125" s="24"/>
      <c r="EY125" s="24"/>
      <c r="EZ125" s="24"/>
      <c r="FA125" s="24"/>
      <c r="FB125" s="25"/>
      <c r="FC125" s="26"/>
      <c r="FD125" s="24"/>
      <c r="FE125" s="24"/>
      <c r="FF125" s="24"/>
      <c r="FG125" s="24"/>
      <c r="FH125" s="24"/>
      <c r="FI125" s="24"/>
      <c r="FJ125" s="24"/>
      <c r="FK125" s="24"/>
      <c r="FL125" s="24"/>
      <c r="FM125" s="24"/>
      <c r="FN125" s="24"/>
      <c r="FO125" s="27">
        <f t="shared" ref="FO125:FV125" si="119">IFERROR(R125*1,0)+IFERROR(AE125*1,0)+IFERROR(AR125*1,0)+IFERROR(BE125*1,0)+IFERROR(BR125*1,0)+IFERROR(CE125*1,0)+IFERROR(CR125*1,0)+IFERROR(DE125*1,0)+IFERROR(DR125*1,0)+IFERROR(EE125*1,0)+IFERROR(ER125*1,0)+IFERROR(FE125*1,0)</f>
        <v>0</v>
      </c>
      <c r="FP125" s="27">
        <f t="shared" si="119"/>
        <v>0</v>
      </c>
      <c r="FQ125" s="27">
        <f t="shared" si="119"/>
        <v>0</v>
      </c>
      <c r="FR125" s="27">
        <f t="shared" si="119"/>
        <v>0</v>
      </c>
      <c r="FS125" s="27">
        <f t="shared" si="119"/>
        <v>0</v>
      </c>
      <c r="FT125" s="27">
        <f t="shared" si="119"/>
        <v>0</v>
      </c>
      <c r="FU125" s="27">
        <f t="shared" si="119"/>
        <v>0</v>
      </c>
      <c r="FV125" s="27">
        <f t="shared" si="119"/>
        <v>0</v>
      </c>
      <c r="FW125" s="28"/>
      <c r="FX125" s="29">
        <f t="shared" si="3"/>
        <v>0</v>
      </c>
    </row>
    <row r="126" spans="1:180" ht="18" customHeight="1" x14ac:dyDescent="0.25">
      <c r="A126" s="3" t="str">
        <f>IF(C126&lt;&gt;"","DRG-"&amp;TEXT(120,"000"),"")</f>
        <v>DRG-120</v>
      </c>
      <c r="B126" s="19" t="s">
        <v>181</v>
      </c>
      <c r="C126" s="20" t="s">
        <v>181</v>
      </c>
      <c r="D126" s="20" t="s">
        <v>56</v>
      </c>
      <c r="E126" s="20" t="s">
        <v>320</v>
      </c>
      <c r="F126" s="20" t="s">
        <v>224</v>
      </c>
      <c r="G126" s="21"/>
      <c r="H126" s="21"/>
      <c r="I126" s="21"/>
      <c r="J126" s="21"/>
      <c r="K126" s="21"/>
      <c r="L126" s="21">
        <v>4</v>
      </c>
      <c r="M126" s="30" t="str">
        <f t="shared" si="0"/>
        <v>✘ Pending</v>
      </c>
      <c r="N126" s="30">
        <f t="shared" si="1"/>
        <v>0</v>
      </c>
      <c r="O126" s="31"/>
      <c r="P126" s="32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1"/>
      <c r="AC126" s="32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1"/>
      <c r="AP126" s="32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1"/>
      <c r="BC126" s="32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1"/>
      <c r="BP126" s="32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1"/>
      <c r="CC126" s="32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1"/>
      <c r="CP126" s="32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1"/>
      <c r="DC126" s="32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1"/>
      <c r="DP126" s="32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1"/>
      <c r="EC126" s="32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1"/>
      <c r="EP126" s="32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1"/>
      <c r="FC126" s="32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4">
        <f t="shared" ref="FO126:FV126" si="120">IFERROR(R126*1,0)+IFERROR(AE126*1,0)+IFERROR(AR126*1,0)+IFERROR(BE126*1,0)+IFERROR(BR126*1,0)+IFERROR(CE126*1,0)+IFERROR(CR126*1,0)+IFERROR(DE126*1,0)+IFERROR(DR126*1,0)+IFERROR(EE126*1,0)+IFERROR(ER126*1,0)+IFERROR(FE126*1,0)</f>
        <v>0</v>
      </c>
      <c r="FP126" s="34">
        <f t="shared" si="120"/>
        <v>0</v>
      </c>
      <c r="FQ126" s="34">
        <f t="shared" si="120"/>
        <v>0</v>
      </c>
      <c r="FR126" s="34">
        <f t="shared" si="120"/>
        <v>0</v>
      </c>
      <c r="FS126" s="34">
        <f t="shared" si="120"/>
        <v>0</v>
      </c>
      <c r="FT126" s="34">
        <f t="shared" si="120"/>
        <v>0</v>
      </c>
      <c r="FU126" s="34">
        <f t="shared" si="120"/>
        <v>0</v>
      </c>
      <c r="FV126" s="34">
        <f t="shared" si="120"/>
        <v>0</v>
      </c>
      <c r="FW126" s="28"/>
      <c r="FX126" s="29">
        <f t="shared" si="3"/>
        <v>0</v>
      </c>
    </row>
    <row r="127" spans="1:180" s="98" customFormat="1" ht="18" customHeight="1" x14ac:dyDescent="0.25">
      <c r="A127" s="87" t="str">
        <f>IF(C127&lt;&gt;"","DRG-"&amp;TEXT(121,"000"),"")</f>
        <v>DRG-121</v>
      </c>
      <c r="B127" s="99" t="s">
        <v>182</v>
      </c>
      <c r="C127" s="89" t="s">
        <v>182</v>
      </c>
      <c r="D127" s="89" t="s">
        <v>56</v>
      </c>
      <c r="E127" s="89" t="s">
        <v>88</v>
      </c>
      <c r="F127" s="89" t="s">
        <v>89</v>
      </c>
      <c r="G127" s="90"/>
      <c r="H127" s="90"/>
      <c r="I127" s="90"/>
      <c r="J127" s="90"/>
      <c r="K127" s="90"/>
      <c r="L127" s="90">
        <v>4</v>
      </c>
      <c r="M127" s="91" t="str">
        <f t="shared" si="0"/>
        <v>✘ Pending</v>
      </c>
      <c r="N127" s="91">
        <f t="shared" si="1"/>
        <v>0</v>
      </c>
      <c r="O127" s="92"/>
      <c r="P127" s="93"/>
      <c r="Q127" s="94"/>
      <c r="R127" s="94"/>
      <c r="S127" s="94"/>
      <c r="T127" s="94"/>
      <c r="U127" s="94"/>
      <c r="V127" s="94"/>
      <c r="W127" s="94"/>
      <c r="X127" s="94"/>
      <c r="Y127" s="94"/>
      <c r="Z127" s="94"/>
      <c r="AA127" s="94"/>
      <c r="AB127" s="92"/>
      <c r="AC127" s="93"/>
      <c r="AD127" s="94"/>
      <c r="AE127" s="94"/>
      <c r="AF127" s="94"/>
      <c r="AG127" s="94"/>
      <c r="AH127" s="94"/>
      <c r="AI127" s="94"/>
      <c r="AJ127" s="94"/>
      <c r="AK127" s="94"/>
      <c r="AL127" s="94"/>
      <c r="AM127" s="94"/>
      <c r="AN127" s="94"/>
      <c r="AO127" s="92"/>
      <c r="AP127" s="93"/>
      <c r="AQ127" s="94"/>
      <c r="AR127" s="94"/>
      <c r="AS127" s="94"/>
      <c r="AT127" s="94"/>
      <c r="AU127" s="94"/>
      <c r="AV127" s="94"/>
      <c r="AW127" s="94"/>
      <c r="AX127" s="94"/>
      <c r="AY127" s="94"/>
      <c r="AZ127" s="94"/>
      <c r="BA127" s="94"/>
      <c r="BB127" s="92"/>
      <c r="BC127" s="93"/>
      <c r="BD127" s="94"/>
      <c r="BE127" s="94"/>
      <c r="BF127" s="94"/>
      <c r="BG127" s="94"/>
      <c r="BH127" s="94"/>
      <c r="BI127" s="94"/>
      <c r="BJ127" s="94"/>
      <c r="BK127" s="94"/>
      <c r="BL127" s="94"/>
      <c r="BM127" s="94"/>
      <c r="BN127" s="94"/>
      <c r="BO127" s="92"/>
      <c r="BP127" s="93"/>
      <c r="BQ127" s="94"/>
      <c r="BR127" s="94"/>
      <c r="BS127" s="94"/>
      <c r="BT127" s="94"/>
      <c r="BU127" s="94"/>
      <c r="BV127" s="94"/>
      <c r="BW127" s="94"/>
      <c r="BX127" s="94"/>
      <c r="BY127" s="94"/>
      <c r="BZ127" s="94"/>
      <c r="CA127" s="94"/>
      <c r="CB127" s="92"/>
      <c r="CC127" s="93"/>
      <c r="CD127" s="94"/>
      <c r="CE127" s="94"/>
      <c r="CF127" s="94"/>
      <c r="CG127" s="94"/>
      <c r="CH127" s="94"/>
      <c r="CI127" s="94"/>
      <c r="CJ127" s="94"/>
      <c r="CK127" s="94"/>
      <c r="CL127" s="94"/>
      <c r="CM127" s="94"/>
      <c r="CN127" s="94"/>
      <c r="CO127" s="92"/>
      <c r="CP127" s="93"/>
      <c r="CQ127" s="94"/>
      <c r="CR127" s="94"/>
      <c r="CS127" s="94"/>
      <c r="CT127" s="94"/>
      <c r="CU127" s="94"/>
      <c r="CV127" s="94"/>
      <c r="CW127" s="94"/>
      <c r="CX127" s="94"/>
      <c r="CY127" s="94"/>
      <c r="CZ127" s="94"/>
      <c r="DA127" s="94"/>
      <c r="DB127" s="92"/>
      <c r="DC127" s="93"/>
      <c r="DD127" s="94"/>
      <c r="DE127" s="94"/>
      <c r="DF127" s="94"/>
      <c r="DG127" s="94"/>
      <c r="DH127" s="94"/>
      <c r="DI127" s="94"/>
      <c r="DJ127" s="94"/>
      <c r="DK127" s="94"/>
      <c r="DL127" s="94"/>
      <c r="DM127" s="94"/>
      <c r="DN127" s="94"/>
      <c r="DO127" s="92"/>
      <c r="DP127" s="93"/>
      <c r="DQ127" s="94"/>
      <c r="DR127" s="94"/>
      <c r="DS127" s="94"/>
      <c r="DT127" s="94"/>
      <c r="DU127" s="94"/>
      <c r="DV127" s="94"/>
      <c r="DW127" s="94"/>
      <c r="DX127" s="94"/>
      <c r="DY127" s="94"/>
      <c r="DZ127" s="94"/>
      <c r="EA127" s="94"/>
      <c r="EB127" s="92"/>
      <c r="EC127" s="93"/>
      <c r="ED127" s="94"/>
      <c r="EE127" s="94"/>
      <c r="EF127" s="94"/>
      <c r="EG127" s="94"/>
      <c r="EH127" s="94"/>
      <c r="EI127" s="94"/>
      <c r="EJ127" s="94"/>
      <c r="EK127" s="94"/>
      <c r="EL127" s="94"/>
      <c r="EM127" s="94"/>
      <c r="EN127" s="94"/>
      <c r="EO127" s="92"/>
      <c r="EP127" s="93"/>
      <c r="EQ127" s="94"/>
      <c r="ER127" s="94"/>
      <c r="ES127" s="94"/>
      <c r="ET127" s="94"/>
      <c r="EU127" s="94"/>
      <c r="EV127" s="94"/>
      <c r="EW127" s="94"/>
      <c r="EX127" s="94"/>
      <c r="EY127" s="94"/>
      <c r="EZ127" s="94"/>
      <c r="FA127" s="94"/>
      <c r="FB127" s="92"/>
      <c r="FC127" s="93"/>
      <c r="FD127" s="94"/>
      <c r="FE127" s="94"/>
      <c r="FF127" s="94"/>
      <c r="FG127" s="94"/>
      <c r="FH127" s="94"/>
      <c r="FI127" s="94"/>
      <c r="FJ127" s="94"/>
      <c r="FK127" s="94"/>
      <c r="FL127" s="94"/>
      <c r="FM127" s="94"/>
      <c r="FN127" s="94"/>
      <c r="FO127" s="95">
        <f t="shared" ref="FO127:FV127" si="121">IFERROR(R127*1,0)+IFERROR(AE127*1,0)+IFERROR(AR127*1,0)+IFERROR(BE127*1,0)+IFERROR(BR127*1,0)+IFERROR(CE127*1,0)+IFERROR(CR127*1,0)+IFERROR(DE127*1,0)+IFERROR(DR127*1,0)+IFERROR(EE127*1,0)+IFERROR(ER127*1,0)+IFERROR(FE127*1,0)</f>
        <v>0</v>
      </c>
      <c r="FP127" s="95">
        <f t="shared" si="121"/>
        <v>0</v>
      </c>
      <c r="FQ127" s="95">
        <f t="shared" si="121"/>
        <v>0</v>
      </c>
      <c r="FR127" s="95">
        <f t="shared" si="121"/>
        <v>0</v>
      </c>
      <c r="FS127" s="95">
        <f t="shared" si="121"/>
        <v>0</v>
      </c>
      <c r="FT127" s="95">
        <f t="shared" si="121"/>
        <v>0</v>
      </c>
      <c r="FU127" s="95">
        <f t="shared" si="121"/>
        <v>0</v>
      </c>
      <c r="FV127" s="95">
        <f t="shared" si="121"/>
        <v>0</v>
      </c>
      <c r="FW127" s="96"/>
      <c r="FX127" s="97">
        <f t="shared" si="3"/>
        <v>0</v>
      </c>
    </row>
    <row r="128" spans="1:180" ht="18" customHeight="1" x14ac:dyDescent="0.25">
      <c r="A128" s="3" t="str">
        <f>IF(C128&lt;&gt;"","DRG-"&amp;TEXT(122,"000"),"")</f>
        <v>DRG-122</v>
      </c>
      <c r="B128" s="19" t="s">
        <v>183</v>
      </c>
      <c r="C128" s="20" t="s">
        <v>183</v>
      </c>
      <c r="D128" s="20" t="s">
        <v>56</v>
      </c>
      <c r="E128" s="20" t="s">
        <v>126</v>
      </c>
      <c r="F128" s="20" t="s">
        <v>69</v>
      </c>
      <c r="G128" s="21"/>
      <c r="H128" s="21"/>
      <c r="I128" s="21"/>
      <c r="J128" s="21"/>
      <c r="K128" s="21"/>
      <c r="L128" s="21">
        <v>4</v>
      </c>
      <c r="M128" s="30" t="str">
        <f t="shared" si="0"/>
        <v>✘ Pending</v>
      </c>
      <c r="N128" s="30">
        <f t="shared" si="1"/>
        <v>0</v>
      </c>
      <c r="O128" s="31"/>
      <c r="P128" s="32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1"/>
      <c r="AC128" s="32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1"/>
      <c r="AP128" s="32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1"/>
      <c r="BC128" s="32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1"/>
      <c r="BP128" s="32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1"/>
      <c r="CC128" s="32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1"/>
      <c r="CP128" s="32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1"/>
      <c r="DC128" s="32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1"/>
      <c r="DP128" s="32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1"/>
      <c r="EC128" s="32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1"/>
      <c r="EP128" s="32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1"/>
      <c r="FC128" s="32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4">
        <f t="shared" ref="FO128:FV128" si="122">IFERROR(R128*1,0)+IFERROR(AE128*1,0)+IFERROR(AR128*1,0)+IFERROR(BE128*1,0)+IFERROR(BR128*1,0)+IFERROR(CE128*1,0)+IFERROR(CR128*1,0)+IFERROR(DE128*1,0)+IFERROR(DR128*1,0)+IFERROR(EE128*1,0)+IFERROR(ER128*1,0)+IFERROR(FE128*1,0)</f>
        <v>0</v>
      </c>
      <c r="FP128" s="34">
        <f t="shared" si="122"/>
        <v>0</v>
      </c>
      <c r="FQ128" s="34">
        <f t="shared" si="122"/>
        <v>0</v>
      </c>
      <c r="FR128" s="34">
        <f t="shared" si="122"/>
        <v>0</v>
      </c>
      <c r="FS128" s="34">
        <f t="shared" si="122"/>
        <v>0</v>
      </c>
      <c r="FT128" s="34">
        <f t="shared" si="122"/>
        <v>0</v>
      </c>
      <c r="FU128" s="34">
        <f t="shared" si="122"/>
        <v>0</v>
      </c>
      <c r="FV128" s="34">
        <f t="shared" si="122"/>
        <v>0</v>
      </c>
      <c r="FW128" s="28"/>
      <c r="FX128" s="29">
        <f t="shared" si="3"/>
        <v>0</v>
      </c>
    </row>
    <row r="129" spans="1:180" ht="18" customHeight="1" x14ac:dyDescent="0.25">
      <c r="A129" s="3" t="str">
        <f>IF(C129&lt;&gt;"","DRG-"&amp;TEXT(123,"000"),"")</f>
        <v>DRG-123</v>
      </c>
      <c r="B129" s="19" t="s">
        <v>184</v>
      </c>
      <c r="C129" s="20" t="s">
        <v>185</v>
      </c>
      <c r="D129" s="20" t="s">
        <v>56</v>
      </c>
      <c r="E129" s="20" t="s">
        <v>87</v>
      </c>
      <c r="F129" s="20" t="s">
        <v>69</v>
      </c>
      <c r="G129" s="21"/>
      <c r="H129" s="21"/>
      <c r="I129" s="21"/>
      <c r="J129" s="21"/>
      <c r="K129" s="21"/>
      <c r="L129" s="21">
        <v>4</v>
      </c>
      <c r="M129" s="23" t="str">
        <f t="shared" si="0"/>
        <v>✘ Pending</v>
      </c>
      <c r="N129" s="23">
        <f t="shared" si="1"/>
        <v>0</v>
      </c>
      <c r="O129" s="25"/>
      <c r="P129" s="26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5"/>
      <c r="AC129" s="26"/>
      <c r="AD129" s="24"/>
      <c r="AE129" s="24"/>
      <c r="AF129" s="24"/>
      <c r="AG129" s="24"/>
      <c r="AH129" s="24"/>
      <c r="AI129" s="24"/>
      <c r="AJ129" s="24"/>
      <c r="AK129" s="24"/>
      <c r="AL129" s="24"/>
      <c r="AM129" s="24"/>
      <c r="AN129" s="24"/>
      <c r="AO129" s="25"/>
      <c r="AP129" s="26"/>
      <c r="AQ129" s="24"/>
      <c r="AR129" s="24"/>
      <c r="AS129" s="24"/>
      <c r="AT129" s="24"/>
      <c r="AU129" s="24"/>
      <c r="AV129" s="24"/>
      <c r="AW129" s="24"/>
      <c r="AX129" s="24"/>
      <c r="AY129" s="24"/>
      <c r="AZ129" s="24"/>
      <c r="BA129" s="24"/>
      <c r="BB129" s="25"/>
      <c r="BC129" s="26"/>
      <c r="BD129" s="24"/>
      <c r="BE129" s="24"/>
      <c r="BF129" s="24"/>
      <c r="BG129" s="24"/>
      <c r="BH129" s="24"/>
      <c r="BI129" s="24"/>
      <c r="BJ129" s="24"/>
      <c r="BK129" s="24"/>
      <c r="BL129" s="24"/>
      <c r="BM129" s="24"/>
      <c r="BN129" s="24"/>
      <c r="BO129" s="25"/>
      <c r="BP129" s="26"/>
      <c r="BQ129" s="24"/>
      <c r="BR129" s="24"/>
      <c r="BS129" s="24"/>
      <c r="BT129" s="24"/>
      <c r="BU129" s="24"/>
      <c r="BV129" s="24"/>
      <c r="BW129" s="24"/>
      <c r="BX129" s="24"/>
      <c r="BY129" s="24"/>
      <c r="BZ129" s="24"/>
      <c r="CA129" s="24"/>
      <c r="CB129" s="25"/>
      <c r="CC129" s="26"/>
      <c r="CD129" s="24"/>
      <c r="CE129" s="24"/>
      <c r="CF129" s="24"/>
      <c r="CG129" s="24"/>
      <c r="CH129" s="24"/>
      <c r="CI129" s="24"/>
      <c r="CJ129" s="24"/>
      <c r="CK129" s="24"/>
      <c r="CL129" s="24"/>
      <c r="CM129" s="24"/>
      <c r="CN129" s="24"/>
      <c r="CO129" s="25"/>
      <c r="CP129" s="26"/>
      <c r="CQ129" s="24"/>
      <c r="CR129" s="24"/>
      <c r="CS129" s="24"/>
      <c r="CT129" s="24"/>
      <c r="CU129" s="24"/>
      <c r="CV129" s="24"/>
      <c r="CW129" s="24"/>
      <c r="CX129" s="24"/>
      <c r="CY129" s="24"/>
      <c r="CZ129" s="24"/>
      <c r="DA129" s="24"/>
      <c r="DB129" s="25"/>
      <c r="DC129" s="26"/>
      <c r="DD129" s="24"/>
      <c r="DE129" s="24"/>
      <c r="DF129" s="24"/>
      <c r="DG129" s="24"/>
      <c r="DH129" s="24"/>
      <c r="DI129" s="24"/>
      <c r="DJ129" s="24"/>
      <c r="DK129" s="24"/>
      <c r="DL129" s="24"/>
      <c r="DM129" s="24"/>
      <c r="DN129" s="24"/>
      <c r="DO129" s="25"/>
      <c r="DP129" s="26"/>
      <c r="DQ129" s="24"/>
      <c r="DR129" s="24"/>
      <c r="DS129" s="24"/>
      <c r="DT129" s="24"/>
      <c r="DU129" s="24"/>
      <c r="DV129" s="24"/>
      <c r="DW129" s="24"/>
      <c r="DX129" s="24"/>
      <c r="DY129" s="24"/>
      <c r="DZ129" s="24"/>
      <c r="EA129" s="24"/>
      <c r="EB129" s="25"/>
      <c r="EC129" s="26"/>
      <c r="ED129" s="24"/>
      <c r="EE129" s="24"/>
      <c r="EF129" s="24"/>
      <c r="EG129" s="24"/>
      <c r="EH129" s="24"/>
      <c r="EI129" s="24"/>
      <c r="EJ129" s="24"/>
      <c r="EK129" s="24"/>
      <c r="EL129" s="24"/>
      <c r="EM129" s="24"/>
      <c r="EN129" s="24"/>
      <c r="EO129" s="25"/>
      <c r="EP129" s="26"/>
      <c r="EQ129" s="24"/>
      <c r="ER129" s="24"/>
      <c r="ES129" s="24"/>
      <c r="ET129" s="24"/>
      <c r="EU129" s="24"/>
      <c r="EV129" s="24"/>
      <c r="EW129" s="24"/>
      <c r="EX129" s="24"/>
      <c r="EY129" s="24"/>
      <c r="EZ129" s="24"/>
      <c r="FA129" s="24"/>
      <c r="FB129" s="25"/>
      <c r="FC129" s="26"/>
      <c r="FD129" s="24"/>
      <c r="FE129" s="24"/>
      <c r="FF129" s="24"/>
      <c r="FG129" s="24"/>
      <c r="FH129" s="24"/>
      <c r="FI129" s="24"/>
      <c r="FJ129" s="24"/>
      <c r="FK129" s="24"/>
      <c r="FL129" s="24"/>
      <c r="FM129" s="24"/>
      <c r="FN129" s="24"/>
      <c r="FO129" s="27">
        <f t="shared" ref="FO129:FV129" si="123">IFERROR(R129*1,0)+IFERROR(AE129*1,0)+IFERROR(AR129*1,0)+IFERROR(BE129*1,0)+IFERROR(BR129*1,0)+IFERROR(CE129*1,0)+IFERROR(CR129*1,0)+IFERROR(DE129*1,0)+IFERROR(DR129*1,0)+IFERROR(EE129*1,0)+IFERROR(ER129*1,0)+IFERROR(FE129*1,0)</f>
        <v>0</v>
      </c>
      <c r="FP129" s="27">
        <f t="shared" si="123"/>
        <v>0</v>
      </c>
      <c r="FQ129" s="27">
        <f t="shared" si="123"/>
        <v>0</v>
      </c>
      <c r="FR129" s="27">
        <f t="shared" si="123"/>
        <v>0</v>
      </c>
      <c r="FS129" s="27">
        <f t="shared" si="123"/>
        <v>0</v>
      </c>
      <c r="FT129" s="27">
        <f t="shared" si="123"/>
        <v>0</v>
      </c>
      <c r="FU129" s="27">
        <f t="shared" si="123"/>
        <v>0</v>
      </c>
      <c r="FV129" s="27">
        <f t="shared" si="123"/>
        <v>0</v>
      </c>
      <c r="FW129" s="28"/>
      <c r="FX129" s="29">
        <f t="shared" si="3"/>
        <v>0</v>
      </c>
    </row>
    <row r="130" spans="1:180" ht="18" customHeight="1" x14ac:dyDescent="0.25">
      <c r="A130" s="3" t="str">
        <f>IF(C130&lt;&gt;"","DRG-"&amp;TEXT(124,"000"),"")</f>
        <v>DRG-124</v>
      </c>
      <c r="B130" s="19" t="s">
        <v>186</v>
      </c>
      <c r="C130" s="20" t="s">
        <v>186</v>
      </c>
      <c r="D130" s="20" t="s">
        <v>56</v>
      </c>
      <c r="E130" s="20" t="s">
        <v>75</v>
      </c>
      <c r="F130" s="20" t="s">
        <v>58</v>
      </c>
      <c r="G130" s="21" t="s">
        <v>110</v>
      </c>
      <c r="H130" s="21"/>
      <c r="I130" s="22">
        <v>0.33333333333333331</v>
      </c>
      <c r="J130" s="21" t="s">
        <v>179</v>
      </c>
      <c r="K130" s="21">
        <v>5</v>
      </c>
      <c r="L130" s="21">
        <v>8</v>
      </c>
      <c r="M130" s="30" t="str">
        <f t="shared" si="0"/>
        <v>✘ Pending</v>
      </c>
      <c r="N130" s="30">
        <f t="shared" si="1"/>
        <v>0</v>
      </c>
      <c r="O130" s="31"/>
      <c r="P130" s="32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1"/>
      <c r="AC130" s="32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1"/>
      <c r="AP130" s="32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1"/>
      <c r="BC130" s="32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1"/>
      <c r="BP130" s="32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1"/>
      <c r="CC130" s="32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1"/>
      <c r="CP130" s="32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1"/>
      <c r="DC130" s="32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1"/>
      <c r="DP130" s="32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1"/>
      <c r="EC130" s="32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1"/>
      <c r="EP130" s="32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1"/>
      <c r="FC130" s="32"/>
      <c r="FD130" s="33"/>
      <c r="FE130" s="33"/>
      <c r="FF130" s="33"/>
      <c r="FG130" s="33"/>
      <c r="FH130" s="33"/>
      <c r="FI130" s="33"/>
      <c r="FJ130" s="33"/>
      <c r="FK130" s="33"/>
      <c r="FL130" s="33"/>
      <c r="FM130" s="33"/>
      <c r="FN130" s="33"/>
      <c r="FO130" s="34">
        <f t="shared" ref="FO130:FV130" si="124">IFERROR(R130*1,0)+IFERROR(AE130*1,0)+IFERROR(AR130*1,0)+IFERROR(BE130*1,0)+IFERROR(BR130*1,0)+IFERROR(CE130*1,0)+IFERROR(CR130*1,0)+IFERROR(DE130*1,0)+IFERROR(DR130*1,0)+IFERROR(EE130*1,0)+IFERROR(ER130*1,0)+IFERROR(FE130*1,0)</f>
        <v>0</v>
      </c>
      <c r="FP130" s="34">
        <f t="shared" si="124"/>
        <v>0</v>
      </c>
      <c r="FQ130" s="34">
        <f t="shared" si="124"/>
        <v>0</v>
      </c>
      <c r="FR130" s="34">
        <f t="shared" si="124"/>
        <v>0</v>
      </c>
      <c r="FS130" s="34">
        <f t="shared" si="124"/>
        <v>0</v>
      </c>
      <c r="FT130" s="34">
        <f t="shared" si="124"/>
        <v>0</v>
      </c>
      <c r="FU130" s="34">
        <f t="shared" si="124"/>
        <v>0</v>
      </c>
      <c r="FV130" s="34">
        <f t="shared" si="124"/>
        <v>0</v>
      </c>
      <c r="FW130" s="28"/>
      <c r="FX130" s="29">
        <f t="shared" si="3"/>
        <v>0</v>
      </c>
    </row>
    <row r="131" spans="1:180" ht="18" customHeight="1" x14ac:dyDescent="0.25">
      <c r="A131" s="3" t="str">
        <f>IF(C131&lt;&gt;"","DRG-"&amp;TEXT(125,"000"),"")</f>
        <v>DRG-125</v>
      </c>
      <c r="B131" s="19" t="s">
        <v>187</v>
      </c>
      <c r="C131" s="20" t="s">
        <v>187</v>
      </c>
      <c r="D131" s="20" t="s">
        <v>56</v>
      </c>
      <c r="E131" s="20" t="s">
        <v>188</v>
      </c>
      <c r="F131" s="20" t="s">
        <v>58</v>
      </c>
      <c r="G131" s="21"/>
      <c r="H131" s="21"/>
      <c r="I131" s="21"/>
      <c r="J131" s="21"/>
      <c r="K131" s="21"/>
      <c r="L131" s="21">
        <v>4</v>
      </c>
      <c r="M131" s="23" t="str">
        <f t="shared" si="0"/>
        <v>✘ Pending</v>
      </c>
      <c r="N131" s="23">
        <f t="shared" si="1"/>
        <v>0</v>
      </c>
      <c r="O131" s="25"/>
      <c r="P131" s="26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5"/>
      <c r="AC131" s="26"/>
      <c r="AD131" s="24"/>
      <c r="AE131" s="24"/>
      <c r="AF131" s="24"/>
      <c r="AG131" s="24"/>
      <c r="AH131" s="24"/>
      <c r="AI131" s="24"/>
      <c r="AJ131" s="24"/>
      <c r="AK131" s="24"/>
      <c r="AL131" s="24"/>
      <c r="AM131" s="24"/>
      <c r="AN131" s="24"/>
      <c r="AO131" s="25"/>
      <c r="AP131" s="26"/>
      <c r="AQ131" s="24"/>
      <c r="AR131" s="24"/>
      <c r="AS131" s="24"/>
      <c r="AT131" s="24"/>
      <c r="AU131" s="24"/>
      <c r="AV131" s="24"/>
      <c r="AW131" s="24"/>
      <c r="AX131" s="24"/>
      <c r="AY131" s="24"/>
      <c r="AZ131" s="24"/>
      <c r="BA131" s="24"/>
      <c r="BB131" s="25"/>
      <c r="BC131" s="26"/>
      <c r="BD131" s="24"/>
      <c r="BE131" s="24"/>
      <c r="BF131" s="24"/>
      <c r="BG131" s="24"/>
      <c r="BH131" s="24"/>
      <c r="BI131" s="24"/>
      <c r="BJ131" s="24"/>
      <c r="BK131" s="24"/>
      <c r="BL131" s="24"/>
      <c r="BM131" s="24"/>
      <c r="BN131" s="24"/>
      <c r="BO131" s="25"/>
      <c r="BP131" s="26"/>
      <c r="BQ131" s="24"/>
      <c r="BR131" s="24"/>
      <c r="BS131" s="24"/>
      <c r="BT131" s="24"/>
      <c r="BU131" s="24"/>
      <c r="BV131" s="24"/>
      <c r="BW131" s="24"/>
      <c r="BX131" s="24"/>
      <c r="BY131" s="24"/>
      <c r="BZ131" s="24"/>
      <c r="CA131" s="24"/>
      <c r="CB131" s="25"/>
      <c r="CC131" s="26"/>
      <c r="CD131" s="24"/>
      <c r="CE131" s="24"/>
      <c r="CF131" s="24"/>
      <c r="CG131" s="24"/>
      <c r="CH131" s="24"/>
      <c r="CI131" s="24"/>
      <c r="CJ131" s="24"/>
      <c r="CK131" s="24"/>
      <c r="CL131" s="24"/>
      <c r="CM131" s="24"/>
      <c r="CN131" s="24"/>
      <c r="CO131" s="25"/>
      <c r="CP131" s="26"/>
      <c r="CQ131" s="24"/>
      <c r="CR131" s="24"/>
      <c r="CS131" s="24"/>
      <c r="CT131" s="24"/>
      <c r="CU131" s="24"/>
      <c r="CV131" s="24"/>
      <c r="CW131" s="24"/>
      <c r="CX131" s="24"/>
      <c r="CY131" s="24"/>
      <c r="CZ131" s="24"/>
      <c r="DA131" s="24"/>
      <c r="DB131" s="25"/>
      <c r="DC131" s="26"/>
      <c r="DD131" s="24"/>
      <c r="DE131" s="24"/>
      <c r="DF131" s="24"/>
      <c r="DG131" s="24"/>
      <c r="DH131" s="24"/>
      <c r="DI131" s="24"/>
      <c r="DJ131" s="24"/>
      <c r="DK131" s="24"/>
      <c r="DL131" s="24"/>
      <c r="DM131" s="24"/>
      <c r="DN131" s="24"/>
      <c r="DO131" s="25"/>
      <c r="DP131" s="26"/>
      <c r="DQ131" s="24"/>
      <c r="DR131" s="24"/>
      <c r="DS131" s="24"/>
      <c r="DT131" s="24"/>
      <c r="DU131" s="24"/>
      <c r="DV131" s="24"/>
      <c r="DW131" s="24"/>
      <c r="DX131" s="24"/>
      <c r="DY131" s="24"/>
      <c r="DZ131" s="24"/>
      <c r="EA131" s="24"/>
      <c r="EB131" s="25"/>
      <c r="EC131" s="26"/>
      <c r="ED131" s="24"/>
      <c r="EE131" s="24"/>
      <c r="EF131" s="24"/>
      <c r="EG131" s="24"/>
      <c r="EH131" s="24"/>
      <c r="EI131" s="24"/>
      <c r="EJ131" s="24"/>
      <c r="EK131" s="24"/>
      <c r="EL131" s="24"/>
      <c r="EM131" s="24"/>
      <c r="EN131" s="24"/>
      <c r="EO131" s="25"/>
      <c r="EP131" s="26"/>
      <c r="EQ131" s="24"/>
      <c r="ER131" s="24"/>
      <c r="ES131" s="24"/>
      <c r="ET131" s="24"/>
      <c r="EU131" s="24"/>
      <c r="EV131" s="24"/>
      <c r="EW131" s="24"/>
      <c r="EX131" s="24"/>
      <c r="EY131" s="24"/>
      <c r="EZ131" s="24"/>
      <c r="FA131" s="24"/>
      <c r="FB131" s="25"/>
      <c r="FC131" s="26"/>
      <c r="FD131" s="24"/>
      <c r="FE131" s="24"/>
      <c r="FF131" s="24"/>
      <c r="FG131" s="24"/>
      <c r="FH131" s="24"/>
      <c r="FI131" s="24"/>
      <c r="FJ131" s="24"/>
      <c r="FK131" s="24"/>
      <c r="FL131" s="24"/>
      <c r="FM131" s="24"/>
      <c r="FN131" s="24"/>
      <c r="FO131" s="27">
        <f t="shared" ref="FO131:FV131" si="125">IFERROR(R131*1,0)+IFERROR(AE131*1,0)+IFERROR(AR131*1,0)+IFERROR(BE131*1,0)+IFERROR(BR131*1,0)+IFERROR(CE131*1,0)+IFERROR(CR131*1,0)+IFERROR(DE131*1,0)+IFERROR(DR131*1,0)+IFERROR(EE131*1,0)+IFERROR(ER131*1,0)+IFERROR(FE131*1,0)</f>
        <v>0</v>
      </c>
      <c r="FP131" s="27">
        <f t="shared" si="125"/>
        <v>0</v>
      </c>
      <c r="FQ131" s="27">
        <f t="shared" si="125"/>
        <v>0</v>
      </c>
      <c r="FR131" s="27">
        <f t="shared" si="125"/>
        <v>0</v>
      </c>
      <c r="FS131" s="27">
        <f t="shared" si="125"/>
        <v>0</v>
      </c>
      <c r="FT131" s="27">
        <f t="shared" si="125"/>
        <v>0</v>
      </c>
      <c r="FU131" s="27">
        <f t="shared" si="125"/>
        <v>0</v>
      </c>
      <c r="FV131" s="27">
        <f t="shared" si="125"/>
        <v>0</v>
      </c>
      <c r="FW131" s="28"/>
      <c r="FX131" s="29">
        <f t="shared" si="3"/>
        <v>0</v>
      </c>
    </row>
    <row r="132" spans="1:180" ht="18" customHeight="1" x14ac:dyDescent="0.25">
      <c r="A132" s="3" t="str">
        <f>IF(C132&lt;&gt;"","DRG-"&amp;TEXT(126,"000"),"")</f>
        <v>DRG-126</v>
      </c>
      <c r="B132" s="19" t="s">
        <v>189</v>
      </c>
      <c r="C132" s="20" t="s">
        <v>189</v>
      </c>
      <c r="D132" s="20" t="s">
        <v>56</v>
      </c>
      <c r="E132" s="20" t="s">
        <v>176</v>
      </c>
      <c r="F132" s="20" t="s">
        <v>58</v>
      </c>
      <c r="G132" s="21"/>
      <c r="H132" s="21"/>
      <c r="I132" s="21"/>
      <c r="J132" s="21"/>
      <c r="K132" s="21"/>
      <c r="L132" s="21">
        <v>4</v>
      </c>
      <c r="M132" s="30" t="str">
        <f t="shared" si="0"/>
        <v>✘ Pending</v>
      </c>
      <c r="N132" s="30">
        <f t="shared" si="1"/>
        <v>0</v>
      </c>
      <c r="O132" s="31"/>
      <c r="P132" s="32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1"/>
      <c r="AC132" s="32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1"/>
      <c r="AP132" s="32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1"/>
      <c r="BC132" s="32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1"/>
      <c r="BP132" s="32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1"/>
      <c r="CC132" s="32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1"/>
      <c r="CP132" s="32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1"/>
      <c r="DC132" s="32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1"/>
      <c r="DP132" s="32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1"/>
      <c r="EC132" s="32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1"/>
      <c r="EP132" s="32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1"/>
      <c r="FC132" s="32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4">
        <f t="shared" ref="FO132:FV132" si="126">IFERROR(R132*1,0)+IFERROR(AE132*1,0)+IFERROR(AR132*1,0)+IFERROR(BE132*1,0)+IFERROR(BR132*1,0)+IFERROR(CE132*1,0)+IFERROR(CR132*1,0)+IFERROR(DE132*1,0)+IFERROR(DR132*1,0)+IFERROR(EE132*1,0)+IFERROR(ER132*1,0)+IFERROR(FE132*1,0)</f>
        <v>0</v>
      </c>
      <c r="FP132" s="34">
        <f t="shared" si="126"/>
        <v>0</v>
      </c>
      <c r="FQ132" s="34">
        <f t="shared" si="126"/>
        <v>0</v>
      </c>
      <c r="FR132" s="34">
        <f t="shared" si="126"/>
        <v>0</v>
      </c>
      <c r="FS132" s="34">
        <f t="shared" si="126"/>
        <v>0</v>
      </c>
      <c r="FT132" s="34">
        <f t="shared" si="126"/>
        <v>0</v>
      </c>
      <c r="FU132" s="34">
        <f t="shared" si="126"/>
        <v>0</v>
      </c>
      <c r="FV132" s="34">
        <f t="shared" si="126"/>
        <v>0</v>
      </c>
      <c r="FW132" s="28"/>
      <c r="FX132" s="29">
        <f t="shared" si="3"/>
        <v>0</v>
      </c>
    </row>
    <row r="133" spans="1:180" ht="18" customHeight="1" x14ac:dyDescent="0.25">
      <c r="A133" s="3"/>
      <c r="B133" s="19"/>
      <c r="C133" s="20"/>
      <c r="D133" s="20"/>
      <c r="E133" s="20"/>
      <c r="F133" s="20"/>
      <c r="G133" s="21"/>
      <c r="H133" s="21"/>
      <c r="I133" s="21"/>
      <c r="J133" s="21"/>
      <c r="K133" s="21"/>
      <c r="L133" s="21"/>
      <c r="M133" s="23"/>
      <c r="N133" s="23"/>
      <c r="O133" s="25"/>
      <c r="P133" s="26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  <c r="AB133" s="25"/>
      <c r="AC133" s="26"/>
      <c r="AD133" s="24"/>
      <c r="AE133" s="24"/>
      <c r="AF133" s="24"/>
      <c r="AG133" s="24"/>
      <c r="AH133" s="24"/>
      <c r="AI133" s="24"/>
      <c r="AJ133" s="24"/>
      <c r="AK133" s="24"/>
      <c r="AL133" s="24"/>
      <c r="AM133" s="24"/>
      <c r="AN133" s="24"/>
      <c r="AO133" s="25"/>
      <c r="AP133" s="26"/>
      <c r="AQ133" s="24"/>
      <c r="AR133" s="24"/>
      <c r="AS133" s="24"/>
      <c r="AT133" s="24"/>
      <c r="AU133" s="24"/>
      <c r="AV133" s="24"/>
      <c r="AW133" s="24"/>
      <c r="AX133" s="24"/>
      <c r="AY133" s="24"/>
      <c r="AZ133" s="24"/>
      <c r="BA133" s="24"/>
      <c r="BB133" s="25"/>
      <c r="BC133" s="26"/>
      <c r="BD133" s="24"/>
      <c r="BE133" s="24"/>
      <c r="BF133" s="24"/>
      <c r="BG133" s="24"/>
      <c r="BH133" s="24"/>
      <c r="BI133" s="24"/>
      <c r="BJ133" s="24"/>
      <c r="BK133" s="24"/>
      <c r="BL133" s="24"/>
      <c r="BM133" s="24"/>
      <c r="BN133" s="24"/>
      <c r="BO133" s="25"/>
      <c r="BP133" s="26"/>
      <c r="BQ133" s="24"/>
      <c r="BR133" s="24"/>
      <c r="BS133" s="24"/>
      <c r="BT133" s="24"/>
      <c r="BU133" s="24"/>
      <c r="BV133" s="24"/>
      <c r="BW133" s="24"/>
      <c r="BX133" s="24"/>
      <c r="BY133" s="24"/>
      <c r="BZ133" s="24"/>
      <c r="CA133" s="24"/>
      <c r="CB133" s="25"/>
      <c r="CC133" s="26"/>
      <c r="CD133" s="24"/>
      <c r="CE133" s="24"/>
      <c r="CF133" s="24"/>
      <c r="CG133" s="24"/>
      <c r="CH133" s="24"/>
      <c r="CI133" s="24"/>
      <c r="CJ133" s="24"/>
      <c r="CK133" s="24"/>
      <c r="CL133" s="24"/>
      <c r="CM133" s="24"/>
      <c r="CN133" s="24"/>
      <c r="CO133" s="25"/>
      <c r="CP133" s="26"/>
      <c r="CQ133" s="24"/>
      <c r="CR133" s="24"/>
      <c r="CS133" s="24"/>
      <c r="CT133" s="24"/>
      <c r="CU133" s="24"/>
      <c r="CV133" s="24"/>
      <c r="CW133" s="24"/>
      <c r="CX133" s="24"/>
      <c r="CY133" s="24"/>
      <c r="CZ133" s="24"/>
      <c r="DA133" s="24"/>
      <c r="DB133" s="25"/>
      <c r="DC133" s="26"/>
      <c r="DD133" s="24"/>
      <c r="DE133" s="24"/>
      <c r="DF133" s="24"/>
      <c r="DG133" s="24"/>
      <c r="DH133" s="24"/>
      <c r="DI133" s="24"/>
      <c r="DJ133" s="24"/>
      <c r="DK133" s="24"/>
      <c r="DL133" s="24"/>
      <c r="DM133" s="24"/>
      <c r="DN133" s="24"/>
      <c r="DO133" s="25"/>
      <c r="DP133" s="26"/>
      <c r="DQ133" s="24"/>
      <c r="DR133" s="24"/>
      <c r="DS133" s="24"/>
      <c r="DT133" s="24"/>
      <c r="DU133" s="24"/>
      <c r="DV133" s="24"/>
      <c r="DW133" s="24"/>
      <c r="DX133" s="24"/>
      <c r="DY133" s="24"/>
      <c r="DZ133" s="24"/>
      <c r="EA133" s="24"/>
      <c r="EB133" s="25"/>
      <c r="EC133" s="26"/>
      <c r="ED133" s="24"/>
      <c r="EE133" s="24"/>
      <c r="EF133" s="24"/>
      <c r="EG133" s="24"/>
      <c r="EH133" s="24"/>
      <c r="EI133" s="24"/>
      <c r="EJ133" s="24"/>
      <c r="EK133" s="24"/>
      <c r="EL133" s="24"/>
      <c r="EM133" s="24"/>
      <c r="EN133" s="24"/>
      <c r="EO133" s="25"/>
      <c r="EP133" s="26"/>
      <c r="EQ133" s="24"/>
      <c r="ER133" s="24"/>
      <c r="ES133" s="24"/>
      <c r="ET133" s="24"/>
      <c r="EU133" s="24"/>
      <c r="EV133" s="24"/>
      <c r="EW133" s="24"/>
      <c r="EX133" s="24"/>
      <c r="EY133" s="24"/>
      <c r="EZ133" s="24"/>
      <c r="FA133" s="24"/>
      <c r="FB133" s="25"/>
      <c r="FC133" s="26"/>
      <c r="FD133" s="24"/>
      <c r="FE133" s="24"/>
      <c r="FF133" s="24"/>
      <c r="FG133" s="24"/>
      <c r="FH133" s="24"/>
      <c r="FI133" s="24"/>
      <c r="FJ133" s="24"/>
      <c r="FK133" s="24"/>
      <c r="FL133" s="24"/>
      <c r="FM133" s="24"/>
      <c r="FN133" s="24"/>
      <c r="FO133" s="27"/>
      <c r="FP133" s="27"/>
      <c r="FQ133" s="27"/>
      <c r="FR133" s="27"/>
      <c r="FS133" s="27"/>
      <c r="FT133" s="27"/>
      <c r="FU133" s="27"/>
      <c r="FV133" s="27"/>
      <c r="FW133" s="28"/>
      <c r="FX133" s="29"/>
    </row>
    <row r="134" spans="1:180" ht="18" customHeight="1" x14ac:dyDescent="0.25">
      <c r="A134" s="3" t="str">
        <f>IF(C134&lt;&gt;"","DRG-"&amp;TEXT(128,"000"),"")</f>
        <v>DRG-128</v>
      </c>
      <c r="B134" s="19" t="s">
        <v>191</v>
      </c>
      <c r="C134" s="20" t="s">
        <v>191</v>
      </c>
      <c r="D134" s="20" t="s">
        <v>56</v>
      </c>
      <c r="E134" s="20" t="s">
        <v>126</v>
      </c>
      <c r="F134" s="20" t="s">
        <v>69</v>
      </c>
      <c r="G134" s="21"/>
      <c r="H134" s="21"/>
      <c r="I134" s="21"/>
      <c r="J134" s="21"/>
      <c r="K134" s="21"/>
      <c r="L134" s="21">
        <v>4</v>
      </c>
      <c r="M134" s="30" t="str">
        <f t="shared" si="0"/>
        <v>✘ Pending</v>
      </c>
      <c r="N134" s="30">
        <f t="shared" si="1"/>
        <v>0</v>
      </c>
      <c r="O134" s="31"/>
      <c r="P134" s="32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1"/>
      <c r="AC134" s="32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1"/>
      <c r="AP134" s="32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1"/>
      <c r="BC134" s="32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1"/>
      <c r="BP134" s="32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1"/>
      <c r="CC134" s="32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1"/>
      <c r="CP134" s="32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1"/>
      <c r="DC134" s="32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1"/>
      <c r="DP134" s="32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1"/>
      <c r="EC134" s="32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1"/>
      <c r="EP134" s="32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1"/>
      <c r="FC134" s="32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4">
        <f t="shared" ref="FO134:FV134" si="127">IFERROR(R134*1,0)+IFERROR(AE134*1,0)+IFERROR(AR134*1,0)+IFERROR(BE134*1,0)+IFERROR(BR134*1,0)+IFERROR(CE134*1,0)+IFERROR(CR134*1,0)+IFERROR(DE134*1,0)+IFERROR(DR134*1,0)+IFERROR(EE134*1,0)+IFERROR(ER134*1,0)+IFERROR(FE134*1,0)</f>
        <v>0</v>
      </c>
      <c r="FP134" s="34">
        <f t="shared" si="127"/>
        <v>0</v>
      </c>
      <c r="FQ134" s="34">
        <f t="shared" si="127"/>
        <v>0</v>
      </c>
      <c r="FR134" s="34">
        <f t="shared" si="127"/>
        <v>0</v>
      </c>
      <c r="FS134" s="34">
        <f t="shared" si="127"/>
        <v>0</v>
      </c>
      <c r="FT134" s="34">
        <f t="shared" si="127"/>
        <v>0</v>
      </c>
      <c r="FU134" s="34">
        <f t="shared" si="127"/>
        <v>0</v>
      </c>
      <c r="FV134" s="34">
        <f t="shared" si="127"/>
        <v>0</v>
      </c>
      <c r="FW134" s="28"/>
      <c r="FX134" s="29">
        <f t="shared" si="3"/>
        <v>0</v>
      </c>
    </row>
    <row r="135" spans="1:180" s="98" customFormat="1" ht="18" customHeight="1" x14ac:dyDescent="0.25">
      <c r="A135" s="87" t="str">
        <f>IF(C135&lt;&gt;"","DRG-"&amp;TEXT(129,"000"),"")</f>
        <v>DRG-129</v>
      </c>
      <c r="B135" s="99" t="s">
        <v>192</v>
      </c>
      <c r="C135" s="89" t="s">
        <v>192</v>
      </c>
      <c r="D135" s="89" t="s">
        <v>56</v>
      </c>
      <c r="E135" s="89" t="s">
        <v>193</v>
      </c>
      <c r="F135" s="89" t="s">
        <v>58</v>
      </c>
      <c r="G135" s="90"/>
      <c r="H135" s="90"/>
      <c r="I135" s="90"/>
      <c r="J135" s="90"/>
      <c r="K135" s="90"/>
      <c r="L135" s="90">
        <v>4</v>
      </c>
      <c r="M135" s="91" t="str">
        <f t="shared" si="0"/>
        <v>✘ Pending</v>
      </c>
      <c r="N135" s="91">
        <f t="shared" si="1"/>
        <v>0</v>
      </c>
      <c r="O135" s="92"/>
      <c r="P135" s="93"/>
      <c r="Q135" s="94"/>
      <c r="R135" s="94"/>
      <c r="S135" s="94"/>
      <c r="T135" s="94"/>
      <c r="U135" s="94"/>
      <c r="V135" s="94"/>
      <c r="W135" s="94"/>
      <c r="X135" s="94"/>
      <c r="Y135" s="94"/>
      <c r="Z135" s="94"/>
      <c r="AA135" s="94"/>
      <c r="AB135" s="92"/>
      <c r="AC135" s="93"/>
      <c r="AD135" s="94"/>
      <c r="AE135" s="94"/>
      <c r="AF135" s="94"/>
      <c r="AG135" s="94"/>
      <c r="AH135" s="94"/>
      <c r="AI135" s="94"/>
      <c r="AJ135" s="94"/>
      <c r="AK135" s="94"/>
      <c r="AL135" s="94"/>
      <c r="AM135" s="94"/>
      <c r="AN135" s="94"/>
      <c r="AO135" s="92"/>
      <c r="AP135" s="93"/>
      <c r="AQ135" s="94"/>
      <c r="AR135" s="94"/>
      <c r="AS135" s="94"/>
      <c r="AT135" s="94"/>
      <c r="AU135" s="94"/>
      <c r="AV135" s="94"/>
      <c r="AW135" s="94"/>
      <c r="AX135" s="94"/>
      <c r="AY135" s="94"/>
      <c r="AZ135" s="94"/>
      <c r="BA135" s="94"/>
      <c r="BB135" s="92"/>
      <c r="BC135" s="93"/>
      <c r="BD135" s="94"/>
      <c r="BE135" s="94"/>
      <c r="BF135" s="94"/>
      <c r="BG135" s="94"/>
      <c r="BH135" s="94"/>
      <c r="BI135" s="94"/>
      <c r="BJ135" s="94"/>
      <c r="BK135" s="94"/>
      <c r="BL135" s="94"/>
      <c r="BM135" s="94"/>
      <c r="BN135" s="94"/>
      <c r="BO135" s="92"/>
      <c r="BP135" s="93"/>
      <c r="BQ135" s="94"/>
      <c r="BR135" s="94"/>
      <c r="BS135" s="94"/>
      <c r="BT135" s="94"/>
      <c r="BU135" s="94"/>
      <c r="BV135" s="94"/>
      <c r="BW135" s="94"/>
      <c r="BX135" s="94"/>
      <c r="BY135" s="94"/>
      <c r="BZ135" s="94"/>
      <c r="CA135" s="94"/>
      <c r="CB135" s="92"/>
      <c r="CC135" s="93"/>
      <c r="CD135" s="94"/>
      <c r="CE135" s="94"/>
      <c r="CF135" s="94"/>
      <c r="CG135" s="94"/>
      <c r="CH135" s="94"/>
      <c r="CI135" s="94"/>
      <c r="CJ135" s="94"/>
      <c r="CK135" s="94"/>
      <c r="CL135" s="94"/>
      <c r="CM135" s="94"/>
      <c r="CN135" s="94"/>
      <c r="CO135" s="92"/>
      <c r="CP135" s="93"/>
      <c r="CQ135" s="94"/>
      <c r="CR135" s="94"/>
      <c r="CS135" s="94"/>
      <c r="CT135" s="94"/>
      <c r="CU135" s="94"/>
      <c r="CV135" s="94"/>
      <c r="CW135" s="94"/>
      <c r="CX135" s="94"/>
      <c r="CY135" s="94"/>
      <c r="CZ135" s="94"/>
      <c r="DA135" s="94"/>
      <c r="DB135" s="92"/>
      <c r="DC135" s="93"/>
      <c r="DD135" s="94"/>
      <c r="DE135" s="94"/>
      <c r="DF135" s="94"/>
      <c r="DG135" s="94"/>
      <c r="DH135" s="94"/>
      <c r="DI135" s="94"/>
      <c r="DJ135" s="94"/>
      <c r="DK135" s="94"/>
      <c r="DL135" s="94"/>
      <c r="DM135" s="94"/>
      <c r="DN135" s="94"/>
      <c r="DO135" s="92"/>
      <c r="DP135" s="93"/>
      <c r="DQ135" s="94"/>
      <c r="DR135" s="94"/>
      <c r="DS135" s="94"/>
      <c r="DT135" s="94"/>
      <c r="DU135" s="94"/>
      <c r="DV135" s="94"/>
      <c r="DW135" s="94"/>
      <c r="DX135" s="94"/>
      <c r="DY135" s="94"/>
      <c r="DZ135" s="94"/>
      <c r="EA135" s="94"/>
      <c r="EB135" s="92"/>
      <c r="EC135" s="93"/>
      <c r="ED135" s="94"/>
      <c r="EE135" s="94"/>
      <c r="EF135" s="94"/>
      <c r="EG135" s="94"/>
      <c r="EH135" s="94"/>
      <c r="EI135" s="94"/>
      <c r="EJ135" s="94"/>
      <c r="EK135" s="94"/>
      <c r="EL135" s="94"/>
      <c r="EM135" s="94"/>
      <c r="EN135" s="94"/>
      <c r="EO135" s="92"/>
      <c r="EP135" s="93"/>
      <c r="EQ135" s="94"/>
      <c r="ER135" s="94"/>
      <c r="ES135" s="94"/>
      <c r="ET135" s="94"/>
      <c r="EU135" s="94"/>
      <c r="EV135" s="94"/>
      <c r="EW135" s="94"/>
      <c r="EX135" s="94"/>
      <c r="EY135" s="94"/>
      <c r="EZ135" s="94"/>
      <c r="FA135" s="94"/>
      <c r="FB135" s="92"/>
      <c r="FC135" s="93"/>
      <c r="FD135" s="94"/>
      <c r="FE135" s="94"/>
      <c r="FF135" s="94"/>
      <c r="FG135" s="94"/>
      <c r="FH135" s="94"/>
      <c r="FI135" s="94"/>
      <c r="FJ135" s="94"/>
      <c r="FK135" s="94"/>
      <c r="FL135" s="94"/>
      <c r="FM135" s="94"/>
      <c r="FN135" s="94"/>
      <c r="FO135" s="95">
        <f t="shared" ref="FO135:FV135" si="128">IFERROR(R135*1,0)+IFERROR(AE135*1,0)+IFERROR(AR135*1,0)+IFERROR(BE135*1,0)+IFERROR(BR135*1,0)+IFERROR(CE135*1,0)+IFERROR(CR135*1,0)+IFERROR(DE135*1,0)+IFERROR(DR135*1,0)+IFERROR(EE135*1,0)+IFERROR(ER135*1,0)+IFERROR(FE135*1,0)</f>
        <v>0</v>
      </c>
      <c r="FP135" s="95">
        <f t="shared" si="128"/>
        <v>0</v>
      </c>
      <c r="FQ135" s="95">
        <f t="shared" si="128"/>
        <v>0</v>
      </c>
      <c r="FR135" s="95">
        <f t="shared" si="128"/>
        <v>0</v>
      </c>
      <c r="FS135" s="95">
        <f t="shared" si="128"/>
        <v>0</v>
      </c>
      <c r="FT135" s="95">
        <f t="shared" si="128"/>
        <v>0</v>
      </c>
      <c r="FU135" s="95">
        <f t="shared" si="128"/>
        <v>0</v>
      </c>
      <c r="FV135" s="95">
        <f t="shared" si="128"/>
        <v>0</v>
      </c>
      <c r="FW135" s="96"/>
      <c r="FX135" s="97">
        <f t="shared" si="3"/>
        <v>0</v>
      </c>
    </row>
    <row r="136" spans="1:180" ht="18" customHeight="1" x14ac:dyDescent="0.25">
      <c r="A136" s="3" t="str">
        <f>IF(C136&lt;&gt;"","DRG-"&amp;TEXT(130,"000"),"")</f>
        <v>DRG-130</v>
      </c>
      <c r="B136" s="19" t="s">
        <v>194</v>
      </c>
      <c r="C136" s="20" t="s">
        <v>194</v>
      </c>
      <c r="D136" s="20" t="s">
        <v>195</v>
      </c>
      <c r="E136" s="20" t="s">
        <v>196</v>
      </c>
      <c r="F136" s="20" t="s">
        <v>69</v>
      </c>
      <c r="G136" s="21"/>
      <c r="H136" s="21"/>
      <c r="I136" s="21"/>
      <c r="J136" s="21"/>
      <c r="K136" s="21"/>
      <c r="L136" s="21">
        <v>4</v>
      </c>
      <c r="M136" s="30" t="str">
        <f t="shared" si="0"/>
        <v>✘ Pending</v>
      </c>
      <c r="N136" s="30">
        <f t="shared" si="1"/>
        <v>0</v>
      </c>
      <c r="O136" s="31"/>
      <c r="P136" s="32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1"/>
      <c r="AC136" s="32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1"/>
      <c r="AP136" s="32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1"/>
      <c r="BC136" s="32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1"/>
      <c r="BP136" s="32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1"/>
      <c r="CC136" s="32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1"/>
      <c r="CP136" s="32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1"/>
      <c r="DC136" s="32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1"/>
      <c r="DP136" s="32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1"/>
      <c r="EC136" s="32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1"/>
      <c r="EP136" s="32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1"/>
      <c r="FC136" s="32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4">
        <f t="shared" ref="FO136:FV136" si="129">IFERROR(R136*1,0)+IFERROR(AE136*1,0)+IFERROR(AR136*1,0)+IFERROR(BE136*1,0)+IFERROR(BR136*1,0)+IFERROR(CE136*1,0)+IFERROR(CR136*1,0)+IFERROR(DE136*1,0)+IFERROR(DR136*1,0)+IFERROR(EE136*1,0)+IFERROR(ER136*1,0)+IFERROR(FE136*1,0)</f>
        <v>0</v>
      </c>
      <c r="FP136" s="34">
        <f t="shared" si="129"/>
        <v>0</v>
      </c>
      <c r="FQ136" s="34">
        <f t="shared" si="129"/>
        <v>0</v>
      </c>
      <c r="FR136" s="34">
        <f t="shared" si="129"/>
        <v>0</v>
      </c>
      <c r="FS136" s="34">
        <f t="shared" si="129"/>
        <v>0</v>
      </c>
      <c r="FT136" s="34">
        <f t="shared" si="129"/>
        <v>0</v>
      </c>
      <c r="FU136" s="34">
        <f t="shared" si="129"/>
        <v>0</v>
      </c>
      <c r="FV136" s="34">
        <f t="shared" si="129"/>
        <v>0</v>
      </c>
      <c r="FW136" s="28"/>
      <c r="FX136" s="29">
        <f t="shared" si="3"/>
        <v>0</v>
      </c>
    </row>
    <row r="137" spans="1:180" ht="18" customHeight="1" x14ac:dyDescent="0.25">
      <c r="A137" s="3" t="str">
        <f>IF(C137&lt;&gt;"","DRG-"&amp;TEXT(131,"000"),"")</f>
        <v>DRG-131</v>
      </c>
      <c r="B137" s="19" t="s">
        <v>170</v>
      </c>
      <c r="C137" s="20" t="s">
        <v>170</v>
      </c>
      <c r="D137" s="20" t="s">
        <v>195</v>
      </c>
      <c r="E137" s="20" t="s">
        <v>196</v>
      </c>
      <c r="F137" s="20" t="s">
        <v>69</v>
      </c>
      <c r="G137" s="21"/>
      <c r="H137" s="21"/>
      <c r="I137" s="21"/>
      <c r="J137" s="21"/>
      <c r="K137" s="21"/>
      <c r="L137" s="21">
        <v>4</v>
      </c>
      <c r="M137" s="23" t="str">
        <f t="shared" si="0"/>
        <v>✘ Pending</v>
      </c>
      <c r="N137" s="23">
        <f t="shared" si="1"/>
        <v>0</v>
      </c>
      <c r="O137" s="25"/>
      <c r="P137" s="26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5"/>
      <c r="AC137" s="26"/>
      <c r="AD137" s="24"/>
      <c r="AE137" s="24"/>
      <c r="AF137" s="24"/>
      <c r="AG137" s="24"/>
      <c r="AH137" s="24"/>
      <c r="AI137" s="24"/>
      <c r="AJ137" s="24"/>
      <c r="AK137" s="24"/>
      <c r="AL137" s="24"/>
      <c r="AM137" s="24"/>
      <c r="AN137" s="24"/>
      <c r="AO137" s="25"/>
      <c r="AP137" s="26"/>
      <c r="AQ137" s="24"/>
      <c r="AR137" s="24"/>
      <c r="AS137" s="24"/>
      <c r="AT137" s="24"/>
      <c r="AU137" s="24"/>
      <c r="AV137" s="24"/>
      <c r="AW137" s="24"/>
      <c r="AX137" s="24"/>
      <c r="AY137" s="24"/>
      <c r="AZ137" s="24"/>
      <c r="BA137" s="24"/>
      <c r="BB137" s="25"/>
      <c r="BC137" s="26"/>
      <c r="BD137" s="24"/>
      <c r="BE137" s="24"/>
      <c r="BF137" s="24"/>
      <c r="BG137" s="24"/>
      <c r="BH137" s="24"/>
      <c r="BI137" s="24"/>
      <c r="BJ137" s="24"/>
      <c r="BK137" s="24"/>
      <c r="BL137" s="24"/>
      <c r="BM137" s="24"/>
      <c r="BN137" s="24"/>
      <c r="BO137" s="25"/>
      <c r="BP137" s="26"/>
      <c r="BQ137" s="24"/>
      <c r="BR137" s="24"/>
      <c r="BS137" s="24"/>
      <c r="BT137" s="24"/>
      <c r="BU137" s="24"/>
      <c r="BV137" s="24"/>
      <c r="BW137" s="24"/>
      <c r="BX137" s="24"/>
      <c r="BY137" s="24"/>
      <c r="BZ137" s="24"/>
      <c r="CA137" s="24"/>
      <c r="CB137" s="25"/>
      <c r="CC137" s="26"/>
      <c r="CD137" s="24"/>
      <c r="CE137" s="24"/>
      <c r="CF137" s="24"/>
      <c r="CG137" s="24"/>
      <c r="CH137" s="24"/>
      <c r="CI137" s="24"/>
      <c r="CJ137" s="24"/>
      <c r="CK137" s="24"/>
      <c r="CL137" s="24"/>
      <c r="CM137" s="24"/>
      <c r="CN137" s="24"/>
      <c r="CO137" s="25"/>
      <c r="CP137" s="26"/>
      <c r="CQ137" s="24"/>
      <c r="CR137" s="24"/>
      <c r="CS137" s="24"/>
      <c r="CT137" s="24"/>
      <c r="CU137" s="24"/>
      <c r="CV137" s="24"/>
      <c r="CW137" s="24"/>
      <c r="CX137" s="24"/>
      <c r="CY137" s="24"/>
      <c r="CZ137" s="24"/>
      <c r="DA137" s="24"/>
      <c r="DB137" s="25"/>
      <c r="DC137" s="26"/>
      <c r="DD137" s="24"/>
      <c r="DE137" s="24"/>
      <c r="DF137" s="24"/>
      <c r="DG137" s="24"/>
      <c r="DH137" s="24"/>
      <c r="DI137" s="24"/>
      <c r="DJ137" s="24"/>
      <c r="DK137" s="24"/>
      <c r="DL137" s="24"/>
      <c r="DM137" s="24"/>
      <c r="DN137" s="24"/>
      <c r="DO137" s="25"/>
      <c r="DP137" s="26"/>
      <c r="DQ137" s="24"/>
      <c r="DR137" s="24"/>
      <c r="DS137" s="24"/>
      <c r="DT137" s="24"/>
      <c r="DU137" s="24"/>
      <c r="DV137" s="24"/>
      <c r="DW137" s="24"/>
      <c r="DX137" s="24"/>
      <c r="DY137" s="24"/>
      <c r="DZ137" s="24"/>
      <c r="EA137" s="24"/>
      <c r="EB137" s="25"/>
      <c r="EC137" s="26"/>
      <c r="ED137" s="24"/>
      <c r="EE137" s="24"/>
      <c r="EF137" s="24"/>
      <c r="EG137" s="24"/>
      <c r="EH137" s="24"/>
      <c r="EI137" s="24"/>
      <c r="EJ137" s="24"/>
      <c r="EK137" s="24"/>
      <c r="EL137" s="24"/>
      <c r="EM137" s="24"/>
      <c r="EN137" s="24"/>
      <c r="EO137" s="25"/>
      <c r="EP137" s="26"/>
      <c r="EQ137" s="24"/>
      <c r="ER137" s="24"/>
      <c r="ES137" s="24"/>
      <c r="ET137" s="24"/>
      <c r="EU137" s="24"/>
      <c r="EV137" s="24"/>
      <c r="EW137" s="24"/>
      <c r="EX137" s="24"/>
      <c r="EY137" s="24"/>
      <c r="EZ137" s="24"/>
      <c r="FA137" s="24"/>
      <c r="FB137" s="25"/>
      <c r="FC137" s="26"/>
      <c r="FD137" s="24"/>
      <c r="FE137" s="24"/>
      <c r="FF137" s="24"/>
      <c r="FG137" s="24"/>
      <c r="FH137" s="24"/>
      <c r="FI137" s="24"/>
      <c r="FJ137" s="24"/>
      <c r="FK137" s="24"/>
      <c r="FL137" s="24"/>
      <c r="FM137" s="24"/>
      <c r="FN137" s="24"/>
      <c r="FO137" s="27">
        <f t="shared" ref="FO137:FV137" si="130">IFERROR(R137*1,0)+IFERROR(AE137*1,0)+IFERROR(AR137*1,0)+IFERROR(BE137*1,0)+IFERROR(BR137*1,0)+IFERROR(CE137*1,0)+IFERROR(CR137*1,0)+IFERROR(DE137*1,0)+IFERROR(DR137*1,0)+IFERROR(EE137*1,0)+IFERROR(ER137*1,0)+IFERROR(FE137*1,0)</f>
        <v>0</v>
      </c>
      <c r="FP137" s="27">
        <f t="shared" si="130"/>
        <v>0</v>
      </c>
      <c r="FQ137" s="27">
        <f t="shared" si="130"/>
        <v>0</v>
      </c>
      <c r="FR137" s="27">
        <f t="shared" si="130"/>
        <v>0</v>
      </c>
      <c r="FS137" s="27">
        <f t="shared" si="130"/>
        <v>0</v>
      </c>
      <c r="FT137" s="27">
        <f t="shared" si="130"/>
        <v>0</v>
      </c>
      <c r="FU137" s="27">
        <f t="shared" si="130"/>
        <v>0</v>
      </c>
      <c r="FV137" s="27">
        <f t="shared" si="130"/>
        <v>0</v>
      </c>
      <c r="FW137" s="28"/>
      <c r="FX137" s="29">
        <f t="shared" si="3"/>
        <v>0</v>
      </c>
    </row>
    <row r="138" spans="1:180" ht="18" customHeight="1" x14ac:dyDescent="0.25">
      <c r="A138" s="3" t="str">
        <f>IF(C138&lt;&gt;"","DRG-"&amp;TEXT(132,"000"),"")</f>
        <v>DRG-132</v>
      </c>
      <c r="B138" s="19" t="s">
        <v>197</v>
      </c>
      <c r="C138" s="20" t="s">
        <v>197</v>
      </c>
      <c r="D138" s="20" t="s">
        <v>195</v>
      </c>
      <c r="E138" s="20" t="s">
        <v>196</v>
      </c>
      <c r="F138" s="20" t="s">
        <v>69</v>
      </c>
      <c r="G138" s="21"/>
      <c r="H138" s="21"/>
      <c r="I138" s="21"/>
      <c r="J138" s="21"/>
      <c r="K138" s="21"/>
      <c r="L138" s="21">
        <v>4</v>
      </c>
      <c r="M138" s="30" t="str">
        <f t="shared" si="0"/>
        <v>✘ Pending</v>
      </c>
      <c r="N138" s="30">
        <f t="shared" si="1"/>
        <v>0</v>
      </c>
      <c r="O138" s="31"/>
      <c r="P138" s="32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1"/>
      <c r="AC138" s="32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1"/>
      <c r="AP138" s="32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1"/>
      <c r="BC138" s="32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1"/>
      <c r="BP138" s="32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1"/>
      <c r="CC138" s="32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1"/>
      <c r="CP138" s="32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1"/>
      <c r="DC138" s="32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1"/>
      <c r="DP138" s="32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1"/>
      <c r="EC138" s="32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1"/>
      <c r="EP138" s="32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1"/>
      <c r="FC138" s="32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4">
        <f t="shared" ref="FO138:FV138" si="131">IFERROR(R138*1,0)+IFERROR(AE138*1,0)+IFERROR(AR138*1,0)+IFERROR(BE138*1,0)+IFERROR(BR138*1,0)+IFERROR(CE138*1,0)+IFERROR(CR138*1,0)+IFERROR(DE138*1,0)+IFERROR(DR138*1,0)+IFERROR(EE138*1,0)+IFERROR(ER138*1,0)+IFERROR(FE138*1,0)</f>
        <v>0</v>
      </c>
      <c r="FP138" s="34">
        <f t="shared" si="131"/>
        <v>0</v>
      </c>
      <c r="FQ138" s="34">
        <f t="shared" si="131"/>
        <v>0</v>
      </c>
      <c r="FR138" s="34">
        <f t="shared" si="131"/>
        <v>0</v>
      </c>
      <c r="FS138" s="34">
        <f t="shared" si="131"/>
        <v>0</v>
      </c>
      <c r="FT138" s="34">
        <f t="shared" si="131"/>
        <v>0</v>
      </c>
      <c r="FU138" s="34">
        <f t="shared" si="131"/>
        <v>0</v>
      </c>
      <c r="FV138" s="34">
        <f t="shared" si="131"/>
        <v>0</v>
      </c>
      <c r="FW138" s="28"/>
      <c r="FX138" s="29">
        <f t="shared" si="3"/>
        <v>0</v>
      </c>
    </row>
    <row r="139" spans="1:180" ht="18" customHeight="1" x14ac:dyDescent="0.25">
      <c r="A139" s="3" t="str">
        <f>IF(C139&lt;&gt;"","DRG-"&amp;TEXT(133,"000"),"")</f>
        <v>DRG-133</v>
      </c>
      <c r="B139" s="19" t="s">
        <v>198</v>
      </c>
      <c r="C139" s="20" t="s">
        <v>198</v>
      </c>
      <c r="D139" s="20" t="s">
        <v>195</v>
      </c>
      <c r="E139" s="20" t="s">
        <v>196</v>
      </c>
      <c r="F139" s="20" t="s">
        <v>69</v>
      </c>
      <c r="G139" s="21"/>
      <c r="H139" s="21"/>
      <c r="I139" s="21"/>
      <c r="J139" s="21"/>
      <c r="K139" s="21"/>
      <c r="L139" s="21">
        <v>4</v>
      </c>
      <c r="M139" s="23" t="str">
        <f t="shared" si="0"/>
        <v>✘ Pending</v>
      </c>
      <c r="N139" s="23">
        <f t="shared" si="1"/>
        <v>0</v>
      </c>
      <c r="O139" s="25"/>
      <c r="P139" s="26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5"/>
      <c r="AC139" s="26"/>
      <c r="AD139" s="24"/>
      <c r="AE139" s="24"/>
      <c r="AF139" s="24"/>
      <c r="AG139" s="24"/>
      <c r="AH139" s="24"/>
      <c r="AI139" s="24"/>
      <c r="AJ139" s="24"/>
      <c r="AK139" s="24"/>
      <c r="AL139" s="24"/>
      <c r="AM139" s="24"/>
      <c r="AN139" s="24"/>
      <c r="AO139" s="25"/>
      <c r="AP139" s="26"/>
      <c r="AQ139" s="24"/>
      <c r="AR139" s="24"/>
      <c r="AS139" s="24"/>
      <c r="AT139" s="24"/>
      <c r="AU139" s="24"/>
      <c r="AV139" s="24"/>
      <c r="AW139" s="24"/>
      <c r="AX139" s="24"/>
      <c r="AY139" s="24"/>
      <c r="AZ139" s="24"/>
      <c r="BA139" s="24"/>
      <c r="BB139" s="25"/>
      <c r="BC139" s="26"/>
      <c r="BD139" s="24"/>
      <c r="BE139" s="24"/>
      <c r="BF139" s="24"/>
      <c r="BG139" s="24"/>
      <c r="BH139" s="24"/>
      <c r="BI139" s="24"/>
      <c r="BJ139" s="24"/>
      <c r="BK139" s="24"/>
      <c r="BL139" s="24"/>
      <c r="BM139" s="24"/>
      <c r="BN139" s="24"/>
      <c r="BO139" s="25"/>
      <c r="BP139" s="26"/>
      <c r="BQ139" s="24"/>
      <c r="BR139" s="24"/>
      <c r="BS139" s="24"/>
      <c r="BT139" s="24"/>
      <c r="BU139" s="24"/>
      <c r="BV139" s="24"/>
      <c r="BW139" s="24"/>
      <c r="BX139" s="24"/>
      <c r="BY139" s="24"/>
      <c r="BZ139" s="24"/>
      <c r="CA139" s="24"/>
      <c r="CB139" s="25"/>
      <c r="CC139" s="26"/>
      <c r="CD139" s="24"/>
      <c r="CE139" s="24"/>
      <c r="CF139" s="24"/>
      <c r="CG139" s="24"/>
      <c r="CH139" s="24"/>
      <c r="CI139" s="24"/>
      <c r="CJ139" s="24"/>
      <c r="CK139" s="24"/>
      <c r="CL139" s="24"/>
      <c r="CM139" s="24"/>
      <c r="CN139" s="24"/>
      <c r="CO139" s="25"/>
      <c r="CP139" s="26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5"/>
      <c r="DC139" s="26"/>
      <c r="DD139" s="24"/>
      <c r="DE139" s="24"/>
      <c r="DF139" s="24"/>
      <c r="DG139" s="24"/>
      <c r="DH139" s="24"/>
      <c r="DI139" s="24"/>
      <c r="DJ139" s="24"/>
      <c r="DK139" s="24"/>
      <c r="DL139" s="24"/>
      <c r="DM139" s="24"/>
      <c r="DN139" s="24"/>
      <c r="DO139" s="25"/>
      <c r="DP139" s="26"/>
      <c r="DQ139" s="24"/>
      <c r="DR139" s="24"/>
      <c r="DS139" s="24"/>
      <c r="DT139" s="24"/>
      <c r="DU139" s="24"/>
      <c r="DV139" s="24"/>
      <c r="DW139" s="24"/>
      <c r="DX139" s="24"/>
      <c r="DY139" s="24"/>
      <c r="DZ139" s="24"/>
      <c r="EA139" s="24"/>
      <c r="EB139" s="25"/>
      <c r="EC139" s="26"/>
      <c r="ED139" s="24"/>
      <c r="EE139" s="24"/>
      <c r="EF139" s="24"/>
      <c r="EG139" s="24"/>
      <c r="EH139" s="24"/>
      <c r="EI139" s="24"/>
      <c r="EJ139" s="24"/>
      <c r="EK139" s="24"/>
      <c r="EL139" s="24"/>
      <c r="EM139" s="24"/>
      <c r="EN139" s="24"/>
      <c r="EO139" s="25"/>
      <c r="EP139" s="26"/>
      <c r="EQ139" s="24"/>
      <c r="ER139" s="24"/>
      <c r="ES139" s="24"/>
      <c r="ET139" s="24"/>
      <c r="EU139" s="24"/>
      <c r="EV139" s="24"/>
      <c r="EW139" s="24"/>
      <c r="EX139" s="24"/>
      <c r="EY139" s="24"/>
      <c r="EZ139" s="24"/>
      <c r="FA139" s="24"/>
      <c r="FB139" s="25"/>
      <c r="FC139" s="26"/>
      <c r="FD139" s="24"/>
      <c r="FE139" s="24"/>
      <c r="FF139" s="24"/>
      <c r="FG139" s="24"/>
      <c r="FH139" s="24"/>
      <c r="FI139" s="24"/>
      <c r="FJ139" s="24"/>
      <c r="FK139" s="24"/>
      <c r="FL139" s="24"/>
      <c r="FM139" s="24"/>
      <c r="FN139" s="24"/>
      <c r="FO139" s="27">
        <f t="shared" ref="FO139:FV139" si="132">IFERROR(R139*1,0)+IFERROR(AE139*1,0)+IFERROR(AR139*1,0)+IFERROR(BE139*1,0)+IFERROR(BR139*1,0)+IFERROR(CE139*1,0)+IFERROR(CR139*1,0)+IFERROR(DE139*1,0)+IFERROR(DR139*1,0)+IFERROR(EE139*1,0)+IFERROR(ER139*1,0)+IFERROR(FE139*1,0)</f>
        <v>0</v>
      </c>
      <c r="FP139" s="27">
        <f t="shared" si="132"/>
        <v>0</v>
      </c>
      <c r="FQ139" s="27">
        <f t="shared" si="132"/>
        <v>0</v>
      </c>
      <c r="FR139" s="27">
        <f t="shared" si="132"/>
        <v>0</v>
      </c>
      <c r="FS139" s="27">
        <f t="shared" si="132"/>
        <v>0</v>
      </c>
      <c r="FT139" s="27">
        <f t="shared" si="132"/>
        <v>0</v>
      </c>
      <c r="FU139" s="27">
        <f t="shared" si="132"/>
        <v>0</v>
      </c>
      <c r="FV139" s="27">
        <f t="shared" si="132"/>
        <v>0</v>
      </c>
      <c r="FW139" s="28"/>
      <c r="FX139" s="29">
        <f t="shared" si="3"/>
        <v>0</v>
      </c>
    </row>
    <row r="140" spans="1:180" ht="18" customHeight="1" x14ac:dyDescent="0.25">
      <c r="A140" s="3" t="str">
        <f>IF(C140&lt;&gt;"","DRG-"&amp;TEXT(134,"000"),"")</f>
        <v>DRG-134</v>
      </c>
      <c r="B140" s="19" t="s">
        <v>199</v>
      </c>
      <c r="C140" s="20" t="s">
        <v>199</v>
      </c>
      <c r="D140" s="20" t="s">
        <v>195</v>
      </c>
      <c r="E140" s="20" t="s">
        <v>196</v>
      </c>
      <c r="F140" s="20" t="s">
        <v>69</v>
      </c>
      <c r="G140" s="21"/>
      <c r="H140" s="21"/>
      <c r="I140" s="21"/>
      <c r="J140" s="21"/>
      <c r="K140" s="21"/>
      <c r="L140" s="21">
        <v>4</v>
      </c>
      <c r="M140" s="30" t="str">
        <f t="shared" si="0"/>
        <v>✘ Pending</v>
      </c>
      <c r="N140" s="30">
        <f t="shared" si="1"/>
        <v>0</v>
      </c>
      <c r="O140" s="31"/>
      <c r="P140" s="32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1"/>
      <c r="AC140" s="32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1"/>
      <c r="AP140" s="32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1"/>
      <c r="BC140" s="32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1"/>
      <c r="BP140" s="32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1"/>
      <c r="CC140" s="32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1"/>
      <c r="CP140" s="32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1"/>
      <c r="DC140" s="32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1"/>
      <c r="DP140" s="32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1"/>
      <c r="EC140" s="32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1"/>
      <c r="EP140" s="32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1"/>
      <c r="FC140" s="32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4">
        <f t="shared" ref="FO140:FV140" si="133">IFERROR(R140*1,0)+IFERROR(AE140*1,0)+IFERROR(AR140*1,0)+IFERROR(BE140*1,0)+IFERROR(BR140*1,0)+IFERROR(CE140*1,0)+IFERROR(CR140*1,0)+IFERROR(DE140*1,0)+IFERROR(DR140*1,0)+IFERROR(EE140*1,0)+IFERROR(ER140*1,0)+IFERROR(FE140*1,0)</f>
        <v>0</v>
      </c>
      <c r="FP140" s="34">
        <f t="shared" si="133"/>
        <v>0</v>
      </c>
      <c r="FQ140" s="34">
        <f t="shared" si="133"/>
        <v>0</v>
      </c>
      <c r="FR140" s="34">
        <f t="shared" si="133"/>
        <v>0</v>
      </c>
      <c r="FS140" s="34">
        <f t="shared" si="133"/>
        <v>0</v>
      </c>
      <c r="FT140" s="34">
        <f t="shared" si="133"/>
        <v>0</v>
      </c>
      <c r="FU140" s="34">
        <f t="shared" si="133"/>
        <v>0</v>
      </c>
      <c r="FV140" s="34">
        <f t="shared" si="133"/>
        <v>0</v>
      </c>
      <c r="FW140" s="28"/>
      <c r="FX140" s="29">
        <f t="shared" si="3"/>
        <v>0</v>
      </c>
    </row>
    <row r="141" spans="1:180" ht="18" customHeight="1" x14ac:dyDescent="0.25">
      <c r="A141" s="3" t="str">
        <f>IF(C141&lt;&gt;"","DRG-"&amp;TEXT(135,"000"),"")</f>
        <v>DRG-135</v>
      </c>
      <c r="B141" s="19" t="s">
        <v>200</v>
      </c>
      <c r="C141" s="20" t="s">
        <v>200</v>
      </c>
      <c r="D141" s="20" t="s">
        <v>321</v>
      </c>
      <c r="E141" s="20" t="s">
        <v>196</v>
      </c>
      <c r="F141" s="20" t="s">
        <v>69</v>
      </c>
      <c r="G141" s="21"/>
      <c r="H141" s="21"/>
      <c r="I141" s="21"/>
      <c r="J141" s="21"/>
      <c r="K141" s="21"/>
      <c r="L141" s="21">
        <v>4</v>
      </c>
      <c r="M141" s="23" t="str">
        <f t="shared" si="0"/>
        <v>✘ Pending</v>
      </c>
      <c r="N141" s="23">
        <f t="shared" si="1"/>
        <v>0</v>
      </c>
      <c r="O141" s="25"/>
      <c r="P141" s="26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5"/>
      <c r="AC141" s="26"/>
      <c r="AD141" s="24"/>
      <c r="AE141" s="24"/>
      <c r="AF141" s="24"/>
      <c r="AG141" s="24"/>
      <c r="AH141" s="24"/>
      <c r="AI141" s="24"/>
      <c r="AJ141" s="24"/>
      <c r="AK141" s="24"/>
      <c r="AL141" s="24"/>
      <c r="AM141" s="24"/>
      <c r="AN141" s="24"/>
      <c r="AO141" s="25"/>
      <c r="AP141" s="26"/>
      <c r="AQ141" s="24"/>
      <c r="AR141" s="24"/>
      <c r="AS141" s="24"/>
      <c r="AT141" s="24"/>
      <c r="AU141" s="24"/>
      <c r="AV141" s="24"/>
      <c r="AW141" s="24"/>
      <c r="AX141" s="24"/>
      <c r="AY141" s="24"/>
      <c r="AZ141" s="24"/>
      <c r="BA141" s="24"/>
      <c r="BB141" s="25"/>
      <c r="BC141" s="26"/>
      <c r="BD141" s="24"/>
      <c r="BE141" s="24"/>
      <c r="BF141" s="24"/>
      <c r="BG141" s="24"/>
      <c r="BH141" s="24"/>
      <c r="BI141" s="24"/>
      <c r="BJ141" s="24"/>
      <c r="BK141" s="24"/>
      <c r="BL141" s="24"/>
      <c r="BM141" s="24"/>
      <c r="BN141" s="24"/>
      <c r="BO141" s="25"/>
      <c r="BP141" s="26"/>
      <c r="BQ141" s="24"/>
      <c r="BR141" s="24"/>
      <c r="BS141" s="24"/>
      <c r="BT141" s="24"/>
      <c r="BU141" s="24"/>
      <c r="BV141" s="24"/>
      <c r="BW141" s="24"/>
      <c r="BX141" s="24"/>
      <c r="BY141" s="24"/>
      <c r="BZ141" s="24"/>
      <c r="CA141" s="24"/>
      <c r="CB141" s="25"/>
      <c r="CC141" s="26"/>
      <c r="CD141" s="24"/>
      <c r="CE141" s="24"/>
      <c r="CF141" s="24"/>
      <c r="CG141" s="24"/>
      <c r="CH141" s="24"/>
      <c r="CI141" s="24"/>
      <c r="CJ141" s="24"/>
      <c r="CK141" s="24"/>
      <c r="CL141" s="24"/>
      <c r="CM141" s="24"/>
      <c r="CN141" s="24"/>
      <c r="CO141" s="25"/>
      <c r="CP141" s="26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5"/>
      <c r="DC141" s="26"/>
      <c r="DD141" s="24"/>
      <c r="DE141" s="24"/>
      <c r="DF141" s="24"/>
      <c r="DG141" s="24"/>
      <c r="DH141" s="24"/>
      <c r="DI141" s="24"/>
      <c r="DJ141" s="24"/>
      <c r="DK141" s="24"/>
      <c r="DL141" s="24"/>
      <c r="DM141" s="24"/>
      <c r="DN141" s="24"/>
      <c r="DO141" s="25"/>
      <c r="DP141" s="26"/>
      <c r="DQ141" s="24"/>
      <c r="DR141" s="24"/>
      <c r="DS141" s="24"/>
      <c r="DT141" s="24"/>
      <c r="DU141" s="24"/>
      <c r="DV141" s="24"/>
      <c r="DW141" s="24"/>
      <c r="DX141" s="24"/>
      <c r="DY141" s="24"/>
      <c r="DZ141" s="24"/>
      <c r="EA141" s="24"/>
      <c r="EB141" s="25"/>
      <c r="EC141" s="26"/>
      <c r="ED141" s="24"/>
      <c r="EE141" s="24"/>
      <c r="EF141" s="24"/>
      <c r="EG141" s="24"/>
      <c r="EH141" s="24"/>
      <c r="EI141" s="24"/>
      <c r="EJ141" s="24"/>
      <c r="EK141" s="24"/>
      <c r="EL141" s="24"/>
      <c r="EM141" s="24"/>
      <c r="EN141" s="24"/>
      <c r="EO141" s="25"/>
      <c r="EP141" s="26"/>
      <c r="EQ141" s="24"/>
      <c r="ER141" s="24"/>
      <c r="ES141" s="24"/>
      <c r="ET141" s="24"/>
      <c r="EU141" s="24"/>
      <c r="EV141" s="24"/>
      <c r="EW141" s="24"/>
      <c r="EX141" s="24"/>
      <c r="EY141" s="24"/>
      <c r="EZ141" s="24"/>
      <c r="FA141" s="24"/>
      <c r="FB141" s="25"/>
      <c r="FC141" s="26"/>
      <c r="FD141" s="24"/>
      <c r="FE141" s="24"/>
      <c r="FF141" s="24"/>
      <c r="FG141" s="24"/>
      <c r="FH141" s="24"/>
      <c r="FI141" s="24"/>
      <c r="FJ141" s="24"/>
      <c r="FK141" s="24"/>
      <c r="FL141" s="24"/>
      <c r="FM141" s="24"/>
      <c r="FN141" s="24"/>
      <c r="FO141" s="27">
        <f t="shared" ref="FO141:FV141" si="134">IFERROR(R141*1,0)+IFERROR(AE141*1,0)+IFERROR(AR141*1,0)+IFERROR(BE141*1,0)+IFERROR(BR141*1,0)+IFERROR(CE141*1,0)+IFERROR(CR141*1,0)+IFERROR(DE141*1,0)+IFERROR(DR141*1,0)+IFERROR(EE141*1,0)+IFERROR(ER141*1,0)+IFERROR(FE141*1,0)</f>
        <v>0</v>
      </c>
      <c r="FP141" s="27">
        <f t="shared" si="134"/>
        <v>0</v>
      </c>
      <c r="FQ141" s="27">
        <f t="shared" si="134"/>
        <v>0</v>
      </c>
      <c r="FR141" s="27">
        <f t="shared" si="134"/>
        <v>0</v>
      </c>
      <c r="FS141" s="27">
        <f t="shared" si="134"/>
        <v>0</v>
      </c>
      <c r="FT141" s="27">
        <f t="shared" si="134"/>
        <v>0</v>
      </c>
      <c r="FU141" s="27">
        <f t="shared" si="134"/>
        <v>0</v>
      </c>
      <c r="FV141" s="27">
        <f t="shared" si="134"/>
        <v>0</v>
      </c>
      <c r="FW141" s="28"/>
      <c r="FX141" s="29">
        <f t="shared" si="3"/>
        <v>0</v>
      </c>
    </row>
    <row r="142" spans="1:180" ht="18" customHeight="1" x14ac:dyDescent="0.25">
      <c r="A142" s="3" t="str">
        <f>IF(C142&lt;&gt;"","DRG-"&amp;TEXT(136,"000"),"")</f>
        <v>DRG-136</v>
      </c>
      <c r="B142" s="19" t="s">
        <v>153</v>
      </c>
      <c r="C142" s="20" t="s">
        <v>153</v>
      </c>
      <c r="D142" s="20" t="s">
        <v>195</v>
      </c>
      <c r="E142" s="20" t="s">
        <v>196</v>
      </c>
      <c r="F142" s="20" t="s">
        <v>69</v>
      </c>
      <c r="G142" s="21"/>
      <c r="H142" s="21"/>
      <c r="I142" s="21"/>
      <c r="J142" s="21"/>
      <c r="K142" s="21"/>
      <c r="L142" s="21">
        <v>4</v>
      </c>
      <c r="M142" s="30" t="str">
        <f t="shared" si="0"/>
        <v>✘ Pending</v>
      </c>
      <c r="N142" s="30">
        <f t="shared" si="1"/>
        <v>0</v>
      </c>
      <c r="O142" s="31"/>
      <c r="P142" s="32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1"/>
      <c r="AC142" s="32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1"/>
      <c r="AP142" s="32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1"/>
      <c r="BC142" s="32"/>
      <c r="BD142" s="33"/>
      <c r="BE142" s="33"/>
      <c r="BF142" s="33"/>
      <c r="BG142" s="33"/>
      <c r="BH142" s="33"/>
      <c r="BI142" s="33"/>
      <c r="BJ142" s="33"/>
      <c r="BK142" s="33"/>
      <c r="BL142" s="33"/>
      <c r="BM142" s="33"/>
      <c r="BN142" s="33"/>
      <c r="BO142" s="31"/>
      <c r="BP142" s="32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1"/>
      <c r="CC142" s="32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1"/>
      <c r="CP142" s="32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1"/>
      <c r="DC142" s="32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1"/>
      <c r="DP142" s="32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1"/>
      <c r="EC142" s="32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1"/>
      <c r="EP142" s="32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1"/>
      <c r="FC142" s="32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4">
        <f t="shared" ref="FO142:FV142" si="135">IFERROR(R142*1,0)+IFERROR(AE142*1,0)+IFERROR(AR142*1,0)+IFERROR(BE142*1,0)+IFERROR(BR142*1,0)+IFERROR(CE142*1,0)+IFERROR(CR142*1,0)+IFERROR(DE142*1,0)+IFERROR(DR142*1,0)+IFERROR(EE142*1,0)+IFERROR(ER142*1,0)+IFERROR(FE142*1,0)</f>
        <v>0</v>
      </c>
      <c r="FP142" s="34">
        <f t="shared" si="135"/>
        <v>0</v>
      </c>
      <c r="FQ142" s="34">
        <f t="shared" si="135"/>
        <v>0</v>
      </c>
      <c r="FR142" s="34">
        <f t="shared" si="135"/>
        <v>0</v>
      </c>
      <c r="FS142" s="34">
        <f t="shared" si="135"/>
        <v>0</v>
      </c>
      <c r="FT142" s="34">
        <f t="shared" si="135"/>
        <v>0</v>
      </c>
      <c r="FU142" s="34">
        <f t="shared" si="135"/>
        <v>0</v>
      </c>
      <c r="FV142" s="34">
        <f t="shared" si="135"/>
        <v>0</v>
      </c>
      <c r="FW142" s="28"/>
      <c r="FX142" s="29">
        <f t="shared" si="3"/>
        <v>0</v>
      </c>
    </row>
    <row r="143" spans="1:180" ht="18" customHeight="1" x14ac:dyDescent="0.25">
      <c r="A143" s="3" t="str">
        <f>IF(C143&lt;&gt;"","DRG-"&amp;TEXT(137,"000"),"")</f>
        <v>DRG-137</v>
      </c>
      <c r="B143" s="19" t="s">
        <v>201</v>
      </c>
      <c r="C143" s="20" t="s">
        <v>201</v>
      </c>
      <c r="D143" s="20" t="s">
        <v>195</v>
      </c>
      <c r="E143" s="20" t="s">
        <v>196</v>
      </c>
      <c r="F143" s="20" t="s">
        <v>69</v>
      </c>
      <c r="G143" s="21"/>
      <c r="H143" s="21"/>
      <c r="I143" s="21"/>
      <c r="J143" s="21"/>
      <c r="K143" s="21"/>
      <c r="L143" s="21">
        <v>4</v>
      </c>
      <c r="M143" s="23" t="str">
        <f t="shared" si="0"/>
        <v>✘ Pending</v>
      </c>
      <c r="N143" s="23">
        <f t="shared" si="1"/>
        <v>0</v>
      </c>
      <c r="O143" s="25"/>
      <c r="P143" s="26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5"/>
      <c r="AC143" s="26"/>
      <c r="AD143" s="24"/>
      <c r="AE143" s="24"/>
      <c r="AF143" s="24"/>
      <c r="AG143" s="24"/>
      <c r="AH143" s="24"/>
      <c r="AI143" s="24"/>
      <c r="AJ143" s="24"/>
      <c r="AK143" s="24"/>
      <c r="AL143" s="24"/>
      <c r="AM143" s="24"/>
      <c r="AN143" s="24"/>
      <c r="AO143" s="25"/>
      <c r="AP143" s="26"/>
      <c r="AQ143" s="24"/>
      <c r="AR143" s="24"/>
      <c r="AS143" s="24"/>
      <c r="AT143" s="24"/>
      <c r="AU143" s="24"/>
      <c r="AV143" s="24"/>
      <c r="AW143" s="24"/>
      <c r="AX143" s="24"/>
      <c r="AY143" s="24"/>
      <c r="AZ143" s="24"/>
      <c r="BA143" s="24"/>
      <c r="BB143" s="25"/>
      <c r="BC143" s="26"/>
      <c r="BD143" s="24"/>
      <c r="BE143" s="24"/>
      <c r="BF143" s="24"/>
      <c r="BG143" s="24"/>
      <c r="BH143" s="24"/>
      <c r="BI143" s="24"/>
      <c r="BJ143" s="24"/>
      <c r="BK143" s="24"/>
      <c r="BL143" s="24"/>
      <c r="BM143" s="24"/>
      <c r="BN143" s="24"/>
      <c r="BO143" s="25"/>
      <c r="BP143" s="26"/>
      <c r="BQ143" s="24"/>
      <c r="BR143" s="24"/>
      <c r="BS143" s="24"/>
      <c r="BT143" s="24"/>
      <c r="BU143" s="24"/>
      <c r="BV143" s="24"/>
      <c r="BW143" s="24"/>
      <c r="BX143" s="24"/>
      <c r="BY143" s="24"/>
      <c r="BZ143" s="24"/>
      <c r="CA143" s="24"/>
      <c r="CB143" s="25"/>
      <c r="CC143" s="26"/>
      <c r="CD143" s="24"/>
      <c r="CE143" s="24"/>
      <c r="CF143" s="24"/>
      <c r="CG143" s="24"/>
      <c r="CH143" s="24"/>
      <c r="CI143" s="24"/>
      <c r="CJ143" s="24"/>
      <c r="CK143" s="24"/>
      <c r="CL143" s="24"/>
      <c r="CM143" s="24"/>
      <c r="CN143" s="24"/>
      <c r="CO143" s="25"/>
      <c r="CP143" s="26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5"/>
      <c r="DC143" s="26"/>
      <c r="DD143" s="24"/>
      <c r="DE143" s="24"/>
      <c r="DF143" s="24"/>
      <c r="DG143" s="24"/>
      <c r="DH143" s="24"/>
      <c r="DI143" s="24"/>
      <c r="DJ143" s="24"/>
      <c r="DK143" s="24"/>
      <c r="DL143" s="24"/>
      <c r="DM143" s="24"/>
      <c r="DN143" s="24"/>
      <c r="DO143" s="25"/>
      <c r="DP143" s="26"/>
      <c r="DQ143" s="24"/>
      <c r="DR143" s="24"/>
      <c r="DS143" s="24"/>
      <c r="DT143" s="24"/>
      <c r="DU143" s="24"/>
      <c r="DV143" s="24"/>
      <c r="DW143" s="24"/>
      <c r="DX143" s="24"/>
      <c r="DY143" s="24"/>
      <c r="DZ143" s="24"/>
      <c r="EA143" s="24"/>
      <c r="EB143" s="25"/>
      <c r="EC143" s="26"/>
      <c r="ED143" s="24"/>
      <c r="EE143" s="24"/>
      <c r="EF143" s="24"/>
      <c r="EG143" s="24"/>
      <c r="EH143" s="24"/>
      <c r="EI143" s="24"/>
      <c r="EJ143" s="24"/>
      <c r="EK143" s="24"/>
      <c r="EL143" s="24"/>
      <c r="EM143" s="24"/>
      <c r="EN143" s="24"/>
      <c r="EO143" s="25"/>
      <c r="EP143" s="26"/>
      <c r="EQ143" s="24"/>
      <c r="ER143" s="24"/>
      <c r="ES143" s="24"/>
      <c r="ET143" s="24"/>
      <c r="EU143" s="24"/>
      <c r="EV143" s="24"/>
      <c r="EW143" s="24"/>
      <c r="EX143" s="24"/>
      <c r="EY143" s="24"/>
      <c r="EZ143" s="24"/>
      <c r="FA143" s="24"/>
      <c r="FB143" s="25"/>
      <c r="FC143" s="26"/>
      <c r="FD143" s="24"/>
      <c r="FE143" s="24"/>
      <c r="FF143" s="24"/>
      <c r="FG143" s="24"/>
      <c r="FH143" s="24"/>
      <c r="FI143" s="24"/>
      <c r="FJ143" s="24"/>
      <c r="FK143" s="24"/>
      <c r="FL143" s="24"/>
      <c r="FM143" s="24"/>
      <c r="FN143" s="24"/>
      <c r="FO143" s="27">
        <f t="shared" ref="FO143:FV143" si="136">IFERROR(R143*1,0)+IFERROR(AE143*1,0)+IFERROR(AR143*1,0)+IFERROR(BE143*1,0)+IFERROR(BR143*1,0)+IFERROR(CE143*1,0)+IFERROR(CR143*1,0)+IFERROR(DE143*1,0)+IFERROR(DR143*1,0)+IFERROR(EE143*1,0)+IFERROR(ER143*1,0)+IFERROR(FE143*1,0)</f>
        <v>0</v>
      </c>
      <c r="FP143" s="27">
        <f t="shared" si="136"/>
        <v>0</v>
      </c>
      <c r="FQ143" s="27">
        <f t="shared" si="136"/>
        <v>0</v>
      </c>
      <c r="FR143" s="27">
        <f t="shared" si="136"/>
        <v>0</v>
      </c>
      <c r="FS143" s="27">
        <f t="shared" si="136"/>
        <v>0</v>
      </c>
      <c r="FT143" s="27">
        <f t="shared" si="136"/>
        <v>0</v>
      </c>
      <c r="FU143" s="27">
        <f t="shared" si="136"/>
        <v>0</v>
      </c>
      <c r="FV143" s="27">
        <f t="shared" si="136"/>
        <v>0</v>
      </c>
      <c r="FW143" s="28"/>
      <c r="FX143" s="29">
        <f t="shared" si="3"/>
        <v>0</v>
      </c>
    </row>
    <row r="144" spans="1:180" ht="18" customHeight="1" x14ac:dyDescent="0.25">
      <c r="A144" s="3" t="str">
        <f>IF(C144&lt;&gt;"","DRG-"&amp;TEXT(138,"000"),"")</f>
        <v>DRG-138</v>
      </c>
      <c r="B144" s="19" t="s">
        <v>202</v>
      </c>
      <c r="C144" s="20" t="s">
        <v>202</v>
      </c>
      <c r="D144" s="20" t="s">
        <v>195</v>
      </c>
      <c r="E144" s="20" t="s">
        <v>203</v>
      </c>
      <c r="F144" s="20" t="s">
        <v>58</v>
      </c>
      <c r="G144" s="21"/>
      <c r="H144" s="21"/>
      <c r="I144" s="22">
        <v>0.41666666666666669</v>
      </c>
      <c r="J144" s="21" t="s">
        <v>204</v>
      </c>
      <c r="K144" s="21">
        <v>10</v>
      </c>
      <c r="L144" s="21">
        <v>12</v>
      </c>
      <c r="M144" s="30" t="str">
        <f t="shared" si="0"/>
        <v>✘ Pending</v>
      </c>
      <c r="N144" s="30">
        <f t="shared" si="1"/>
        <v>0</v>
      </c>
      <c r="O144" s="31"/>
      <c r="P144" s="32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1"/>
      <c r="AC144" s="32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1"/>
      <c r="AP144" s="32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1"/>
      <c r="BC144" s="32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1"/>
      <c r="BP144" s="32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1"/>
      <c r="CC144" s="32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1"/>
      <c r="CP144" s="32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1"/>
      <c r="DC144" s="32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1"/>
      <c r="DP144" s="32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1"/>
      <c r="EC144" s="32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1"/>
      <c r="EP144" s="32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1"/>
      <c r="FC144" s="32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4">
        <f t="shared" ref="FO144:FV144" si="137">IFERROR(R144*1,0)+IFERROR(AE144*1,0)+IFERROR(AR144*1,0)+IFERROR(BE144*1,0)+IFERROR(BR144*1,0)+IFERROR(CE144*1,0)+IFERROR(CR144*1,0)+IFERROR(DE144*1,0)+IFERROR(DR144*1,0)+IFERROR(EE144*1,0)+IFERROR(ER144*1,0)+IFERROR(FE144*1,0)</f>
        <v>0</v>
      </c>
      <c r="FP144" s="34">
        <f t="shared" si="137"/>
        <v>0</v>
      </c>
      <c r="FQ144" s="34">
        <f t="shared" si="137"/>
        <v>0</v>
      </c>
      <c r="FR144" s="34">
        <f t="shared" si="137"/>
        <v>0</v>
      </c>
      <c r="FS144" s="34">
        <f t="shared" si="137"/>
        <v>0</v>
      </c>
      <c r="FT144" s="34">
        <f t="shared" si="137"/>
        <v>0</v>
      </c>
      <c r="FU144" s="34">
        <f t="shared" si="137"/>
        <v>0</v>
      </c>
      <c r="FV144" s="34">
        <f t="shared" si="137"/>
        <v>0</v>
      </c>
      <c r="FW144" s="28"/>
      <c r="FX144" s="29">
        <f t="shared" si="3"/>
        <v>0</v>
      </c>
    </row>
    <row r="145" spans="1:180" s="98" customFormat="1" ht="18" customHeight="1" x14ac:dyDescent="0.25">
      <c r="A145" s="87" t="str">
        <f>IF(C145&lt;&gt;"","DRG-"&amp;TEXT(139,"000"),"")</f>
        <v>DRG-139</v>
      </c>
      <c r="B145" s="99" t="s">
        <v>205</v>
      </c>
      <c r="C145" s="89" t="s">
        <v>205</v>
      </c>
      <c r="D145" s="89" t="s">
        <v>195</v>
      </c>
      <c r="E145" s="89" t="s">
        <v>165</v>
      </c>
      <c r="F145" s="89" t="s">
        <v>58</v>
      </c>
      <c r="G145" s="90"/>
      <c r="H145" s="90"/>
      <c r="I145" s="90"/>
      <c r="J145" s="90"/>
      <c r="K145" s="90"/>
      <c r="L145" s="90">
        <v>4</v>
      </c>
      <c r="M145" s="91" t="str">
        <f t="shared" si="0"/>
        <v>✘ Pending</v>
      </c>
      <c r="N145" s="91">
        <f t="shared" si="1"/>
        <v>0</v>
      </c>
      <c r="O145" s="92"/>
      <c r="P145" s="93"/>
      <c r="Q145" s="94"/>
      <c r="R145" s="94"/>
      <c r="S145" s="94"/>
      <c r="T145" s="94"/>
      <c r="U145" s="94"/>
      <c r="V145" s="94"/>
      <c r="W145" s="94"/>
      <c r="X145" s="94"/>
      <c r="Y145" s="94"/>
      <c r="Z145" s="94"/>
      <c r="AA145" s="94"/>
      <c r="AB145" s="92"/>
      <c r="AC145" s="93"/>
      <c r="AD145" s="94"/>
      <c r="AE145" s="94"/>
      <c r="AF145" s="94"/>
      <c r="AG145" s="94"/>
      <c r="AH145" s="94"/>
      <c r="AI145" s="94"/>
      <c r="AJ145" s="94"/>
      <c r="AK145" s="94"/>
      <c r="AL145" s="94"/>
      <c r="AM145" s="94"/>
      <c r="AN145" s="94"/>
      <c r="AO145" s="92"/>
      <c r="AP145" s="93"/>
      <c r="AQ145" s="94"/>
      <c r="AR145" s="94"/>
      <c r="AS145" s="94"/>
      <c r="AT145" s="94"/>
      <c r="AU145" s="94"/>
      <c r="AV145" s="94"/>
      <c r="AW145" s="94"/>
      <c r="AX145" s="94"/>
      <c r="AY145" s="94"/>
      <c r="AZ145" s="94"/>
      <c r="BA145" s="94"/>
      <c r="BB145" s="92"/>
      <c r="BC145" s="93"/>
      <c r="BD145" s="94"/>
      <c r="BE145" s="94"/>
      <c r="BF145" s="94"/>
      <c r="BG145" s="94"/>
      <c r="BH145" s="94"/>
      <c r="BI145" s="94"/>
      <c r="BJ145" s="94"/>
      <c r="BK145" s="94"/>
      <c r="BL145" s="94"/>
      <c r="BM145" s="94"/>
      <c r="BN145" s="94"/>
      <c r="BO145" s="92"/>
      <c r="BP145" s="93"/>
      <c r="BQ145" s="94"/>
      <c r="BR145" s="94"/>
      <c r="BS145" s="94"/>
      <c r="BT145" s="94"/>
      <c r="BU145" s="94"/>
      <c r="BV145" s="94"/>
      <c r="BW145" s="94"/>
      <c r="BX145" s="94"/>
      <c r="BY145" s="94"/>
      <c r="BZ145" s="94"/>
      <c r="CA145" s="94"/>
      <c r="CB145" s="92"/>
      <c r="CC145" s="93"/>
      <c r="CD145" s="94"/>
      <c r="CE145" s="94"/>
      <c r="CF145" s="94"/>
      <c r="CG145" s="94"/>
      <c r="CH145" s="94"/>
      <c r="CI145" s="94"/>
      <c r="CJ145" s="94"/>
      <c r="CK145" s="94"/>
      <c r="CL145" s="94"/>
      <c r="CM145" s="94"/>
      <c r="CN145" s="94"/>
      <c r="CO145" s="92"/>
      <c r="CP145" s="93"/>
      <c r="CQ145" s="94"/>
      <c r="CR145" s="94"/>
      <c r="CS145" s="94"/>
      <c r="CT145" s="94"/>
      <c r="CU145" s="94"/>
      <c r="CV145" s="94"/>
      <c r="CW145" s="94"/>
      <c r="CX145" s="94"/>
      <c r="CY145" s="94"/>
      <c r="CZ145" s="94"/>
      <c r="DA145" s="94"/>
      <c r="DB145" s="92"/>
      <c r="DC145" s="93"/>
      <c r="DD145" s="94"/>
      <c r="DE145" s="94"/>
      <c r="DF145" s="94"/>
      <c r="DG145" s="94"/>
      <c r="DH145" s="94"/>
      <c r="DI145" s="94"/>
      <c r="DJ145" s="94"/>
      <c r="DK145" s="94"/>
      <c r="DL145" s="94"/>
      <c r="DM145" s="94"/>
      <c r="DN145" s="94"/>
      <c r="DO145" s="92"/>
      <c r="DP145" s="93"/>
      <c r="DQ145" s="94"/>
      <c r="DR145" s="94"/>
      <c r="DS145" s="94"/>
      <c r="DT145" s="94"/>
      <c r="DU145" s="94"/>
      <c r="DV145" s="94"/>
      <c r="DW145" s="94"/>
      <c r="DX145" s="94"/>
      <c r="DY145" s="94"/>
      <c r="DZ145" s="94"/>
      <c r="EA145" s="94"/>
      <c r="EB145" s="92"/>
      <c r="EC145" s="93"/>
      <c r="ED145" s="94"/>
      <c r="EE145" s="94"/>
      <c r="EF145" s="94"/>
      <c r="EG145" s="94"/>
      <c r="EH145" s="94"/>
      <c r="EI145" s="94"/>
      <c r="EJ145" s="94"/>
      <c r="EK145" s="94"/>
      <c r="EL145" s="94"/>
      <c r="EM145" s="94"/>
      <c r="EN145" s="94"/>
      <c r="EO145" s="92"/>
      <c r="EP145" s="93"/>
      <c r="EQ145" s="94"/>
      <c r="ER145" s="94"/>
      <c r="ES145" s="94"/>
      <c r="ET145" s="94"/>
      <c r="EU145" s="94"/>
      <c r="EV145" s="94"/>
      <c r="EW145" s="94"/>
      <c r="EX145" s="94"/>
      <c r="EY145" s="94"/>
      <c r="EZ145" s="94"/>
      <c r="FA145" s="94"/>
      <c r="FB145" s="92"/>
      <c r="FC145" s="93"/>
      <c r="FD145" s="94"/>
      <c r="FE145" s="94"/>
      <c r="FF145" s="94"/>
      <c r="FG145" s="94"/>
      <c r="FH145" s="94"/>
      <c r="FI145" s="94"/>
      <c r="FJ145" s="94"/>
      <c r="FK145" s="94"/>
      <c r="FL145" s="94"/>
      <c r="FM145" s="94"/>
      <c r="FN145" s="94"/>
      <c r="FO145" s="95">
        <f t="shared" ref="FO145:FV145" si="138">IFERROR(R145*1,0)+IFERROR(AE145*1,0)+IFERROR(AR145*1,0)+IFERROR(BE145*1,0)+IFERROR(BR145*1,0)+IFERROR(CE145*1,0)+IFERROR(CR145*1,0)+IFERROR(DE145*1,0)+IFERROR(DR145*1,0)+IFERROR(EE145*1,0)+IFERROR(ER145*1,0)+IFERROR(FE145*1,0)</f>
        <v>0</v>
      </c>
      <c r="FP145" s="95">
        <f t="shared" si="138"/>
        <v>0</v>
      </c>
      <c r="FQ145" s="95">
        <f t="shared" si="138"/>
        <v>0</v>
      </c>
      <c r="FR145" s="95">
        <f t="shared" si="138"/>
        <v>0</v>
      </c>
      <c r="FS145" s="95">
        <f t="shared" si="138"/>
        <v>0</v>
      </c>
      <c r="FT145" s="95">
        <f t="shared" si="138"/>
        <v>0</v>
      </c>
      <c r="FU145" s="95">
        <f t="shared" si="138"/>
        <v>0</v>
      </c>
      <c r="FV145" s="95">
        <f t="shared" si="138"/>
        <v>0</v>
      </c>
      <c r="FW145" s="96"/>
      <c r="FX145" s="97">
        <f t="shared" si="3"/>
        <v>0</v>
      </c>
    </row>
    <row r="146" spans="1:180" ht="18" customHeight="1" x14ac:dyDescent="0.25">
      <c r="A146" s="3" t="str">
        <f>IF(C146&lt;&gt;"","DRG-"&amp;TEXT(140,"000"),"")</f>
        <v>DRG-140</v>
      </c>
      <c r="B146" s="19" t="s">
        <v>206</v>
      </c>
      <c r="C146" s="20" t="s">
        <v>206</v>
      </c>
      <c r="D146" s="20" t="s">
        <v>195</v>
      </c>
      <c r="E146" s="20" t="s">
        <v>165</v>
      </c>
      <c r="F146" s="20" t="s">
        <v>58</v>
      </c>
      <c r="G146" s="21"/>
      <c r="H146" s="21"/>
      <c r="I146" s="21"/>
      <c r="J146" s="21"/>
      <c r="K146" s="21"/>
      <c r="L146" s="21">
        <v>4</v>
      </c>
      <c r="M146" s="30" t="str">
        <f t="shared" si="0"/>
        <v>✘ Pending</v>
      </c>
      <c r="N146" s="30">
        <f t="shared" si="1"/>
        <v>0</v>
      </c>
      <c r="O146" s="31"/>
      <c r="P146" s="32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1"/>
      <c r="AC146" s="32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1"/>
      <c r="AP146" s="32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1"/>
      <c r="BC146" s="32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1"/>
      <c r="BP146" s="32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1"/>
      <c r="CC146" s="32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1"/>
      <c r="CP146" s="32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1"/>
      <c r="DC146" s="32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1"/>
      <c r="DP146" s="32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1"/>
      <c r="EC146" s="32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1"/>
      <c r="EP146" s="32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1"/>
      <c r="FC146" s="32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4">
        <f t="shared" ref="FO146:FV146" si="139">IFERROR(R146*1,0)+IFERROR(AE146*1,0)+IFERROR(AR146*1,0)+IFERROR(BE146*1,0)+IFERROR(BR146*1,0)+IFERROR(CE146*1,0)+IFERROR(CR146*1,0)+IFERROR(DE146*1,0)+IFERROR(DR146*1,0)+IFERROR(EE146*1,0)+IFERROR(ER146*1,0)+IFERROR(FE146*1,0)</f>
        <v>0</v>
      </c>
      <c r="FP146" s="34">
        <f t="shared" si="139"/>
        <v>0</v>
      </c>
      <c r="FQ146" s="34">
        <f t="shared" si="139"/>
        <v>0</v>
      </c>
      <c r="FR146" s="34">
        <f t="shared" si="139"/>
        <v>0</v>
      </c>
      <c r="FS146" s="34">
        <f t="shared" si="139"/>
        <v>0</v>
      </c>
      <c r="FT146" s="34">
        <f t="shared" si="139"/>
        <v>0</v>
      </c>
      <c r="FU146" s="34">
        <f t="shared" si="139"/>
        <v>0</v>
      </c>
      <c r="FV146" s="34">
        <f t="shared" si="139"/>
        <v>0</v>
      </c>
      <c r="FW146" s="28"/>
      <c r="FX146" s="29">
        <f t="shared" si="3"/>
        <v>0</v>
      </c>
    </row>
    <row r="147" spans="1:180" ht="18" customHeight="1" x14ac:dyDescent="0.25">
      <c r="A147" s="3" t="str">
        <f>IF(C147&lt;&gt;"","DRG-"&amp;TEXT(141,"000"),"")</f>
        <v>DRG-141</v>
      </c>
      <c r="B147" s="19" t="s">
        <v>207</v>
      </c>
      <c r="C147" s="20" t="s">
        <v>207</v>
      </c>
      <c r="D147" s="20" t="s">
        <v>195</v>
      </c>
      <c r="E147" s="20" t="s">
        <v>165</v>
      </c>
      <c r="F147" s="20" t="s">
        <v>58</v>
      </c>
      <c r="G147" s="21"/>
      <c r="H147" s="21"/>
      <c r="I147" s="21"/>
      <c r="J147" s="21"/>
      <c r="K147" s="21"/>
      <c r="L147" s="21">
        <v>4</v>
      </c>
      <c r="M147" s="23" t="str">
        <f t="shared" si="0"/>
        <v>✘ Pending</v>
      </c>
      <c r="N147" s="23">
        <f t="shared" si="1"/>
        <v>0</v>
      </c>
      <c r="O147" s="25"/>
      <c r="P147" s="26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  <c r="AB147" s="25"/>
      <c r="AC147" s="26"/>
      <c r="AD147" s="24"/>
      <c r="AE147" s="24"/>
      <c r="AF147" s="24"/>
      <c r="AG147" s="24"/>
      <c r="AH147" s="24"/>
      <c r="AI147" s="24"/>
      <c r="AJ147" s="24"/>
      <c r="AK147" s="24"/>
      <c r="AL147" s="24"/>
      <c r="AM147" s="24"/>
      <c r="AN147" s="24"/>
      <c r="AO147" s="25"/>
      <c r="AP147" s="26"/>
      <c r="AQ147" s="24"/>
      <c r="AR147" s="24"/>
      <c r="AS147" s="24"/>
      <c r="AT147" s="24"/>
      <c r="AU147" s="24"/>
      <c r="AV147" s="24"/>
      <c r="AW147" s="24"/>
      <c r="AX147" s="24"/>
      <c r="AY147" s="24"/>
      <c r="AZ147" s="24"/>
      <c r="BA147" s="24"/>
      <c r="BB147" s="25"/>
      <c r="BC147" s="26"/>
      <c r="BD147" s="24"/>
      <c r="BE147" s="24"/>
      <c r="BF147" s="24"/>
      <c r="BG147" s="24"/>
      <c r="BH147" s="24"/>
      <c r="BI147" s="24"/>
      <c r="BJ147" s="24"/>
      <c r="BK147" s="24"/>
      <c r="BL147" s="24"/>
      <c r="BM147" s="24"/>
      <c r="BN147" s="24"/>
      <c r="BO147" s="25"/>
      <c r="BP147" s="26"/>
      <c r="BQ147" s="24"/>
      <c r="BR147" s="24"/>
      <c r="BS147" s="24"/>
      <c r="BT147" s="24"/>
      <c r="BU147" s="24"/>
      <c r="BV147" s="24"/>
      <c r="BW147" s="24"/>
      <c r="BX147" s="24"/>
      <c r="BY147" s="24"/>
      <c r="BZ147" s="24"/>
      <c r="CA147" s="24"/>
      <c r="CB147" s="25"/>
      <c r="CC147" s="26"/>
      <c r="CD147" s="24"/>
      <c r="CE147" s="24"/>
      <c r="CF147" s="24"/>
      <c r="CG147" s="24"/>
      <c r="CH147" s="24"/>
      <c r="CI147" s="24"/>
      <c r="CJ147" s="24"/>
      <c r="CK147" s="24"/>
      <c r="CL147" s="24"/>
      <c r="CM147" s="24"/>
      <c r="CN147" s="24"/>
      <c r="CO147" s="25"/>
      <c r="CP147" s="26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5"/>
      <c r="DC147" s="26"/>
      <c r="DD147" s="24"/>
      <c r="DE147" s="24"/>
      <c r="DF147" s="24"/>
      <c r="DG147" s="24"/>
      <c r="DH147" s="24"/>
      <c r="DI147" s="24"/>
      <c r="DJ147" s="24"/>
      <c r="DK147" s="24"/>
      <c r="DL147" s="24"/>
      <c r="DM147" s="24"/>
      <c r="DN147" s="24"/>
      <c r="DO147" s="25"/>
      <c r="DP147" s="26"/>
      <c r="DQ147" s="24"/>
      <c r="DR147" s="24"/>
      <c r="DS147" s="24"/>
      <c r="DT147" s="24"/>
      <c r="DU147" s="24"/>
      <c r="DV147" s="24"/>
      <c r="DW147" s="24"/>
      <c r="DX147" s="24"/>
      <c r="DY147" s="24"/>
      <c r="DZ147" s="24"/>
      <c r="EA147" s="24"/>
      <c r="EB147" s="25"/>
      <c r="EC147" s="26"/>
      <c r="ED147" s="24"/>
      <c r="EE147" s="24"/>
      <c r="EF147" s="24"/>
      <c r="EG147" s="24"/>
      <c r="EH147" s="24"/>
      <c r="EI147" s="24"/>
      <c r="EJ147" s="24"/>
      <c r="EK147" s="24"/>
      <c r="EL147" s="24"/>
      <c r="EM147" s="24"/>
      <c r="EN147" s="24"/>
      <c r="EO147" s="25"/>
      <c r="EP147" s="26"/>
      <c r="EQ147" s="24"/>
      <c r="ER147" s="24"/>
      <c r="ES147" s="24"/>
      <c r="ET147" s="24"/>
      <c r="EU147" s="24"/>
      <c r="EV147" s="24"/>
      <c r="EW147" s="24"/>
      <c r="EX147" s="24"/>
      <c r="EY147" s="24"/>
      <c r="EZ147" s="24"/>
      <c r="FA147" s="24"/>
      <c r="FB147" s="25"/>
      <c r="FC147" s="26"/>
      <c r="FD147" s="24"/>
      <c r="FE147" s="24"/>
      <c r="FF147" s="24"/>
      <c r="FG147" s="24"/>
      <c r="FH147" s="24"/>
      <c r="FI147" s="24"/>
      <c r="FJ147" s="24"/>
      <c r="FK147" s="24"/>
      <c r="FL147" s="24"/>
      <c r="FM147" s="24"/>
      <c r="FN147" s="24"/>
      <c r="FO147" s="27">
        <f t="shared" ref="FO147:FV147" si="140">IFERROR(R147*1,0)+IFERROR(AE147*1,0)+IFERROR(AR147*1,0)+IFERROR(BE147*1,0)+IFERROR(BR147*1,0)+IFERROR(CE147*1,0)+IFERROR(CR147*1,0)+IFERROR(DE147*1,0)+IFERROR(DR147*1,0)+IFERROR(EE147*1,0)+IFERROR(ER147*1,0)+IFERROR(FE147*1,0)</f>
        <v>0</v>
      </c>
      <c r="FP147" s="27">
        <f t="shared" si="140"/>
        <v>0</v>
      </c>
      <c r="FQ147" s="27">
        <f t="shared" si="140"/>
        <v>0</v>
      </c>
      <c r="FR147" s="27">
        <f t="shared" si="140"/>
        <v>0</v>
      </c>
      <c r="FS147" s="27">
        <f t="shared" si="140"/>
        <v>0</v>
      </c>
      <c r="FT147" s="27">
        <f t="shared" si="140"/>
        <v>0</v>
      </c>
      <c r="FU147" s="27">
        <f t="shared" si="140"/>
        <v>0</v>
      </c>
      <c r="FV147" s="27">
        <f t="shared" si="140"/>
        <v>0</v>
      </c>
      <c r="FW147" s="28"/>
      <c r="FX147" s="29">
        <f t="shared" si="3"/>
        <v>0</v>
      </c>
    </row>
    <row r="148" spans="1:180" s="98" customFormat="1" ht="18" customHeight="1" x14ac:dyDescent="0.25">
      <c r="A148" s="87" t="str">
        <f>IF(C148&lt;&gt;"","DRG-"&amp;TEXT(142,"000"),"")</f>
        <v>DRG-142</v>
      </c>
      <c r="B148" s="99" t="s">
        <v>208</v>
      </c>
      <c r="C148" s="89" t="s">
        <v>208</v>
      </c>
      <c r="D148" s="89" t="s">
        <v>195</v>
      </c>
      <c r="E148" s="89" t="s">
        <v>165</v>
      </c>
      <c r="F148" s="89" t="s">
        <v>58</v>
      </c>
      <c r="G148" s="90"/>
      <c r="H148" s="90"/>
      <c r="I148" s="90"/>
      <c r="J148" s="90"/>
      <c r="K148" s="90"/>
      <c r="L148" s="90">
        <v>4</v>
      </c>
      <c r="M148" s="100" t="str">
        <f t="shared" si="0"/>
        <v>✘ Pending</v>
      </c>
      <c r="N148" s="100">
        <f t="shared" si="1"/>
        <v>0</v>
      </c>
      <c r="O148" s="101"/>
      <c r="P148" s="102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  <c r="AA148" s="103"/>
      <c r="AB148" s="101"/>
      <c r="AC148" s="102"/>
      <c r="AD148" s="103"/>
      <c r="AE148" s="103"/>
      <c r="AF148" s="103"/>
      <c r="AG148" s="103"/>
      <c r="AH148" s="103"/>
      <c r="AI148" s="103"/>
      <c r="AJ148" s="103"/>
      <c r="AK148" s="103"/>
      <c r="AL148" s="103"/>
      <c r="AM148" s="103"/>
      <c r="AN148" s="103"/>
      <c r="AO148" s="101"/>
      <c r="AP148" s="102"/>
      <c r="AQ148" s="103"/>
      <c r="AR148" s="103"/>
      <c r="AS148" s="103"/>
      <c r="AT148" s="103"/>
      <c r="AU148" s="103"/>
      <c r="AV148" s="103"/>
      <c r="AW148" s="103"/>
      <c r="AX148" s="103"/>
      <c r="AY148" s="103"/>
      <c r="AZ148" s="103"/>
      <c r="BA148" s="103"/>
      <c r="BB148" s="101"/>
      <c r="BC148" s="102"/>
      <c r="BD148" s="103"/>
      <c r="BE148" s="103"/>
      <c r="BF148" s="103"/>
      <c r="BG148" s="103"/>
      <c r="BH148" s="103"/>
      <c r="BI148" s="103"/>
      <c r="BJ148" s="103"/>
      <c r="BK148" s="103"/>
      <c r="BL148" s="103"/>
      <c r="BM148" s="103"/>
      <c r="BN148" s="103"/>
      <c r="BO148" s="101"/>
      <c r="BP148" s="102"/>
      <c r="BQ148" s="103"/>
      <c r="BR148" s="103"/>
      <c r="BS148" s="103"/>
      <c r="BT148" s="103"/>
      <c r="BU148" s="103"/>
      <c r="BV148" s="103"/>
      <c r="BW148" s="103"/>
      <c r="BX148" s="103"/>
      <c r="BY148" s="103"/>
      <c r="BZ148" s="103"/>
      <c r="CA148" s="103"/>
      <c r="CB148" s="101"/>
      <c r="CC148" s="102"/>
      <c r="CD148" s="103"/>
      <c r="CE148" s="103"/>
      <c r="CF148" s="103"/>
      <c r="CG148" s="103"/>
      <c r="CH148" s="103"/>
      <c r="CI148" s="103"/>
      <c r="CJ148" s="103"/>
      <c r="CK148" s="103"/>
      <c r="CL148" s="103"/>
      <c r="CM148" s="103"/>
      <c r="CN148" s="103"/>
      <c r="CO148" s="101"/>
      <c r="CP148" s="102"/>
      <c r="CQ148" s="103"/>
      <c r="CR148" s="103"/>
      <c r="CS148" s="103"/>
      <c r="CT148" s="103"/>
      <c r="CU148" s="103"/>
      <c r="CV148" s="103"/>
      <c r="CW148" s="103"/>
      <c r="CX148" s="103"/>
      <c r="CY148" s="103"/>
      <c r="CZ148" s="103"/>
      <c r="DA148" s="103"/>
      <c r="DB148" s="101"/>
      <c r="DC148" s="102"/>
      <c r="DD148" s="103"/>
      <c r="DE148" s="103"/>
      <c r="DF148" s="103"/>
      <c r="DG148" s="103"/>
      <c r="DH148" s="103"/>
      <c r="DI148" s="103"/>
      <c r="DJ148" s="103"/>
      <c r="DK148" s="103"/>
      <c r="DL148" s="103"/>
      <c r="DM148" s="103"/>
      <c r="DN148" s="103"/>
      <c r="DO148" s="101"/>
      <c r="DP148" s="102"/>
      <c r="DQ148" s="103"/>
      <c r="DR148" s="103"/>
      <c r="DS148" s="103"/>
      <c r="DT148" s="103"/>
      <c r="DU148" s="103"/>
      <c r="DV148" s="103"/>
      <c r="DW148" s="103"/>
      <c r="DX148" s="103"/>
      <c r="DY148" s="103"/>
      <c r="DZ148" s="103"/>
      <c r="EA148" s="103"/>
      <c r="EB148" s="101"/>
      <c r="EC148" s="102"/>
      <c r="ED148" s="103"/>
      <c r="EE148" s="103"/>
      <c r="EF148" s="103"/>
      <c r="EG148" s="103"/>
      <c r="EH148" s="103"/>
      <c r="EI148" s="103"/>
      <c r="EJ148" s="103"/>
      <c r="EK148" s="103"/>
      <c r="EL148" s="103"/>
      <c r="EM148" s="103"/>
      <c r="EN148" s="103"/>
      <c r="EO148" s="101"/>
      <c r="EP148" s="102"/>
      <c r="EQ148" s="103"/>
      <c r="ER148" s="103"/>
      <c r="ES148" s="103"/>
      <c r="ET148" s="103"/>
      <c r="EU148" s="103"/>
      <c r="EV148" s="103"/>
      <c r="EW148" s="103"/>
      <c r="EX148" s="103"/>
      <c r="EY148" s="103"/>
      <c r="EZ148" s="103"/>
      <c r="FA148" s="103"/>
      <c r="FB148" s="101"/>
      <c r="FC148" s="102"/>
      <c r="FD148" s="103"/>
      <c r="FE148" s="103"/>
      <c r="FF148" s="103"/>
      <c r="FG148" s="103"/>
      <c r="FH148" s="103"/>
      <c r="FI148" s="103"/>
      <c r="FJ148" s="103"/>
      <c r="FK148" s="103"/>
      <c r="FL148" s="103"/>
      <c r="FM148" s="103"/>
      <c r="FN148" s="103"/>
      <c r="FO148" s="104">
        <f t="shared" ref="FO148:FV148" si="141">IFERROR(R148*1,0)+IFERROR(AE148*1,0)+IFERROR(AR148*1,0)+IFERROR(BE148*1,0)+IFERROR(BR148*1,0)+IFERROR(CE148*1,0)+IFERROR(CR148*1,0)+IFERROR(DE148*1,0)+IFERROR(DR148*1,0)+IFERROR(EE148*1,0)+IFERROR(ER148*1,0)+IFERROR(FE148*1,0)</f>
        <v>0</v>
      </c>
      <c r="FP148" s="104">
        <f t="shared" si="141"/>
        <v>0</v>
      </c>
      <c r="FQ148" s="104">
        <f t="shared" si="141"/>
        <v>0</v>
      </c>
      <c r="FR148" s="104">
        <f t="shared" si="141"/>
        <v>0</v>
      </c>
      <c r="FS148" s="104">
        <f t="shared" si="141"/>
        <v>0</v>
      </c>
      <c r="FT148" s="104">
        <f t="shared" si="141"/>
        <v>0</v>
      </c>
      <c r="FU148" s="104">
        <f t="shared" si="141"/>
        <v>0</v>
      </c>
      <c r="FV148" s="104">
        <f t="shared" si="141"/>
        <v>0</v>
      </c>
      <c r="FW148" s="96"/>
      <c r="FX148" s="97">
        <f t="shared" si="3"/>
        <v>0</v>
      </c>
    </row>
    <row r="149" spans="1:180" ht="18" customHeight="1" x14ac:dyDescent="0.25">
      <c r="A149" s="3" t="str">
        <f>IF(C149&lt;&gt;"","DRG-"&amp;TEXT(143,"000"),"")</f>
        <v>DRG-143</v>
      </c>
      <c r="B149" s="19" t="s">
        <v>209</v>
      </c>
      <c r="C149" s="20" t="s">
        <v>209</v>
      </c>
      <c r="D149" s="20" t="s">
        <v>195</v>
      </c>
      <c r="E149" s="20" t="s">
        <v>196</v>
      </c>
      <c r="F149" s="20" t="s">
        <v>69</v>
      </c>
      <c r="G149" s="21"/>
      <c r="H149" s="21"/>
      <c r="I149" s="21"/>
      <c r="J149" s="21"/>
      <c r="K149" s="21"/>
      <c r="L149" s="21">
        <v>4</v>
      </c>
      <c r="M149" s="23" t="str">
        <f t="shared" si="0"/>
        <v>✘ Pending</v>
      </c>
      <c r="N149" s="23">
        <f t="shared" si="1"/>
        <v>0</v>
      </c>
      <c r="O149" s="25"/>
      <c r="P149" s="26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5"/>
      <c r="AC149" s="26"/>
      <c r="AD149" s="24"/>
      <c r="AE149" s="24"/>
      <c r="AF149" s="24"/>
      <c r="AG149" s="24"/>
      <c r="AH149" s="24"/>
      <c r="AI149" s="24"/>
      <c r="AJ149" s="24"/>
      <c r="AK149" s="24"/>
      <c r="AL149" s="24"/>
      <c r="AM149" s="24"/>
      <c r="AN149" s="24"/>
      <c r="AO149" s="25"/>
      <c r="AP149" s="26"/>
      <c r="AQ149" s="24"/>
      <c r="AR149" s="24"/>
      <c r="AS149" s="24"/>
      <c r="AT149" s="24"/>
      <c r="AU149" s="24"/>
      <c r="AV149" s="24"/>
      <c r="AW149" s="24"/>
      <c r="AX149" s="24"/>
      <c r="AY149" s="24"/>
      <c r="AZ149" s="24"/>
      <c r="BA149" s="24"/>
      <c r="BB149" s="25"/>
      <c r="BC149" s="26"/>
      <c r="BD149" s="24"/>
      <c r="BE149" s="24"/>
      <c r="BF149" s="24"/>
      <c r="BG149" s="24"/>
      <c r="BH149" s="24"/>
      <c r="BI149" s="24"/>
      <c r="BJ149" s="24"/>
      <c r="BK149" s="24"/>
      <c r="BL149" s="24"/>
      <c r="BM149" s="24"/>
      <c r="BN149" s="24"/>
      <c r="BO149" s="25"/>
      <c r="BP149" s="26"/>
      <c r="BQ149" s="24"/>
      <c r="BR149" s="24"/>
      <c r="BS149" s="24"/>
      <c r="BT149" s="24"/>
      <c r="BU149" s="24"/>
      <c r="BV149" s="24"/>
      <c r="BW149" s="24"/>
      <c r="BX149" s="24"/>
      <c r="BY149" s="24"/>
      <c r="BZ149" s="24"/>
      <c r="CA149" s="24"/>
      <c r="CB149" s="25"/>
      <c r="CC149" s="26"/>
      <c r="CD149" s="24"/>
      <c r="CE149" s="24"/>
      <c r="CF149" s="24"/>
      <c r="CG149" s="24"/>
      <c r="CH149" s="24"/>
      <c r="CI149" s="24"/>
      <c r="CJ149" s="24"/>
      <c r="CK149" s="24"/>
      <c r="CL149" s="24"/>
      <c r="CM149" s="24"/>
      <c r="CN149" s="24"/>
      <c r="CO149" s="25"/>
      <c r="CP149" s="26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5"/>
      <c r="DC149" s="26"/>
      <c r="DD149" s="24"/>
      <c r="DE149" s="24"/>
      <c r="DF149" s="24"/>
      <c r="DG149" s="24"/>
      <c r="DH149" s="24"/>
      <c r="DI149" s="24"/>
      <c r="DJ149" s="24"/>
      <c r="DK149" s="24"/>
      <c r="DL149" s="24"/>
      <c r="DM149" s="24"/>
      <c r="DN149" s="24"/>
      <c r="DO149" s="25"/>
      <c r="DP149" s="26"/>
      <c r="DQ149" s="24"/>
      <c r="DR149" s="24"/>
      <c r="DS149" s="24"/>
      <c r="DT149" s="24"/>
      <c r="DU149" s="24"/>
      <c r="DV149" s="24"/>
      <c r="DW149" s="24"/>
      <c r="DX149" s="24"/>
      <c r="DY149" s="24"/>
      <c r="DZ149" s="24"/>
      <c r="EA149" s="24"/>
      <c r="EB149" s="25"/>
      <c r="EC149" s="26"/>
      <c r="ED149" s="24"/>
      <c r="EE149" s="24"/>
      <c r="EF149" s="24"/>
      <c r="EG149" s="24"/>
      <c r="EH149" s="24"/>
      <c r="EI149" s="24"/>
      <c r="EJ149" s="24"/>
      <c r="EK149" s="24"/>
      <c r="EL149" s="24"/>
      <c r="EM149" s="24"/>
      <c r="EN149" s="24"/>
      <c r="EO149" s="25"/>
      <c r="EP149" s="26"/>
      <c r="EQ149" s="24"/>
      <c r="ER149" s="24"/>
      <c r="ES149" s="24"/>
      <c r="ET149" s="24"/>
      <c r="EU149" s="24"/>
      <c r="EV149" s="24"/>
      <c r="EW149" s="24"/>
      <c r="EX149" s="24"/>
      <c r="EY149" s="24"/>
      <c r="EZ149" s="24"/>
      <c r="FA149" s="24"/>
      <c r="FB149" s="25"/>
      <c r="FC149" s="26"/>
      <c r="FD149" s="24"/>
      <c r="FE149" s="24"/>
      <c r="FF149" s="24"/>
      <c r="FG149" s="24"/>
      <c r="FH149" s="24"/>
      <c r="FI149" s="24"/>
      <c r="FJ149" s="24"/>
      <c r="FK149" s="24"/>
      <c r="FL149" s="24"/>
      <c r="FM149" s="24"/>
      <c r="FN149" s="24"/>
      <c r="FO149" s="27">
        <f t="shared" ref="FO149:FV149" si="142">IFERROR(R149*1,0)+IFERROR(AE149*1,0)+IFERROR(AR149*1,0)+IFERROR(BE149*1,0)+IFERROR(BR149*1,0)+IFERROR(CE149*1,0)+IFERROR(CR149*1,0)+IFERROR(DE149*1,0)+IFERROR(DR149*1,0)+IFERROR(EE149*1,0)+IFERROR(ER149*1,0)+IFERROR(FE149*1,0)</f>
        <v>0</v>
      </c>
      <c r="FP149" s="27">
        <f t="shared" si="142"/>
        <v>0</v>
      </c>
      <c r="FQ149" s="27">
        <f t="shared" si="142"/>
        <v>0</v>
      </c>
      <c r="FR149" s="27">
        <f t="shared" si="142"/>
        <v>0</v>
      </c>
      <c r="FS149" s="27">
        <f t="shared" si="142"/>
        <v>0</v>
      </c>
      <c r="FT149" s="27">
        <f t="shared" si="142"/>
        <v>0</v>
      </c>
      <c r="FU149" s="27">
        <f t="shared" si="142"/>
        <v>0</v>
      </c>
      <c r="FV149" s="27">
        <f t="shared" si="142"/>
        <v>0</v>
      </c>
      <c r="FW149" s="28"/>
      <c r="FX149" s="29">
        <f t="shared" si="3"/>
        <v>0</v>
      </c>
    </row>
    <row r="150" spans="1:180" ht="18" customHeight="1" x14ac:dyDescent="0.25">
      <c r="A150" s="3" t="str">
        <f>IF(C150&lt;&gt;"","DRG-"&amp;TEXT(144,"000"),"")</f>
        <v>DRG-144</v>
      </c>
      <c r="B150" s="19" t="s">
        <v>210</v>
      </c>
      <c r="C150" s="20" t="s">
        <v>210</v>
      </c>
      <c r="D150" s="20" t="s">
        <v>195</v>
      </c>
      <c r="E150" s="20" t="s">
        <v>211</v>
      </c>
      <c r="F150" s="20" t="s">
        <v>89</v>
      </c>
      <c r="G150" s="21"/>
      <c r="H150" s="21"/>
      <c r="I150" s="21"/>
      <c r="J150" s="21"/>
      <c r="K150" s="21"/>
      <c r="L150" s="21">
        <v>4</v>
      </c>
      <c r="M150" s="30" t="str">
        <f t="shared" si="0"/>
        <v>✘ Pending</v>
      </c>
      <c r="N150" s="30">
        <f t="shared" si="1"/>
        <v>0</v>
      </c>
      <c r="O150" s="31"/>
      <c r="P150" s="32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1"/>
      <c r="AC150" s="32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1"/>
      <c r="AP150" s="32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1"/>
      <c r="BC150" s="32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1"/>
      <c r="BP150" s="32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1"/>
      <c r="CC150" s="32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1"/>
      <c r="CP150" s="32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1"/>
      <c r="DC150" s="32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1"/>
      <c r="DP150" s="32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1"/>
      <c r="EC150" s="32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1"/>
      <c r="EP150" s="32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1"/>
      <c r="FC150" s="32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4">
        <f t="shared" ref="FO150:FV150" si="143">IFERROR(R150*1,0)+IFERROR(AE150*1,0)+IFERROR(AR150*1,0)+IFERROR(BE150*1,0)+IFERROR(BR150*1,0)+IFERROR(CE150*1,0)+IFERROR(CR150*1,0)+IFERROR(DE150*1,0)+IFERROR(DR150*1,0)+IFERROR(EE150*1,0)+IFERROR(ER150*1,0)+IFERROR(FE150*1,0)</f>
        <v>0</v>
      </c>
      <c r="FP150" s="34">
        <f t="shared" si="143"/>
        <v>0</v>
      </c>
      <c r="FQ150" s="34">
        <f t="shared" si="143"/>
        <v>0</v>
      </c>
      <c r="FR150" s="34">
        <f t="shared" si="143"/>
        <v>0</v>
      </c>
      <c r="FS150" s="34">
        <f t="shared" si="143"/>
        <v>0</v>
      </c>
      <c r="FT150" s="34">
        <f t="shared" si="143"/>
        <v>0</v>
      </c>
      <c r="FU150" s="34">
        <f t="shared" si="143"/>
        <v>0</v>
      </c>
      <c r="FV150" s="34">
        <f t="shared" si="143"/>
        <v>0</v>
      </c>
      <c r="FW150" s="28"/>
      <c r="FX150" s="29">
        <f t="shared" si="3"/>
        <v>0</v>
      </c>
    </row>
    <row r="151" spans="1:180" ht="18" customHeight="1" x14ac:dyDescent="0.25">
      <c r="A151" s="3" t="str">
        <f>IF(C151&lt;&gt;"","DRG-"&amp;TEXT(145,"000"),"")</f>
        <v>DRG-145</v>
      </c>
      <c r="B151" s="19" t="s">
        <v>210</v>
      </c>
      <c r="C151" s="20" t="s">
        <v>210</v>
      </c>
      <c r="D151" s="20" t="s">
        <v>195</v>
      </c>
      <c r="E151" s="20" t="s">
        <v>211</v>
      </c>
      <c r="F151" s="20" t="s">
        <v>89</v>
      </c>
      <c r="G151" s="21"/>
      <c r="H151" s="21"/>
      <c r="I151" s="21"/>
      <c r="J151" s="21"/>
      <c r="K151" s="21"/>
      <c r="L151" s="21">
        <v>4</v>
      </c>
      <c r="M151" s="23" t="str">
        <f t="shared" si="0"/>
        <v>✘ Pending</v>
      </c>
      <c r="N151" s="23">
        <f t="shared" si="1"/>
        <v>0</v>
      </c>
      <c r="O151" s="25"/>
      <c r="P151" s="26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  <c r="AB151" s="25"/>
      <c r="AC151" s="26"/>
      <c r="AD151" s="24"/>
      <c r="AE151" s="24"/>
      <c r="AF151" s="24"/>
      <c r="AG151" s="24"/>
      <c r="AH151" s="24"/>
      <c r="AI151" s="24"/>
      <c r="AJ151" s="24"/>
      <c r="AK151" s="24"/>
      <c r="AL151" s="24"/>
      <c r="AM151" s="24"/>
      <c r="AN151" s="24"/>
      <c r="AO151" s="25"/>
      <c r="AP151" s="26"/>
      <c r="AQ151" s="24"/>
      <c r="AR151" s="24"/>
      <c r="AS151" s="24"/>
      <c r="AT151" s="24"/>
      <c r="AU151" s="24"/>
      <c r="AV151" s="24"/>
      <c r="AW151" s="24"/>
      <c r="AX151" s="24"/>
      <c r="AY151" s="24"/>
      <c r="AZ151" s="24"/>
      <c r="BA151" s="24"/>
      <c r="BB151" s="25"/>
      <c r="BC151" s="26"/>
      <c r="BD151" s="24"/>
      <c r="BE151" s="24"/>
      <c r="BF151" s="24"/>
      <c r="BG151" s="24"/>
      <c r="BH151" s="24"/>
      <c r="BI151" s="24"/>
      <c r="BJ151" s="24"/>
      <c r="BK151" s="24"/>
      <c r="BL151" s="24"/>
      <c r="BM151" s="24"/>
      <c r="BN151" s="24"/>
      <c r="BO151" s="25"/>
      <c r="BP151" s="26"/>
      <c r="BQ151" s="24"/>
      <c r="BR151" s="24"/>
      <c r="BS151" s="24"/>
      <c r="BT151" s="24"/>
      <c r="BU151" s="24"/>
      <c r="BV151" s="24"/>
      <c r="BW151" s="24"/>
      <c r="BX151" s="24"/>
      <c r="BY151" s="24"/>
      <c r="BZ151" s="24"/>
      <c r="CA151" s="24"/>
      <c r="CB151" s="25"/>
      <c r="CC151" s="26"/>
      <c r="CD151" s="24"/>
      <c r="CE151" s="24"/>
      <c r="CF151" s="24"/>
      <c r="CG151" s="24"/>
      <c r="CH151" s="24"/>
      <c r="CI151" s="24"/>
      <c r="CJ151" s="24"/>
      <c r="CK151" s="24"/>
      <c r="CL151" s="24"/>
      <c r="CM151" s="24"/>
      <c r="CN151" s="24"/>
      <c r="CO151" s="25"/>
      <c r="CP151" s="26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5"/>
      <c r="DC151" s="26"/>
      <c r="DD151" s="24"/>
      <c r="DE151" s="24"/>
      <c r="DF151" s="24"/>
      <c r="DG151" s="24"/>
      <c r="DH151" s="24"/>
      <c r="DI151" s="24"/>
      <c r="DJ151" s="24"/>
      <c r="DK151" s="24"/>
      <c r="DL151" s="24"/>
      <c r="DM151" s="24"/>
      <c r="DN151" s="24"/>
      <c r="DO151" s="25"/>
      <c r="DP151" s="26"/>
      <c r="DQ151" s="24"/>
      <c r="DR151" s="24"/>
      <c r="DS151" s="24"/>
      <c r="DT151" s="24"/>
      <c r="DU151" s="24"/>
      <c r="DV151" s="24"/>
      <c r="DW151" s="24"/>
      <c r="DX151" s="24"/>
      <c r="DY151" s="24"/>
      <c r="DZ151" s="24"/>
      <c r="EA151" s="24"/>
      <c r="EB151" s="25"/>
      <c r="EC151" s="26"/>
      <c r="ED151" s="24"/>
      <c r="EE151" s="24"/>
      <c r="EF151" s="24"/>
      <c r="EG151" s="24"/>
      <c r="EH151" s="24"/>
      <c r="EI151" s="24"/>
      <c r="EJ151" s="24"/>
      <c r="EK151" s="24"/>
      <c r="EL151" s="24"/>
      <c r="EM151" s="24"/>
      <c r="EN151" s="24"/>
      <c r="EO151" s="25"/>
      <c r="EP151" s="26"/>
      <c r="EQ151" s="24"/>
      <c r="ER151" s="24"/>
      <c r="ES151" s="24"/>
      <c r="ET151" s="24"/>
      <c r="EU151" s="24"/>
      <c r="EV151" s="24"/>
      <c r="EW151" s="24"/>
      <c r="EX151" s="24"/>
      <c r="EY151" s="24"/>
      <c r="EZ151" s="24"/>
      <c r="FA151" s="24"/>
      <c r="FB151" s="25"/>
      <c r="FC151" s="26"/>
      <c r="FD151" s="24"/>
      <c r="FE151" s="24"/>
      <c r="FF151" s="24"/>
      <c r="FG151" s="24"/>
      <c r="FH151" s="24"/>
      <c r="FI151" s="24"/>
      <c r="FJ151" s="24"/>
      <c r="FK151" s="24"/>
      <c r="FL151" s="24"/>
      <c r="FM151" s="24"/>
      <c r="FN151" s="24"/>
      <c r="FO151" s="27">
        <f t="shared" ref="FO151:FV151" si="144">IFERROR(R151*1,0)+IFERROR(AE151*1,0)+IFERROR(AR151*1,0)+IFERROR(BE151*1,0)+IFERROR(BR151*1,0)+IFERROR(CE151*1,0)+IFERROR(CR151*1,0)+IFERROR(DE151*1,0)+IFERROR(DR151*1,0)+IFERROR(EE151*1,0)+IFERROR(ER151*1,0)+IFERROR(FE151*1,0)</f>
        <v>0</v>
      </c>
      <c r="FP151" s="27">
        <f t="shared" si="144"/>
        <v>0</v>
      </c>
      <c r="FQ151" s="27">
        <f t="shared" si="144"/>
        <v>0</v>
      </c>
      <c r="FR151" s="27">
        <f t="shared" si="144"/>
        <v>0</v>
      </c>
      <c r="FS151" s="27">
        <f t="shared" si="144"/>
        <v>0</v>
      </c>
      <c r="FT151" s="27">
        <f t="shared" si="144"/>
        <v>0</v>
      </c>
      <c r="FU151" s="27">
        <f t="shared" si="144"/>
        <v>0</v>
      </c>
      <c r="FV151" s="27">
        <f t="shared" si="144"/>
        <v>0</v>
      </c>
      <c r="FW151" s="28"/>
      <c r="FX151" s="29">
        <f t="shared" si="3"/>
        <v>0</v>
      </c>
    </row>
    <row r="152" spans="1:180" ht="18" customHeight="1" x14ac:dyDescent="0.25">
      <c r="A152" s="3" t="str">
        <f>IF(C152&lt;&gt;"","DRG-"&amp;TEXT(147,"000"),"")</f>
        <v>DRG-147</v>
      </c>
      <c r="B152" s="19" t="s">
        <v>212</v>
      </c>
      <c r="C152" s="20" t="s">
        <v>212</v>
      </c>
      <c r="D152" s="20" t="s">
        <v>195</v>
      </c>
      <c r="E152" s="20" t="s">
        <v>150</v>
      </c>
      <c r="F152" s="20" t="s">
        <v>89</v>
      </c>
      <c r="G152" s="21"/>
      <c r="H152" s="21"/>
      <c r="I152" s="21"/>
      <c r="J152" s="21"/>
      <c r="K152" s="21"/>
      <c r="L152" s="21">
        <v>4</v>
      </c>
      <c r="M152" s="23" t="str">
        <f t="shared" si="0"/>
        <v>✘ Pending</v>
      </c>
      <c r="N152" s="23">
        <f t="shared" si="1"/>
        <v>0</v>
      </c>
      <c r="O152" s="25"/>
      <c r="P152" s="26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  <c r="AB152" s="25"/>
      <c r="AC152" s="26"/>
      <c r="AD152" s="24"/>
      <c r="AE152" s="24"/>
      <c r="AF152" s="24"/>
      <c r="AG152" s="24"/>
      <c r="AH152" s="24"/>
      <c r="AI152" s="24"/>
      <c r="AJ152" s="24"/>
      <c r="AK152" s="24"/>
      <c r="AL152" s="24"/>
      <c r="AM152" s="24"/>
      <c r="AN152" s="24"/>
      <c r="AO152" s="25"/>
      <c r="AP152" s="26"/>
      <c r="AQ152" s="24"/>
      <c r="AR152" s="24"/>
      <c r="AS152" s="24"/>
      <c r="AT152" s="24"/>
      <c r="AU152" s="24"/>
      <c r="AV152" s="24"/>
      <c r="AW152" s="24"/>
      <c r="AX152" s="24"/>
      <c r="AY152" s="24"/>
      <c r="AZ152" s="24"/>
      <c r="BA152" s="24"/>
      <c r="BB152" s="25"/>
      <c r="BC152" s="26"/>
      <c r="BD152" s="24"/>
      <c r="BE152" s="24"/>
      <c r="BF152" s="24"/>
      <c r="BG152" s="24"/>
      <c r="BH152" s="24"/>
      <c r="BI152" s="24"/>
      <c r="BJ152" s="24"/>
      <c r="BK152" s="24"/>
      <c r="BL152" s="24"/>
      <c r="BM152" s="24"/>
      <c r="BN152" s="24"/>
      <c r="BO152" s="25"/>
      <c r="BP152" s="26"/>
      <c r="BQ152" s="24"/>
      <c r="BR152" s="24"/>
      <c r="BS152" s="24"/>
      <c r="BT152" s="24"/>
      <c r="BU152" s="24"/>
      <c r="BV152" s="24"/>
      <c r="BW152" s="24"/>
      <c r="BX152" s="24"/>
      <c r="BY152" s="24"/>
      <c r="BZ152" s="24"/>
      <c r="CA152" s="24"/>
      <c r="CB152" s="25"/>
      <c r="CC152" s="26"/>
      <c r="CD152" s="24"/>
      <c r="CE152" s="24"/>
      <c r="CF152" s="24"/>
      <c r="CG152" s="24"/>
      <c r="CH152" s="24"/>
      <c r="CI152" s="24"/>
      <c r="CJ152" s="24"/>
      <c r="CK152" s="24"/>
      <c r="CL152" s="24"/>
      <c r="CM152" s="24"/>
      <c r="CN152" s="24"/>
      <c r="CO152" s="25"/>
      <c r="CP152" s="26"/>
      <c r="CQ152" s="24"/>
      <c r="CR152" s="24"/>
      <c r="CS152" s="24"/>
      <c r="CT152" s="24"/>
      <c r="CU152" s="24"/>
      <c r="CV152" s="24"/>
      <c r="CW152" s="24"/>
      <c r="CX152" s="24"/>
      <c r="CY152" s="24"/>
      <c r="CZ152" s="24"/>
      <c r="DA152" s="24"/>
      <c r="DB152" s="25"/>
      <c r="DC152" s="26"/>
      <c r="DD152" s="24"/>
      <c r="DE152" s="24"/>
      <c r="DF152" s="24"/>
      <c r="DG152" s="24"/>
      <c r="DH152" s="24"/>
      <c r="DI152" s="24"/>
      <c r="DJ152" s="24"/>
      <c r="DK152" s="24"/>
      <c r="DL152" s="24"/>
      <c r="DM152" s="24"/>
      <c r="DN152" s="24"/>
      <c r="DO152" s="25"/>
      <c r="DP152" s="26"/>
      <c r="DQ152" s="24"/>
      <c r="DR152" s="24"/>
      <c r="DS152" s="24"/>
      <c r="DT152" s="24"/>
      <c r="DU152" s="24"/>
      <c r="DV152" s="24"/>
      <c r="DW152" s="24"/>
      <c r="DX152" s="24"/>
      <c r="DY152" s="24"/>
      <c r="DZ152" s="24"/>
      <c r="EA152" s="24"/>
      <c r="EB152" s="25"/>
      <c r="EC152" s="26"/>
      <c r="ED152" s="24"/>
      <c r="EE152" s="24"/>
      <c r="EF152" s="24"/>
      <c r="EG152" s="24"/>
      <c r="EH152" s="24"/>
      <c r="EI152" s="24"/>
      <c r="EJ152" s="24"/>
      <c r="EK152" s="24"/>
      <c r="EL152" s="24"/>
      <c r="EM152" s="24"/>
      <c r="EN152" s="24"/>
      <c r="EO152" s="25"/>
      <c r="EP152" s="26"/>
      <c r="EQ152" s="24"/>
      <c r="ER152" s="24"/>
      <c r="ES152" s="24"/>
      <c r="ET152" s="24"/>
      <c r="EU152" s="24"/>
      <c r="EV152" s="24"/>
      <c r="EW152" s="24"/>
      <c r="EX152" s="24"/>
      <c r="EY152" s="24"/>
      <c r="EZ152" s="24"/>
      <c r="FA152" s="24"/>
      <c r="FB152" s="25"/>
      <c r="FC152" s="26"/>
      <c r="FD152" s="24"/>
      <c r="FE152" s="24"/>
      <c r="FF152" s="24"/>
      <c r="FG152" s="24"/>
      <c r="FH152" s="24"/>
      <c r="FI152" s="24"/>
      <c r="FJ152" s="24"/>
      <c r="FK152" s="24"/>
      <c r="FL152" s="24"/>
      <c r="FM152" s="24"/>
      <c r="FN152" s="24"/>
      <c r="FO152" s="27">
        <f t="shared" ref="FO152:FV152" si="145">IFERROR(R152*1,0)+IFERROR(AE152*1,0)+IFERROR(AR152*1,0)+IFERROR(BE152*1,0)+IFERROR(BR152*1,0)+IFERROR(CE152*1,0)+IFERROR(CR152*1,0)+IFERROR(DE152*1,0)+IFERROR(DR152*1,0)+IFERROR(EE152*1,0)+IFERROR(ER152*1,0)+IFERROR(FE152*1,0)</f>
        <v>0</v>
      </c>
      <c r="FP152" s="27">
        <f t="shared" si="145"/>
        <v>0</v>
      </c>
      <c r="FQ152" s="27">
        <f t="shared" si="145"/>
        <v>0</v>
      </c>
      <c r="FR152" s="27">
        <f t="shared" si="145"/>
        <v>0</v>
      </c>
      <c r="FS152" s="27">
        <f t="shared" si="145"/>
        <v>0</v>
      </c>
      <c r="FT152" s="27">
        <f t="shared" si="145"/>
        <v>0</v>
      </c>
      <c r="FU152" s="27">
        <f t="shared" si="145"/>
        <v>0</v>
      </c>
      <c r="FV152" s="27">
        <f t="shared" si="145"/>
        <v>0</v>
      </c>
      <c r="FW152" s="28"/>
      <c r="FX152" s="29">
        <f t="shared" si="3"/>
        <v>0</v>
      </c>
    </row>
    <row r="153" spans="1:180" ht="18" customHeight="1" x14ac:dyDescent="0.25">
      <c r="A153" s="3" t="str">
        <f>IF(C153&lt;&gt;"","DRG-"&amp;TEXT(148,"000"),"")</f>
        <v>DRG-148</v>
      </c>
      <c r="B153" s="19" t="s">
        <v>213</v>
      </c>
      <c r="C153" s="20" t="s">
        <v>213</v>
      </c>
      <c r="D153" s="20" t="s">
        <v>195</v>
      </c>
      <c r="E153" s="20" t="s">
        <v>150</v>
      </c>
      <c r="F153" s="20" t="s">
        <v>89</v>
      </c>
      <c r="G153" s="21"/>
      <c r="H153" s="21"/>
      <c r="I153" s="21"/>
      <c r="J153" s="21"/>
      <c r="K153" s="21"/>
      <c r="L153" s="21">
        <v>4</v>
      </c>
      <c r="M153" s="30" t="str">
        <f t="shared" si="0"/>
        <v>✘ Pending</v>
      </c>
      <c r="N153" s="30">
        <f t="shared" si="1"/>
        <v>0</v>
      </c>
      <c r="O153" s="31"/>
      <c r="P153" s="32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1"/>
      <c r="AC153" s="32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1"/>
      <c r="AP153" s="32"/>
      <c r="AQ153" s="33"/>
      <c r="AR153" s="33"/>
      <c r="AS153" s="33"/>
      <c r="AT153" s="33"/>
      <c r="AU153" s="33"/>
      <c r="AV153" s="33"/>
      <c r="AW153" s="33"/>
      <c r="AX153" s="33"/>
      <c r="AY153" s="33"/>
      <c r="AZ153" s="33"/>
      <c r="BA153" s="33"/>
      <c r="BB153" s="31"/>
      <c r="BC153" s="32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1"/>
      <c r="BP153" s="32"/>
      <c r="BQ153" s="33"/>
      <c r="BR153" s="33"/>
      <c r="BS153" s="33"/>
      <c r="BT153" s="33"/>
      <c r="BU153" s="33"/>
      <c r="BV153" s="33"/>
      <c r="BW153" s="33"/>
      <c r="BX153" s="33"/>
      <c r="BY153" s="33"/>
      <c r="BZ153" s="33"/>
      <c r="CA153" s="33"/>
      <c r="CB153" s="31"/>
      <c r="CC153" s="32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1"/>
      <c r="CP153" s="32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1"/>
      <c r="DC153" s="32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1"/>
      <c r="DP153" s="32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1"/>
      <c r="EC153" s="32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1"/>
      <c r="EP153" s="32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1"/>
      <c r="FC153" s="32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4">
        <f t="shared" ref="FO153:FV153" si="146">IFERROR(R153*1,0)+IFERROR(AE153*1,0)+IFERROR(AR153*1,0)+IFERROR(BE153*1,0)+IFERROR(BR153*1,0)+IFERROR(CE153*1,0)+IFERROR(CR153*1,0)+IFERROR(DE153*1,0)+IFERROR(DR153*1,0)+IFERROR(EE153*1,0)+IFERROR(ER153*1,0)+IFERROR(FE153*1,0)</f>
        <v>0</v>
      </c>
      <c r="FP153" s="34">
        <f t="shared" si="146"/>
        <v>0</v>
      </c>
      <c r="FQ153" s="34">
        <f t="shared" si="146"/>
        <v>0</v>
      </c>
      <c r="FR153" s="34">
        <f t="shared" si="146"/>
        <v>0</v>
      </c>
      <c r="FS153" s="34">
        <f t="shared" si="146"/>
        <v>0</v>
      </c>
      <c r="FT153" s="34">
        <f t="shared" si="146"/>
        <v>0</v>
      </c>
      <c r="FU153" s="34">
        <f t="shared" si="146"/>
        <v>0</v>
      </c>
      <c r="FV153" s="34">
        <f t="shared" si="146"/>
        <v>0</v>
      </c>
      <c r="FW153" s="28"/>
      <c r="FX153" s="29">
        <f t="shared" si="3"/>
        <v>0</v>
      </c>
    </row>
    <row r="154" spans="1:180" ht="18" customHeight="1" x14ac:dyDescent="0.25">
      <c r="A154" s="3" t="str">
        <f>IF(C154&lt;&gt;"","DRG-"&amp;TEXT(149,"000"),"")</f>
        <v>DRG-149</v>
      </c>
      <c r="B154" s="19" t="s">
        <v>55</v>
      </c>
      <c r="C154" s="20" t="s">
        <v>55</v>
      </c>
      <c r="D154" s="20" t="s">
        <v>195</v>
      </c>
      <c r="E154" s="20" t="s">
        <v>165</v>
      </c>
      <c r="F154" s="20" t="s">
        <v>58</v>
      </c>
      <c r="G154" s="21"/>
      <c r="H154" s="21"/>
      <c r="I154" s="21"/>
      <c r="J154" s="21"/>
      <c r="K154" s="21"/>
      <c r="L154" s="21">
        <v>4</v>
      </c>
      <c r="M154" s="23" t="str">
        <f t="shared" si="0"/>
        <v>✘ Pending</v>
      </c>
      <c r="N154" s="23">
        <f t="shared" si="1"/>
        <v>0</v>
      </c>
      <c r="O154" s="25"/>
      <c r="P154" s="26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  <c r="AB154" s="25"/>
      <c r="AC154" s="26"/>
      <c r="AD154" s="24"/>
      <c r="AE154" s="24"/>
      <c r="AF154" s="24"/>
      <c r="AG154" s="24"/>
      <c r="AH154" s="24"/>
      <c r="AI154" s="24"/>
      <c r="AJ154" s="24"/>
      <c r="AK154" s="24"/>
      <c r="AL154" s="24"/>
      <c r="AM154" s="24"/>
      <c r="AN154" s="24"/>
      <c r="AO154" s="25"/>
      <c r="AP154" s="26"/>
      <c r="AQ154" s="24"/>
      <c r="AR154" s="24"/>
      <c r="AS154" s="24"/>
      <c r="AT154" s="24"/>
      <c r="AU154" s="24"/>
      <c r="AV154" s="24"/>
      <c r="AW154" s="24"/>
      <c r="AX154" s="24"/>
      <c r="AY154" s="24"/>
      <c r="AZ154" s="24"/>
      <c r="BA154" s="24"/>
      <c r="BB154" s="25"/>
      <c r="BC154" s="26"/>
      <c r="BD154" s="24"/>
      <c r="BE154" s="24"/>
      <c r="BF154" s="24"/>
      <c r="BG154" s="24"/>
      <c r="BH154" s="24"/>
      <c r="BI154" s="24"/>
      <c r="BJ154" s="24"/>
      <c r="BK154" s="24"/>
      <c r="BL154" s="24"/>
      <c r="BM154" s="24"/>
      <c r="BN154" s="24"/>
      <c r="BO154" s="25"/>
      <c r="BP154" s="26"/>
      <c r="BQ154" s="24"/>
      <c r="BR154" s="24"/>
      <c r="BS154" s="24"/>
      <c r="BT154" s="24"/>
      <c r="BU154" s="24"/>
      <c r="BV154" s="24"/>
      <c r="BW154" s="24"/>
      <c r="BX154" s="24"/>
      <c r="BY154" s="24"/>
      <c r="BZ154" s="24"/>
      <c r="CA154" s="24"/>
      <c r="CB154" s="25"/>
      <c r="CC154" s="26"/>
      <c r="CD154" s="24"/>
      <c r="CE154" s="24"/>
      <c r="CF154" s="24"/>
      <c r="CG154" s="24"/>
      <c r="CH154" s="24"/>
      <c r="CI154" s="24"/>
      <c r="CJ154" s="24"/>
      <c r="CK154" s="24"/>
      <c r="CL154" s="24"/>
      <c r="CM154" s="24"/>
      <c r="CN154" s="24"/>
      <c r="CO154" s="25"/>
      <c r="CP154" s="26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5"/>
      <c r="DC154" s="26"/>
      <c r="DD154" s="24"/>
      <c r="DE154" s="24"/>
      <c r="DF154" s="24"/>
      <c r="DG154" s="24"/>
      <c r="DH154" s="24"/>
      <c r="DI154" s="24"/>
      <c r="DJ154" s="24"/>
      <c r="DK154" s="24"/>
      <c r="DL154" s="24"/>
      <c r="DM154" s="24"/>
      <c r="DN154" s="24"/>
      <c r="DO154" s="25"/>
      <c r="DP154" s="26"/>
      <c r="DQ154" s="24"/>
      <c r="DR154" s="24"/>
      <c r="DS154" s="24"/>
      <c r="DT154" s="24"/>
      <c r="DU154" s="24"/>
      <c r="DV154" s="24"/>
      <c r="DW154" s="24"/>
      <c r="DX154" s="24"/>
      <c r="DY154" s="24"/>
      <c r="DZ154" s="24"/>
      <c r="EA154" s="24"/>
      <c r="EB154" s="25"/>
      <c r="EC154" s="26"/>
      <c r="ED154" s="24"/>
      <c r="EE154" s="24"/>
      <c r="EF154" s="24"/>
      <c r="EG154" s="24"/>
      <c r="EH154" s="24"/>
      <c r="EI154" s="24"/>
      <c r="EJ154" s="24"/>
      <c r="EK154" s="24"/>
      <c r="EL154" s="24"/>
      <c r="EM154" s="24"/>
      <c r="EN154" s="24"/>
      <c r="EO154" s="25"/>
      <c r="EP154" s="26"/>
      <c r="EQ154" s="24"/>
      <c r="ER154" s="24"/>
      <c r="ES154" s="24"/>
      <c r="ET154" s="24"/>
      <c r="EU154" s="24"/>
      <c r="EV154" s="24"/>
      <c r="EW154" s="24"/>
      <c r="EX154" s="24"/>
      <c r="EY154" s="24"/>
      <c r="EZ154" s="24"/>
      <c r="FA154" s="24"/>
      <c r="FB154" s="25"/>
      <c r="FC154" s="26"/>
      <c r="FD154" s="24"/>
      <c r="FE154" s="24"/>
      <c r="FF154" s="24"/>
      <c r="FG154" s="24"/>
      <c r="FH154" s="24"/>
      <c r="FI154" s="24"/>
      <c r="FJ154" s="24"/>
      <c r="FK154" s="24"/>
      <c r="FL154" s="24"/>
      <c r="FM154" s="24"/>
      <c r="FN154" s="24"/>
      <c r="FO154" s="27">
        <f t="shared" ref="FO154:FV154" si="147">IFERROR(R154*1,0)+IFERROR(AE154*1,0)+IFERROR(AR154*1,0)+IFERROR(BE154*1,0)+IFERROR(BR154*1,0)+IFERROR(CE154*1,0)+IFERROR(CR154*1,0)+IFERROR(DE154*1,0)+IFERROR(DR154*1,0)+IFERROR(EE154*1,0)+IFERROR(ER154*1,0)+IFERROR(FE154*1,0)</f>
        <v>0</v>
      </c>
      <c r="FP154" s="27">
        <f t="shared" si="147"/>
        <v>0</v>
      </c>
      <c r="FQ154" s="27">
        <f t="shared" si="147"/>
        <v>0</v>
      </c>
      <c r="FR154" s="27">
        <f t="shared" si="147"/>
        <v>0</v>
      </c>
      <c r="FS154" s="27">
        <f t="shared" si="147"/>
        <v>0</v>
      </c>
      <c r="FT154" s="27">
        <f t="shared" si="147"/>
        <v>0</v>
      </c>
      <c r="FU154" s="27">
        <f t="shared" si="147"/>
        <v>0</v>
      </c>
      <c r="FV154" s="27">
        <f t="shared" si="147"/>
        <v>0</v>
      </c>
      <c r="FW154" s="28"/>
      <c r="FX154" s="29">
        <f t="shared" si="3"/>
        <v>0</v>
      </c>
    </row>
    <row r="155" spans="1:180" ht="18" customHeight="1" x14ac:dyDescent="0.25">
      <c r="A155" s="3" t="str">
        <f>IF(C155&lt;&gt;"","DRG-"&amp;TEXT(150,"000"),"")</f>
        <v>DRG-150</v>
      </c>
      <c r="B155" s="19" t="s">
        <v>55</v>
      </c>
      <c r="C155" s="20" t="s">
        <v>55</v>
      </c>
      <c r="D155" s="20" t="s">
        <v>321</v>
      </c>
      <c r="E155" s="20" t="s">
        <v>165</v>
      </c>
      <c r="F155" s="20" t="s">
        <v>58</v>
      </c>
      <c r="G155" s="21"/>
      <c r="H155" s="21"/>
      <c r="I155" s="21"/>
      <c r="J155" s="21"/>
      <c r="K155" s="21"/>
      <c r="L155" s="21">
        <v>4</v>
      </c>
      <c r="M155" s="30" t="str">
        <f t="shared" si="0"/>
        <v>✘ Pending</v>
      </c>
      <c r="N155" s="30">
        <f t="shared" si="1"/>
        <v>0</v>
      </c>
      <c r="O155" s="31"/>
      <c r="P155" s="32"/>
      <c r="Q155" s="33"/>
      <c r="R155" s="33"/>
      <c r="S155" s="33"/>
      <c r="T155" s="33"/>
      <c r="U155" s="33"/>
      <c r="V155" s="33"/>
      <c r="W155" s="33"/>
      <c r="X155" s="33"/>
      <c r="Y155" s="33"/>
      <c r="Z155" s="33"/>
      <c r="AA155" s="33"/>
      <c r="AB155" s="31"/>
      <c r="AC155" s="32"/>
      <c r="AD155" s="33"/>
      <c r="AE155" s="33"/>
      <c r="AF155" s="33"/>
      <c r="AG155" s="33"/>
      <c r="AH155" s="33"/>
      <c r="AI155" s="33"/>
      <c r="AJ155" s="33"/>
      <c r="AK155" s="33"/>
      <c r="AL155" s="33"/>
      <c r="AM155" s="33"/>
      <c r="AN155" s="33"/>
      <c r="AO155" s="31"/>
      <c r="AP155" s="32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1"/>
      <c r="BC155" s="32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1"/>
      <c r="BP155" s="32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1"/>
      <c r="CC155" s="32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1"/>
      <c r="CP155" s="32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1"/>
      <c r="DC155" s="32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1"/>
      <c r="DP155" s="32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1"/>
      <c r="EC155" s="32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1"/>
      <c r="EP155" s="32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1"/>
      <c r="FC155" s="32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4">
        <f t="shared" ref="FO155:FV155" si="148">IFERROR(R155*1,0)+IFERROR(AE155*1,0)+IFERROR(AR155*1,0)+IFERROR(BE155*1,0)+IFERROR(BR155*1,0)+IFERROR(CE155*1,0)+IFERROR(CR155*1,0)+IFERROR(DE155*1,0)+IFERROR(DR155*1,0)+IFERROR(EE155*1,0)+IFERROR(ER155*1,0)+IFERROR(FE155*1,0)</f>
        <v>0</v>
      </c>
      <c r="FP155" s="34">
        <f t="shared" si="148"/>
        <v>0</v>
      </c>
      <c r="FQ155" s="34">
        <f t="shared" si="148"/>
        <v>0</v>
      </c>
      <c r="FR155" s="34">
        <f t="shared" si="148"/>
        <v>0</v>
      </c>
      <c r="FS155" s="34">
        <f t="shared" si="148"/>
        <v>0</v>
      </c>
      <c r="FT155" s="34">
        <f t="shared" si="148"/>
        <v>0</v>
      </c>
      <c r="FU155" s="34">
        <f t="shared" si="148"/>
        <v>0</v>
      </c>
      <c r="FV155" s="34">
        <f t="shared" si="148"/>
        <v>0</v>
      </c>
      <c r="FW155" s="28"/>
      <c r="FX155" s="29">
        <f t="shared" si="3"/>
        <v>0</v>
      </c>
    </row>
    <row r="156" spans="1:180" ht="18" customHeight="1" x14ac:dyDescent="0.25">
      <c r="A156" s="3" t="str">
        <f>IF(C156&lt;&gt;"","DRG-"&amp;TEXT(151,"000"),"")</f>
        <v>DRG-151</v>
      </c>
      <c r="B156" s="19" t="s">
        <v>95</v>
      </c>
      <c r="C156" s="20" t="s">
        <v>95</v>
      </c>
      <c r="D156" s="20" t="s">
        <v>195</v>
      </c>
      <c r="E156" s="20" t="s">
        <v>196</v>
      </c>
      <c r="F156" s="20" t="s">
        <v>69</v>
      </c>
      <c r="G156" s="21"/>
      <c r="H156" s="21"/>
      <c r="I156" s="21"/>
      <c r="J156" s="21"/>
      <c r="K156" s="21"/>
      <c r="L156" s="21">
        <v>4</v>
      </c>
      <c r="M156" s="23" t="str">
        <f t="shared" si="0"/>
        <v>✘ Pending</v>
      </c>
      <c r="N156" s="23">
        <f t="shared" si="1"/>
        <v>0</v>
      </c>
      <c r="O156" s="25"/>
      <c r="P156" s="26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  <c r="AB156" s="25"/>
      <c r="AC156" s="26"/>
      <c r="AD156" s="24"/>
      <c r="AE156" s="24"/>
      <c r="AF156" s="24"/>
      <c r="AG156" s="24"/>
      <c r="AH156" s="24"/>
      <c r="AI156" s="24"/>
      <c r="AJ156" s="24"/>
      <c r="AK156" s="24"/>
      <c r="AL156" s="24"/>
      <c r="AM156" s="24"/>
      <c r="AN156" s="24"/>
      <c r="AO156" s="25"/>
      <c r="AP156" s="26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5"/>
      <c r="BC156" s="26"/>
      <c r="BD156" s="24"/>
      <c r="BE156" s="24"/>
      <c r="BF156" s="24"/>
      <c r="BG156" s="24"/>
      <c r="BH156" s="24"/>
      <c r="BI156" s="24"/>
      <c r="BJ156" s="24"/>
      <c r="BK156" s="24"/>
      <c r="BL156" s="24"/>
      <c r="BM156" s="24"/>
      <c r="BN156" s="24"/>
      <c r="BO156" s="25"/>
      <c r="BP156" s="26"/>
      <c r="BQ156" s="24"/>
      <c r="BR156" s="24"/>
      <c r="BS156" s="24"/>
      <c r="BT156" s="24"/>
      <c r="BU156" s="24"/>
      <c r="BV156" s="24"/>
      <c r="BW156" s="24"/>
      <c r="BX156" s="24"/>
      <c r="BY156" s="24"/>
      <c r="BZ156" s="24"/>
      <c r="CA156" s="24"/>
      <c r="CB156" s="25"/>
      <c r="CC156" s="26"/>
      <c r="CD156" s="24"/>
      <c r="CE156" s="24"/>
      <c r="CF156" s="24"/>
      <c r="CG156" s="24"/>
      <c r="CH156" s="24"/>
      <c r="CI156" s="24"/>
      <c r="CJ156" s="24"/>
      <c r="CK156" s="24"/>
      <c r="CL156" s="24"/>
      <c r="CM156" s="24"/>
      <c r="CN156" s="24"/>
      <c r="CO156" s="25"/>
      <c r="CP156" s="26"/>
      <c r="CQ156" s="24"/>
      <c r="CR156" s="24"/>
      <c r="CS156" s="24"/>
      <c r="CT156" s="24"/>
      <c r="CU156" s="24"/>
      <c r="CV156" s="24"/>
      <c r="CW156" s="24"/>
      <c r="CX156" s="24"/>
      <c r="CY156" s="24"/>
      <c r="CZ156" s="24"/>
      <c r="DA156" s="24"/>
      <c r="DB156" s="25"/>
      <c r="DC156" s="26"/>
      <c r="DD156" s="24"/>
      <c r="DE156" s="24"/>
      <c r="DF156" s="24"/>
      <c r="DG156" s="24"/>
      <c r="DH156" s="24"/>
      <c r="DI156" s="24"/>
      <c r="DJ156" s="24"/>
      <c r="DK156" s="24"/>
      <c r="DL156" s="24"/>
      <c r="DM156" s="24"/>
      <c r="DN156" s="24"/>
      <c r="DO156" s="25"/>
      <c r="DP156" s="26"/>
      <c r="DQ156" s="24"/>
      <c r="DR156" s="24"/>
      <c r="DS156" s="24"/>
      <c r="DT156" s="24"/>
      <c r="DU156" s="24"/>
      <c r="DV156" s="24"/>
      <c r="DW156" s="24"/>
      <c r="DX156" s="24"/>
      <c r="DY156" s="24"/>
      <c r="DZ156" s="24"/>
      <c r="EA156" s="24"/>
      <c r="EB156" s="25"/>
      <c r="EC156" s="26"/>
      <c r="ED156" s="24"/>
      <c r="EE156" s="24"/>
      <c r="EF156" s="24"/>
      <c r="EG156" s="24"/>
      <c r="EH156" s="24"/>
      <c r="EI156" s="24"/>
      <c r="EJ156" s="24"/>
      <c r="EK156" s="24"/>
      <c r="EL156" s="24"/>
      <c r="EM156" s="24"/>
      <c r="EN156" s="24"/>
      <c r="EO156" s="25"/>
      <c r="EP156" s="26"/>
      <c r="EQ156" s="24"/>
      <c r="ER156" s="24"/>
      <c r="ES156" s="24"/>
      <c r="ET156" s="24"/>
      <c r="EU156" s="24"/>
      <c r="EV156" s="24"/>
      <c r="EW156" s="24"/>
      <c r="EX156" s="24"/>
      <c r="EY156" s="24"/>
      <c r="EZ156" s="24"/>
      <c r="FA156" s="24"/>
      <c r="FB156" s="25"/>
      <c r="FC156" s="26"/>
      <c r="FD156" s="24"/>
      <c r="FE156" s="24"/>
      <c r="FF156" s="24"/>
      <c r="FG156" s="24"/>
      <c r="FH156" s="24"/>
      <c r="FI156" s="24"/>
      <c r="FJ156" s="24"/>
      <c r="FK156" s="24"/>
      <c r="FL156" s="24"/>
      <c r="FM156" s="24"/>
      <c r="FN156" s="24"/>
      <c r="FO156" s="27">
        <f t="shared" ref="FO156:FV156" si="149">IFERROR(R156*1,0)+IFERROR(AE156*1,0)+IFERROR(AR156*1,0)+IFERROR(BE156*1,0)+IFERROR(BR156*1,0)+IFERROR(CE156*1,0)+IFERROR(CR156*1,0)+IFERROR(DE156*1,0)+IFERROR(DR156*1,0)+IFERROR(EE156*1,0)+IFERROR(ER156*1,0)+IFERROR(FE156*1,0)</f>
        <v>0</v>
      </c>
      <c r="FP156" s="27">
        <f t="shared" si="149"/>
        <v>0</v>
      </c>
      <c r="FQ156" s="27">
        <f t="shared" si="149"/>
        <v>0</v>
      </c>
      <c r="FR156" s="27">
        <f t="shared" si="149"/>
        <v>0</v>
      </c>
      <c r="FS156" s="27">
        <f t="shared" si="149"/>
        <v>0</v>
      </c>
      <c r="FT156" s="27">
        <f t="shared" si="149"/>
        <v>0</v>
      </c>
      <c r="FU156" s="27">
        <f t="shared" si="149"/>
        <v>0</v>
      </c>
      <c r="FV156" s="27">
        <f t="shared" si="149"/>
        <v>0</v>
      </c>
      <c r="FW156" s="28"/>
      <c r="FX156" s="29">
        <f t="shared" si="3"/>
        <v>0</v>
      </c>
    </row>
    <row r="157" spans="1:180" ht="18" customHeight="1" x14ac:dyDescent="0.25">
      <c r="A157" s="3" t="str">
        <f>IF(C157&lt;&gt;"","DRG-"&amp;TEXT(152,"000"),"")</f>
        <v>DRG-152</v>
      </c>
      <c r="B157" s="19" t="s">
        <v>109</v>
      </c>
      <c r="C157" s="20" t="s">
        <v>109</v>
      </c>
      <c r="D157" s="20" t="s">
        <v>195</v>
      </c>
      <c r="E157" s="20" t="s">
        <v>196</v>
      </c>
      <c r="F157" s="20" t="s">
        <v>69</v>
      </c>
      <c r="G157" s="21"/>
      <c r="H157" s="21"/>
      <c r="I157" s="21"/>
      <c r="J157" s="21"/>
      <c r="K157" s="21"/>
      <c r="L157" s="21">
        <v>4</v>
      </c>
      <c r="M157" s="30" t="str">
        <f t="shared" si="0"/>
        <v>✘ Pending</v>
      </c>
      <c r="N157" s="30">
        <f t="shared" si="1"/>
        <v>0</v>
      </c>
      <c r="O157" s="31"/>
      <c r="P157" s="32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1"/>
      <c r="AC157" s="32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1"/>
      <c r="AP157" s="32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1"/>
      <c r="BC157" s="32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1"/>
      <c r="BP157" s="32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1"/>
      <c r="CC157" s="32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1"/>
      <c r="CP157" s="32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1"/>
      <c r="DC157" s="32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1"/>
      <c r="DP157" s="32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1"/>
      <c r="EC157" s="32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1"/>
      <c r="EP157" s="32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1"/>
      <c r="FC157" s="32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4">
        <f t="shared" ref="FO157:FV157" si="150">IFERROR(R157*1,0)+IFERROR(AE157*1,0)+IFERROR(AR157*1,0)+IFERROR(BE157*1,0)+IFERROR(BR157*1,0)+IFERROR(CE157*1,0)+IFERROR(CR157*1,0)+IFERROR(DE157*1,0)+IFERROR(DR157*1,0)+IFERROR(EE157*1,0)+IFERROR(ER157*1,0)+IFERROR(FE157*1,0)</f>
        <v>0</v>
      </c>
      <c r="FP157" s="34">
        <f t="shared" si="150"/>
        <v>0</v>
      </c>
      <c r="FQ157" s="34">
        <f t="shared" si="150"/>
        <v>0</v>
      </c>
      <c r="FR157" s="34">
        <f t="shared" si="150"/>
        <v>0</v>
      </c>
      <c r="FS157" s="34">
        <f t="shared" si="150"/>
        <v>0</v>
      </c>
      <c r="FT157" s="34">
        <f t="shared" si="150"/>
        <v>0</v>
      </c>
      <c r="FU157" s="34">
        <f t="shared" si="150"/>
        <v>0</v>
      </c>
      <c r="FV157" s="34">
        <f t="shared" si="150"/>
        <v>0</v>
      </c>
      <c r="FW157" s="28"/>
      <c r="FX157" s="29">
        <f t="shared" si="3"/>
        <v>0</v>
      </c>
    </row>
    <row r="158" spans="1:180" ht="18" customHeight="1" x14ac:dyDescent="0.25">
      <c r="A158" s="3" t="str">
        <f>IF(C158&lt;&gt;"","DRG-"&amp;TEXT(153,"000"),"")</f>
        <v>DRG-153</v>
      </c>
      <c r="B158" s="19" t="s">
        <v>113</v>
      </c>
      <c r="C158" s="20" t="s">
        <v>113</v>
      </c>
      <c r="D158" s="20" t="s">
        <v>195</v>
      </c>
      <c r="E158" s="20" t="s">
        <v>196</v>
      </c>
      <c r="F158" s="20" t="s">
        <v>69</v>
      </c>
      <c r="G158" s="21"/>
      <c r="H158" s="21"/>
      <c r="I158" s="21"/>
      <c r="J158" s="21"/>
      <c r="K158" s="21"/>
      <c r="L158" s="21">
        <v>4</v>
      </c>
      <c r="M158" s="23" t="str">
        <f t="shared" si="0"/>
        <v>✘ Pending</v>
      </c>
      <c r="N158" s="23">
        <f t="shared" si="1"/>
        <v>0</v>
      </c>
      <c r="O158" s="25"/>
      <c r="P158" s="26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  <c r="AB158" s="25"/>
      <c r="AC158" s="26"/>
      <c r="AD158" s="24"/>
      <c r="AE158" s="24"/>
      <c r="AF158" s="24"/>
      <c r="AG158" s="24"/>
      <c r="AH158" s="24"/>
      <c r="AI158" s="24"/>
      <c r="AJ158" s="24"/>
      <c r="AK158" s="24"/>
      <c r="AL158" s="24"/>
      <c r="AM158" s="24"/>
      <c r="AN158" s="24"/>
      <c r="AO158" s="25"/>
      <c r="AP158" s="26"/>
      <c r="AQ158" s="24"/>
      <c r="AR158" s="24"/>
      <c r="AS158" s="24"/>
      <c r="AT158" s="24"/>
      <c r="AU158" s="24"/>
      <c r="AV158" s="24"/>
      <c r="AW158" s="24"/>
      <c r="AX158" s="24"/>
      <c r="AY158" s="24"/>
      <c r="AZ158" s="24"/>
      <c r="BA158" s="24"/>
      <c r="BB158" s="25"/>
      <c r="BC158" s="26"/>
      <c r="BD158" s="24"/>
      <c r="BE158" s="24"/>
      <c r="BF158" s="24"/>
      <c r="BG158" s="24"/>
      <c r="BH158" s="24"/>
      <c r="BI158" s="24"/>
      <c r="BJ158" s="24"/>
      <c r="BK158" s="24"/>
      <c r="BL158" s="24"/>
      <c r="BM158" s="24"/>
      <c r="BN158" s="24"/>
      <c r="BO158" s="25"/>
      <c r="BP158" s="26"/>
      <c r="BQ158" s="24"/>
      <c r="BR158" s="24"/>
      <c r="BS158" s="24"/>
      <c r="BT158" s="24"/>
      <c r="BU158" s="24"/>
      <c r="BV158" s="24"/>
      <c r="BW158" s="24"/>
      <c r="BX158" s="24"/>
      <c r="BY158" s="24"/>
      <c r="BZ158" s="24"/>
      <c r="CA158" s="24"/>
      <c r="CB158" s="25"/>
      <c r="CC158" s="26"/>
      <c r="CD158" s="24"/>
      <c r="CE158" s="24"/>
      <c r="CF158" s="24"/>
      <c r="CG158" s="24"/>
      <c r="CH158" s="24"/>
      <c r="CI158" s="24"/>
      <c r="CJ158" s="24"/>
      <c r="CK158" s="24"/>
      <c r="CL158" s="24"/>
      <c r="CM158" s="24"/>
      <c r="CN158" s="24"/>
      <c r="CO158" s="25"/>
      <c r="CP158" s="26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5"/>
      <c r="DC158" s="26"/>
      <c r="DD158" s="24"/>
      <c r="DE158" s="24"/>
      <c r="DF158" s="24"/>
      <c r="DG158" s="24"/>
      <c r="DH158" s="24"/>
      <c r="DI158" s="24"/>
      <c r="DJ158" s="24"/>
      <c r="DK158" s="24"/>
      <c r="DL158" s="24"/>
      <c r="DM158" s="24"/>
      <c r="DN158" s="24"/>
      <c r="DO158" s="25"/>
      <c r="DP158" s="26"/>
      <c r="DQ158" s="24"/>
      <c r="DR158" s="24"/>
      <c r="DS158" s="24"/>
      <c r="DT158" s="24"/>
      <c r="DU158" s="24"/>
      <c r="DV158" s="24"/>
      <c r="DW158" s="24"/>
      <c r="DX158" s="24"/>
      <c r="DY158" s="24"/>
      <c r="DZ158" s="24"/>
      <c r="EA158" s="24"/>
      <c r="EB158" s="25"/>
      <c r="EC158" s="26"/>
      <c r="ED158" s="24"/>
      <c r="EE158" s="24"/>
      <c r="EF158" s="24"/>
      <c r="EG158" s="24"/>
      <c r="EH158" s="24"/>
      <c r="EI158" s="24"/>
      <c r="EJ158" s="24"/>
      <c r="EK158" s="24"/>
      <c r="EL158" s="24"/>
      <c r="EM158" s="24"/>
      <c r="EN158" s="24"/>
      <c r="EO158" s="25"/>
      <c r="EP158" s="26"/>
      <c r="EQ158" s="24"/>
      <c r="ER158" s="24"/>
      <c r="ES158" s="24"/>
      <c r="ET158" s="24"/>
      <c r="EU158" s="24"/>
      <c r="EV158" s="24"/>
      <c r="EW158" s="24"/>
      <c r="EX158" s="24"/>
      <c r="EY158" s="24"/>
      <c r="EZ158" s="24"/>
      <c r="FA158" s="24"/>
      <c r="FB158" s="25"/>
      <c r="FC158" s="26"/>
      <c r="FD158" s="24"/>
      <c r="FE158" s="24"/>
      <c r="FF158" s="24"/>
      <c r="FG158" s="24"/>
      <c r="FH158" s="24"/>
      <c r="FI158" s="24"/>
      <c r="FJ158" s="24"/>
      <c r="FK158" s="24"/>
      <c r="FL158" s="24"/>
      <c r="FM158" s="24"/>
      <c r="FN158" s="24"/>
      <c r="FO158" s="27">
        <f t="shared" ref="FO158:FV158" si="151">IFERROR(R158*1,0)+IFERROR(AE158*1,0)+IFERROR(AR158*1,0)+IFERROR(BE158*1,0)+IFERROR(BR158*1,0)+IFERROR(CE158*1,0)+IFERROR(CR158*1,0)+IFERROR(DE158*1,0)+IFERROR(DR158*1,0)+IFERROR(EE158*1,0)+IFERROR(ER158*1,0)+IFERROR(FE158*1,0)</f>
        <v>0</v>
      </c>
      <c r="FP158" s="27">
        <f t="shared" si="151"/>
        <v>0</v>
      </c>
      <c r="FQ158" s="27">
        <f t="shared" si="151"/>
        <v>0</v>
      </c>
      <c r="FR158" s="27">
        <f t="shared" si="151"/>
        <v>0</v>
      </c>
      <c r="FS158" s="27">
        <f t="shared" si="151"/>
        <v>0</v>
      </c>
      <c r="FT158" s="27">
        <f t="shared" si="151"/>
        <v>0</v>
      </c>
      <c r="FU158" s="27">
        <f t="shared" si="151"/>
        <v>0</v>
      </c>
      <c r="FV158" s="27">
        <f t="shared" si="151"/>
        <v>0</v>
      </c>
      <c r="FW158" s="28"/>
      <c r="FX158" s="29">
        <f t="shared" si="3"/>
        <v>0</v>
      </c>
    </row>
    <row r="159" spans="1:180" ht="18" customHeight="1" x14ac:dyDescent="0.25">
      <c r="A159" s="3" t="str">
        <f>IF(C159&lt;&gt;"","DRG-"&amp;TEXT(154,"000"),"")</f>
        <v>DRG-154</v>
      </c>
      <c r="B159" s="19" t="s">
        <v>140</v>
      </c>
      <c r="C159" s="20" t="s">
        <v>140</v>
      </c>
      <c r="D159" s="20" t="s">
        <v>195</v>
      </c>
      <c r="E159" s="20" t="s">
        <v>173</v>
      </c>
      <c r="F159" s="20" t="s">
        <v>69</v>
      </c>
      <c r="G159" s="21"/>
      <c r="H159" s="21"/>
      <c r="I159" s="21"/>
      <c r="J159" s="21"/>
      <c r="K159" s="21"/>
      <c r="L159" s="21">
        <v>4</v>
      </c>
      <c r="M159" s="30" t="str">
        <f t="shared" si="0"/>
        <v>✘ Pending</v>
      </c>
      <c r="N159" s="30">
        <f t="shared" si="1"/>
        <v>0</v>
      </c>
      <c r="O159" s="31"/>
      <c r="P159" s="32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1"/>
      <c r="AC159" s="32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1"/>
      <c r="AP159" s="32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1"/>
      <c r="BC159" s="32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1"/>
      <c r="BP159" s="32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1"/>
      <c r="CC159" s="32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1"/>
      <c r="CP159" s="32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1"/>
      <c r="DC159" s="32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1"/>
      <c r="DP159" s="32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1"/>
      <c r="EC159" s="32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1"/>
      <c r="EP159" s="32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1"/>
      <c r="FC159" s="32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4">
        <f t="shared" ref="FO159:FV159" si="152">IFERROR(R159*1,0)+IFERROR(AE159*1,0)+IFERROR(AR159*1,0)+IFERROR(BE159*1,0)+IFERROR(BR159*1,0)+IFERROR(CE159*1,0)+IFERROR(CR159*1,0)+IFERROR(DE159*1,0)+IFERROR(DR159*1,0)+IFERROR(EE159*1,0)+IFERROR(ER159*1,0)+IFERROR(FE159*1,0)</f>
        <v>0</v>
      </c>
      <c r="FP159" s="34">
        <f t="shared" si="152"/>
        <v>0</v>
      </c>
      <c r="FQ159" s="34">
        <f t="shared" si="152"/>
        <v>0</v>
      </c>
      <c r="FR159" s="34">
        <f t="shared" si="152"/>
        <v>0</v>
      </c>
      <c r="FS159" s="34">
        <f t="shared" si="152"/>
        <v>0</v>
      </c>
      <c r="FT159" s="34">
        <f t="shared" si="152"/>
        <v>0</v>
      </c>
      <c r="FU159" s="34">
        <f t="shared" si="152"/>
        <v>0</v>
      </c>
      <c r="FV159" s="34">
        <f t="shared" si="152"/>
        <v>0</v>
      </c>
      <c r="FW159" s="28"/>
      <c r="FX159" s="29">
        <f t="shared" si="3"/>
        <v>0</v>
      </c>
    </row>
    <row r="160" spans="1:180" ht="18" customHeight="1" x14ac:dyDescent="0.25">
      <c r="A160" s="3" t="str">
        <f>IF(C160&lt;&gt;"","DRG-"&amp;TEXT(155,"000"),"")</f>
        <v>DRG-155</v>
      </c>
      <c r="B160" s="19" t="s">
        <v>146</v>
      </c>
      <c r="C160" s="20" t="s">
        <v>146</v>
      </c>
      <c r="D160" s="20" t="s">
        <v>195</v>
      </c>
      <c r="E160" s="20" t="s">
        <v>196</v>
      </c>
      <c r="F160" s="20" t="s">
        <v>69</v>
      </c>
      <c r="G160" s="21"/>
      <c r="H160" s="21"/>
      <c r="I160" s="21"/>
      <c r="J160" s="21"/>
      <c r="K160" s="21"/>
      <c r="L160" s="21">
        <v>4</v>
      </c>
      <c r="M160" s="23" t="str">
        <f t="shared" si="0"/>
        <v>✘ Pending</v>
      </c>
      <c r="N160" s="23">
        <f t="shared" si="1"/>
        <v>0</v>
      </c>
      <c r="O160" s="25"/>
      <c r="P160" s="26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  <c r="AB160" s="25"/>
      <c r="AC160" s="26"/>
      <c r="AD160" s="24"/>
      <c r="AE160" s="24"/>
      <c r="AF160" s="24"/>
      <c r="AG160" s="24"/>
      <c r="AH160" s="24"/>
      <c r="AI160" s="24"/>
      <c r="AJ160" s="24"/>
      <c r="AK160" s="24"/>
      <c r="AL160" s="24"/>
      <c r="AM160" s="24"/>
      <c r="AN160" s="24"/>
      <c r="AO160" s="25"/>
      <c r="AP160" s="26"/>
      <c r="AQ160" s="24"/>
      <c r="AR160" s="24"/>
      <c r="AS160" s="24"/>
      <c r="AT160" s="24"/>
      <c r="AU160" s="24"/>
      <c r="AV160" s="24"/>
      <c r="AW160" s="24"/>
      <c r="AX160" s="24"/>
      <c r="AY160" s="24"/>
      <c r="AZ160" s="24"/>
      <c r="BA160" s="24"/>
      <c r="BB160" s="25"/>
      <c r="BC160" s="26"/>
      <c r="BD160" s="24"/>
      <c r="BE160" s="24"/>
      <c r="BF160" s="24"/>
      <c r="BG160" s="24"/>
      <c r="BH160" s="24"/>
      <c r="BI160" s="24"/>
      <c r="BJ160" s="24"/>
      <c r="BK160" s="24"/>
      <c r="BL160" s="24"/>
      <c r="BM160" s="24"/>
      <c r="BN160" s="24"/>
      <c r="BO160" s="25"/>
      <c r="BP160" s="26"/>
      <c r="BQ160" s="24"/>
      <c r="BR160" s="24"/>
      <c r="BS160" s="24"/>
      <c r="BT160" s="24"/>
      <c r="BU160" s="24"/>
      <c r="BV160" s="24"/>
      <c r="BW160" s="24"/>
      <c r="BX160" s="24"/>
      <c r="BY160" s="24"/>
      <c r="BZ160" s="24"/>
      <c r="CA160" s="24"/>
      <c r="CB160" s="25"/>
      <c r="CC160" s="26"/>
      <c r="CD160" s="24"/>
      <c r="CE160" s="24"/>
      <c r="CF160" s="24"/>
      <c r="CG160" s="24"/>
      <c r="CH160" s="24"/>
      <c r="CI160" s="24"/>
      <c r="CJ160" s="24"/>
      <c r="CK160" s="24"/>
      <c r="CL160" s="24"/>
      <c r="CM160" s="24"/>
      <c r="CN160" s="24"/>
      <c r="CO160" s="25"/>
      <c r="CP160" s="26"/>
      <c r="CQ160" s="24"/>
      <c r="CR160" s="24"/>
      <c r="CS160" s="24"/>
      <c r="CT160" s="24"/>
      <c r="CU160" s="24"/>
      <c r="CV160" s="24"/>
      <c r="CW160" s="24"/>
      <c r="CX160" s="24"/>
      <c r="CY160" s="24"/>
      <c r="CZ160" s="24"/>
      <c r="DA160" s="24"/>
      <c r="DB160" s="25"/>
      <c r="DC160" s="26"/>
      <c r="DD160" s="24"/>
      <c r="DE160" s="24"/>
      <c r="DF160" s="24"/>
      <c r="DG160" s="24"/>
      <c r="DH160" s="24"/>
      <c r="DI160" s="24"/>
      <c r="DJ160" s="24"/>
      <c r="DK160" s="24"/>
      <c r="DL160" s="24"/>
      <c r="DM160" s="24"/>
      <c r="DN160" s="24"/>
      <c r="DO160" s="25"/>
      <c r="DP160" s="26"/>
      <c r="DQ160" s="24"/>
      <c r="DR160" s="24"/>
      <c r="DS160" s="24"/>
      <c r="DT160" s="24"/>
      <c r="DU160" s="24"/>
      <c r="DV160" s="24"/>
      <c r="DW160" s="24"/>
      <c r="DX160" s="24"/>
      <c r="DY160" s="24"/>
      <c r="DZ160" s="24"/>
      <c r="EA160" s="24"/>
      <c r="EB160" s="25"/>
      <c r="EC160" s="26"/>
      <c r="ED160" s="24"/>
      <c r="EE160" s="24"/>
      <c r="EF160" s="24"/>
      <c r="EG160" s="24"/>
      <c r="EH160" s="24"/>
      <c r="EI160" s="24"/>
      <c r="EJ160" s="24"/>
      <c r="EK160" s="24"/>
      <c r="EL160" s="24"/>
      <c r="EM160" s="24"/>
      <c r="EN160" s="24"/>
      <c r="EO160" s="25"/>
      <c r="EP160" s="26"/>
      <c r="EQ160" s="24"/>
      <c r="ER160" s="24"/>
      <c r="ES160" s="24"/>
      <c r="ET160" s="24"/>
      <c r="EU160" s="24"/>
      <c r="EV160" s="24"/>
      <c r="EW160" s="24"/>
      <c r="EX160" s="24"/>
      <c r="EY160" s="24"/>
      <c r="EZ160" s="24"/>
      <c r="FA160" s="24"/>
      <c r="FB160" s="25"/>
      <c r="FC160" s="26"/>
      <c r="FD160" s="24"/>
      <c r="FE160" s="24"/>
      <c r="FF160" s="24"/>
      <c r="FG160" s="24"/>
      <c r="FH160" s="24"/>
      <c r="FI160" s="24"/>
      <c r="FJ160" s="24"/>
      <c r="FK160" s="24"/>
      <c r="FL160" s="24"/>
      <c r="FM160" s="24"/>
      <c r="FN160" s="24"/>
      <c r="FO160" s="27">
        <f t="shared" ref="FO160:FV160" si="153">IFERROR(R160*1,0)+IFERROR(AE160*1,0)+IFERROR(AR160*1,0)+IFERROR(BE160*1,0)+IFERROR(BR160*1,0)+IFERROR(CE160*1,0)+IFERROR(CR160*1,0)+IFERROR(DE160*1,0)+IFERROR(DR160*1,0)+IFERROR(EE160*1,0)+IFERROR(ER160*1,0)+IFERROR(FE160*1,0)</f>
        <v>0</v>
      </c>
      <c r="FP160" s="27">
        <f t="shared" si="153"/>
        <v>0</v>
      </c>
      <c r="FQ160" s="27">
        <f t="shared" si="153"/>
        <v>0</v>
      </c>
      <c r="FR160" s="27">
        <f t="shared" si="153"/>
        <v>0</v>
      </c>
      <c r="FS160" s="27">
        <f t="shared" si="153"/>
        <v>0</v>
      </c>
      <c r="FT160" s="27">
        <f t="shared" si="153"/>
        <v>0</v>
      </c>
      <c r="FU160" s="27">
        <f t="shared" si="153"/>
        <v>0</v>
      </c>
      <c r="FV160" s="27">
        <f t="shared" si="153"/>
        <v>0</v>
      </c>
      <c r="FW160" s="28"/>
      <c r="FX160" s="29">
        <f t="shared" si="3"/>
        <v>0</v>
      </c>
    </row>
    <row r="161" spans="1:180" ht="18" customHeight="1" x14ac:dyDescent="0.25">
      <c r="A161" s="3" t="str">
        <f>IF(C161&lt;&gt;"","DRG-"&amp;TEXT(156,"000"),"")</f>
        <v>DRG-156</v>
      </c>
      <c r="B161" s="19" t="s">
        <v>214</v>
      </c>
      <c r="C161" s="20" t="s">
        <v>214</v>
      </c>
      <c r="D161" s="20" t="s">
        <v>195</v>
      </c>
      <c r="E161" s="20" t="s">
        <v>165</v>
      </c>
      <c r="F161" s="20" t="s">
        <v>58</v>
      </c>
      <c r="G161" s="21"/>
      <c r="H161" s="21"/>
      <c r="I161" s="21"/>
      <c r="J161" s="21"/>
      <c r="K161" s="21"/>
      <c r="L161" s="21">
        <v>4</v>
      </c>
      <c r="M161" s="30" t="str">
        <f t="shared" si="0"/>
        <v>✘ Pending</v>
      </c>
      <c r="N161" s="30">
        <f t="shared" si="1"/>
        <v>0</v>
      </c>
      <c r="O161" s="31"/>
      <c r="P161" s="32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1"/>
      <c r="AC161" s="32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/>
      <c r="AN161" s="33"/>
      <c r="AO161" s="31"/>
      <c r="AP161" s="32"/>
      <c r="AQ161" s="33"/>
      <c r="AR161" s="33"/>
      <c r="AS161" s="33"/>
      <c r="AT161" s="33"/>
      <c r="AU161" s="33"/>
      <c r="AV161" s="33"/>
      <c r="AW161" s="33"/>
      <c r="AX161" s="33"/>
      <c r="AY161" s="33"/>
      <c r="AZ161" s="33"/>
      <c r="BA161" s="33"/>
      <c r="BB161" s="31"/>
      <c r="BC161" s="32"/>
      <c r="BD161" s="33"/>
      <c r="BE161" s="33"/>
      <c r="BF161" s="33"/>
      <c r="BG161" s="33"/>
      <c r="BH161" s="33"/>
      <c r="BI161" s="33"/>
      <c r="BJ161" s="33"/>
      <c r="BK161" s="33"/>
      <c r="BL161" s="33"/>
      <c r="BM161" s="33"/>
      <c r="BN161" s="33"/>
      <c r="BO161" s="31"/>
      <c r="BP161" s="32"/>
      <c r="BQ161" s="33"/>
      <c r="BR161" s="33"/>
      <c r="BS161" s="33"/>
      <c r="BT161" s="33"/>
      <c r="BU161" s="33"/>
      <c r="BV161" s="33"/>
      <c r="BW161" s="33"/>
      <c r="BX161" s="33"/>
      <c r="BY161" s="33"/>
      <c r="BZ161" s="33"/>
      <c r="CA161" s="33"/>
      <c r="CB161" s="31"/>
      <c r="CC161" s="32"/>
      <c r="CD161" s="33"/>
      <c r="CE161" s="33"/>
      <c r="CF161" s="33"/>
      <c r="CG161" s="33"/>
      <c r="CH161" s="33"/>
      <c r="CI161" s="33"/>
      <c r="CJ161" s="33"/>
      <c r="CK161" s="33"/>
      <c r="CL161" s="33"/>
      <c r="CM161" s="33"/>
      <c r="CN161" s="33"/>
      <c r="CO161" s="31"/>
      <c r="CP161" s="32"/>
      <c r="CQ161" s="33"/>
      <c r="CR161" s="33"/>
      <c r="CS161" s="33"/>
      <c r="CT161" s="33"/>
      <c r="CU161" s="33"/>
      <c r="CV161" s="33"/>
      <c r="CW161" s="33"/>
      <c r="CX161" s="33"/>
      <c r="CY161" s="33"/>
      <c r="CZ161" s="33"/>
      <c r="DA161" s="33"/>
      <c r="DB161" s="31"/>
      <c r="DC161" s="32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1"/>
      <c r="DP161" s="32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1"/>
      <c r="EC161" s="32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1"/>
      <c r="EP161" s="32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1"/>
      <c r="FC161" s="32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4">
        <f t="shared" ref="FO161:FV161" si="154">IFERROR(R161*1,0)+IFERROR(AE161*1,0)+IFERROR(AR161*1,0)+IFERROR(BE161*1,0)+IFERROR(BR161*1,0)+IFERROR(CE161*1,0)+IFERROR(CR161*1,0)+IFERROR(DE161*1,0)+IFERROR(DR161*1,0)+IFERROR(EE161*1,0)+IFERROR(ER161*1,0)+IFERROR(FE161*1,0)</f>
        <v>0</v>
      </c>
      <c r="FP161" s="34">
        <f t="shared" si="154"/>
        <v>0</v>
      </c>
      <c r="FQ161" s="34">
        <f t="shared" si="154"/>
        <v>0</v>
      </c>
      <c r="FR161" s="34">
        <f t="shared" si="154"/>
        <v>0</v>
      </c>
      <c r="FS161" s="34">
        <f t="shared" si="154"/>
        <v>0</v>
      </c>
      <c r="FT161" s="34">
        <f t="shared" si="154"/>
        <v>0</v>
      </c>
      <c r="FU161" s="34">
        <f t="shared" si="154"/>
        <v>0</v>
      </c>
      <c r="FV161" s="34">
        <f t="shared" si="154"/>
        <v>0</v>
      </c>
      <c r="FW161" s="28"/>
      <c r="FX161" s="29">
        <f t="shared" si="3"/>
        <v>0</v>
      </c>
    </row>
    <row r="162" spans="1:180" ht="18" customHeight="1" x14ac:dyDescent="0.25">
      <c r="A162" s="3" t="str">
        <f>IF(C162&lt;&gt;"","DRG-"&amp;TEXT(157,"000"),"")</f>
        <v>DRG-157</v>
      </c>
      <c r="B162" s="19" t="s">
        <v>215</v>
      </c>
      <c r="C162" s="20" t="s">
        <v>215</v>
      </c>
      <c r="D162" s="20" t="s">
        <v>195</v>
      </c>
      <c r="E162" s="20" t="s">
        <v>216</v>
      </c>
      <c r="F162" s="20" t="s">
        <v>78</v>
      </c>
      <c r="G162" s="21"/>
      <c r="H162" s="21"/>
      <c r="I162" s="21"/>
      <c r="J162" s="21"/>
      <c r="K162" s="21"/>
      <c r="L162" s="21">
        <v>4</v>
      </c>
      <c r="M162" s="23" t="str">
        <f t="shared" si="0"/>
        <v>✘ Pending</v>
      </c>
      <c r="N162" s="23">
        <f t="shared" si="1"/>
        <v>0</v>
      </c>
      <c r="O162" s="25"/>
      <c r="P162" s="26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  <c r="AB162" s="25"/>
      <c r="AC162" s="26"/>
      <c r="AD162" s="24"/>
      <c r="AE162" s="24"/>
      <c r="AF162" s="24"/>
      <c r="AG162" s="24"/>
      <c r="AH162" s="24"/>
      <c r="AI162" s="24"/>
      <c r="AJ162" s="24"/>
      <c r="AK162" s="24"/>
      <c r="AL162" s="24"/>
      <c r="AM162" s="24"/>
      <c r="AN162" s="24"/>
      <c r="AO162" s="25"/>
      <c r="AP162" s="26"/>
      <c r="AQ162" s="24"/>
      <c r="AR162" s="24"/>
      <c r="AS162" s="24"/>
      <c r="AT162" s="24"/>
      <c r="AU162" s="24"/>
      <c r="AV162" s="24"/>
      <c r="AW162" s="24"/>
      <c r="AX162" s="24"/>
      <c r="AY162" s="24"/>
      <c r="AZ162" s="24"/>
      <c r="BA162" s="24"/>
      <c r="BB162" s="25"/>
      <c r="BC162" s="26"/>
      <c r="BD162" s="24"/>
      <c r="BE162" s="24"/>
      <c r="BF162" s="24"/>
      <c r="BG162" s="24"/>
      <c r="BH162" s="24"/>
      <c r="BI162" s="24"/>
      <c r="BJ162" s="24"/>
      <c r="BK162" s="24"/>
      <c r="BL162" s="24"/>
      <c r="BM162" s="24"/>
      <c r="BN162" s="24"/>
      <c r="BO162" s="25"/>
      <c r="BP162" s="26"/>
      <c r="BQ162" s="24"/>
      <c r="BR162" s="24"/>
      <c r="BS162" s="24"/>
      <c r="BT162" s="24"/>
      <c r="BU162" s="24"/>
      <c r="BV162" s="24"/>
      <c r="BW162" s="24"/>
      <c r="BX162" s="24"/>
      <c r="BY162" s="24"/>
      <c r="BZ162" s="24"/>
      <c r="CA162" s="24"/>
      <c r="CB162" s="25"/>
      <c r="CC162" s="26"/>
      <c r="CD162" s="24"/>
      <c r="CE162" s="24"/>
      <c r="CF162" s="24"/>
      <c r="CG162" s="24"/>
      <c r="CH162" s="24"/>
      <c r="CI162" s="24"/>
      <c r="CJ162" s="24"/>
      <c r="CK162" s="24"/>
      <c r="CL162" s="24"/>
      <c r="CM162" s="24"/>
      <c r="CN162" s="24"/>
      <c r="CO162" s="25"/>
      <c r="CP162" s="26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5"/>
      <c r="DC162" s="26"/>
      <c r="DD162" s="24"/>
      <c r="DE162" s="24"/>
      <c r="DF162" s="24"/>
      <c r="DG162" s="24"/>
      <c r="DH162" s="24"/>
      <c r="DI162" s="24"/>
      <c r="DJ162" s="24"/>
      <c r="DK162" s="24"/>
      <c r="DL162" s="24"/>
      <c r="DM162" s="24"/>
      <c r="DN162" s="24"/>
      <c r="DO162" s="25"/>
      <c r="DP162" s="26"/>
      <c r="DQ162" s="24"/>
      <c r="DR162" s="24"/>
      <c r="DS162" s="24"/>
      <c r="DT162" s="24"/>
      <c r="DU162" s="24"/>
      <c r="DV162" s="24"/>
      <c r="DW162" s="24"/>
      <c r="DX162" s="24"/>
      <c r="DY162" s="24"/>
      <c r="DZ162" s="24"/>
      <c r="EA162" s="24"/>
      <c r="EB162" s="25"/>
      <c r="EC162" s="26"/>
      <c r="ED162" s="24"/>
      <c r="EE162" s="24"/>
      <c r="EF162" s="24"/>
      <c r="EG162" s="24"/>
      <c r="EH162" s="24"/>
      <c r="EI162" s="24"/>
      <c r="EJ162" s="24"/>
      <c r="EK162" s="24"/>
      <c r="EL162" s="24"/>
      <c r="EM162" s="24"/>
      <c r="EN162" s="24"/>
      <c r="EO162" s="25"/>
      <c r="EP162" s="26"/>
      <c r="EQ162" s="24"/>
      <c r="ER162" s="24"/>
      <c r="ES162" s="24"/>
      <c r="ET162" s="24"/>
      <c r="EU162" s="24"/>
      <c r="EV162" s="24"/>
      <c r="EW162" s="24"/>
      <c r="EX162" s="24"/>
      <c r="EY162" s="24"/>
      <c r="EZ162" s="24"/>
      <c r="FA162" s="24"/>
      <c r="FB162" s="25"/>
      <c r="FC162" s="26"/>
      <c r="FD162" s="24"/>
      <c r="FE162" s="24"/>
      <c r="FF162" s="24"/>
      <c r="FG162" s="24"/>
      <c r="FH162" s="24"/>
      <c r="FI162" s="24"/>
      <c r="FJ162" s="24"/>
      <c r="FK162" s="24"/>
      <c r="FL162" s="24"/>
      <c r="FM162" s="24"/>
      <c r="FN162" s="24"/>
      <c r="FO162" s="27">
        <f t="shared" ref="FO162:FV162" si="155">IFERROR(R162*1,0)+IFERROR(AE162*1,0)+IFERROR(AR162*1,0)+IFERROR(BE162*1,0)+IFERROR(BR162*1,0)+IFERROR(CE162*1,0)+IFERROR(CR162*1,0)+IFERROR(DE162*1,0)+IFERROR(DR162*1,0)+IFERROR(EE162*1,0)+IFERROR(ER162*1,0)+IFERROR(FE162*1,0)</f>
        <v>0</v>
      </c>
      <c r="FP162" s="27">
        <f t="shared" si="155"/>
        <v>0</v>
      </c>
      <c r="FQ162" s="27">
        <f t="shared" si="155"/>
        <v>0</v>
      </c>
      <c r="FR162" s="27">
        <f t="shared" si="155"/>
        <v>0</v>
      </c>
      <c r="FS162" s="27">
        <f t="shared" si="155"/>
        <v>0</v>
      </c>
      <c r="FT162" s="27">
        <f t="shared" si="155"/>
        <v>0</v>
      </c>
      <c r="FU162" s="27">
        <f t="shared" si="155"/>
        <v>0</v>
      </c>
      <c r="FV162" s="27">
        <f t="shared" si="155"/>
        <v>0</v>
      </c>
      <c r="FW162" s="28"/>
      <c r="FX162" s="29">
        <f t="shared" si="3"/>
        <v>0</v>
      </c>
    </row>
    <row r="163" spans="1:180" ht="18" customHeight="1" x14ac:dyDescent="0.25">
      <c r="A163" s="3" t="str">
        <f>IF(C163&lt;&gt;"","DRG-"&amp;TEXT(158,"000"),"")</f>
        <v>DRG-158</v>
      </c>
      <c r="B163" s="19" t="s">
        <v>217</v>
      </c>
      <c r="C163" s="20" t="s">
        <v>217</v>
      </c>
      <c r="D163" s="20" t="s">
        <v>195</v>
      </c>
      <c r="E163" s="20" t="s">
        <v>216</v>
      </c>
      <c r="F163" s="20" t="s">
        <v>78</v>
      </c>
      <c r="G163" s="21"/>
      <c r="H163" s="21"/>
      <c r="I163" s="21"/>
      <c r="J163" s="21"/>
      <c r="K163" s="21"/>
      <c r="L163" s="21">
        <v>4</v>
      </c>
      <c r="M163" s="30" t="str">
        <f t="shared" si="0"/>
        <v>✘ Pending</v>
      </c>
      <c r="N163" s="30">
        <f t="shared" si="1"/>
        <v>0</v>
      </c>
      <c r="O163" s="31"/>
      <c r="P163" s="32"/>
      <c r="Q163" s="33"/>
      <c r="R163" s="33"/>
      <c r="S163" s="33"/>
      <c r="T163" s="33"/>
      <c r="U163" s="33"/>
      <c r="V163" s="33"/>
      <c r="W163" s="33"/>
      <c r="X163" s="33"/>
      <c r="Y163" s="33"/>
      <c r="Z163" s="33"/>
      <c r="AA163" s="33"/>
      <c r="AB163" s="31"/>
      <c r="AC163" s="32"/>
      <c r="AD163" s="33"/>
      <c r="AE163" s="33"/>
      <c r="AF163" s="33"/>
      <c r="AG163" s="33"/>
      <c r="AH163" s="33"/>
      <c r="AI163" s="33"/>
      <c r="AJ163" s="33"/>
      <c r="AK163" s="33"/>
      <c r="AL163" s="33"/>
      <c r="AM163" s="33"/>
      <c r="AN163" s="33"/>
      <c r="AO163" s="31"/>
      <c r="AP163" s="32"/>
      <c r="AQ163" s="33"/>
      <c r="AR163" s="33"/>
      <c r="AS163" s="33"/>
      <c r="AT163" s="33"/>
      <c r="AU163" s="33"/>
      <c r="AV163" s="33"/>
      <c r="AW163" s="33"/>
      <c r="AX163" s="33"/>
      <c r="AY163" s="33"/>
      <c r="AZ163" s="33"/>
      <c r="BA163" s="33"/>
      <c r="BB163" s="31"/>
      <c r="BC163" s="32"/>
      <c r="BD163" s="33"/>
      <c r="BE163" s="33"/>
      <c r="BF163" s="33"/>
      <c r="BG163" s="33"/>
      <c r="BH163" s="33"/>
      <c r="BI163" s="33"/>
      <c r="BJ163" s="33"/>
      <c r="BK163" s="33"/>
      <c r="BL163" s="33"/>
      <c r="BM163" s="33"/>
      <c r="BN163" s="33"/>
      <c r="BO163" s="31"/>
      <c r="BP163" s="32"/>
      <c r="BQ163" s="33"/>
      <c r="BR163" s="33"/>
      <c r="BS163" s="33"/>
      <c r="BT163" s="33"/>
      <c r="BU163" s="33"/>
      <c r="BV163" s="33"/>
      <c r="BW163" s="33"/>
      <c r="BX163" s="33"/>
      <c r="BY163" s="33"/>
      <c r="BZ163" s="33"/>
      <c r="CA163" s="33"/>
      <c r="CB163" s="31"/>
      <c r="CC163" s="32"/>
      <c r="CD163" s="33"/>
      <c r="CE163" s="33"/>
      <c r="CF163" s="33"/>
      <c r="CG163" s="33"/>
      <c r="CH163" s="33"/>
      <c r="CI163" s="33"/>
      <c r="CJ163" s="33"/>
      <c r="CK163" s="33"/>
      <c r="CL163" s="33"/>
      <c r="CM163" s="33"/>
      <c r="CN163" s="33"/>
      <c r="CO163" s="31"/>
      <c r="CP163" s="32"/>
      <c r="CQ163" s="33"/>
      <c r="CR163" s="33"/>
      <c r="CS163" s="33"/>
      <c r="CT163" s="33"/>
      <c r="CU163" s="33"/>
      <c r="CV163" s="33"/>
      <c r="CW163" s="33"/>
      <c r="CX163" s="33"/>
      <c r="CY163" s="33"/>
      <c r="CZ163" s="33"/>
      <c r="DA163" s="33"/>
      <c r="DB163" s="31"/>
      <c r="DC163" s="32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1"/>
      <c r="DP163" s="32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1"/>
      <c r="EC163" s="32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1"/>
      <c r="EP163" s="32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1"/>
      <c r="FC163" s="32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4">
        <f t="shared" ref="FO163:FV163" si="156">IFERROR(R163*1,0)+IFERROR(AE163*1,0)+IFERROR(AR163*1,0)+IFERROR(BE163*1,0)+IFERROR(BR163*1,0)+IFERROR(CE163*1,0)+IFERROR(CR163*1,0)+IFERROR(DE163*1,0)+IFERROR(DR163*1,0)+IFERROR(EE163*1,0)+IFERROR(ER163*1,0)+IFERROR(FE163*1,0)</f>
        <v>0</v>
      </c>
      <c r="FP163" s="34">
        <f t="shared" si="156"/>
        <v>0</v>
      </c>
      <c r="FQ163" s="34">
        <f t="shared" si="156"/>
        <v>0</v>
      </c>
      <c r="FR163" s="34">
        <f t="shared" si="156"/>
        <v>0</v>
      </c>
      <c r="FS163" s="34">
        <f t="shared" si="156"/>
        <v>0</v>
      </c>
      <c r="FT163" s="34">
        <f t="shared" si="156"/>
        <v>0</v>
      </c>
      <c r="FU163" s="34">
        <f t="shared" si="156"/>
        <v>0</v>
      </c>
      <c r="FV163" s="34">
        <f t="shared" si="156"/>
        <v>0</v>
      </c>
      <c r="FW163" s="28"/>
      <c r="FX163" s="29">
        <f t="shared" si="3"/>
        <v>0</v>
      </c>
    </row>
    <row r="164" spans="1:180" ht="18" customHeight="1" x14ac:dyDescent="0.25">
      <c r="A164" s="3" t="str">
        <f>IF(C164&lt;&gt;"","DRG-"&amp;TEXT(159,"000"),"")</f>
        <v>DRG-159</v>
      </c>
      <c r="B164" s="19" t="s">
        <v>218</v>
      </c>
      <c r="C164" s="20" t="s">
        <v>218</v>
      </c>
      <c r="D164" s="20" t="s">
        <v>195</v>
      </c>
      <c r="E164" s="20" t="s">
        <v>196</v>
      </c>
      <c r="F164" s="20" t="s">
        <v>69</v>
      </c>
      <c r="G164" s="21"/>
      <c r="H164" s="21"/>
      <c r="I164" s="21"/>
      <c r="J164" s="21"/>
      <c r="K164" s="21"/>
      <c r="L164" s="21">
        <v>4</v>
      </c>
      <c r="M164" s="23" t="str">
        <f t="shared" si="0"/>
        <v>✘ Pending</v>
      </c>
      <c r="N164" s="23">
        <f t="shared" si="1"/>
        <v>0</v>
      </c>
      <c r="O164" s="25"/>
      <c r="P164" s="26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  <c r="AB164" s="25"/>
      <c r="AC164" s="26"/>
      <c r="AD164" s="24"/>
      <c r="AE164" s="24"/>
      <c r="AF164" s="24"/>
      <c r="AG164" s="24"/>
      <c r="AH164" s="24"/>
      <c r="AI164" s="24"/>
      <c r="AJ164" s="24"/>
      <c r="AK164" s="24"/>
      <c r="AL164" s="24"/>
      <c r="AM164" s="24"/>
      <c r="AN164" s="24"/>
      <c r="AO164" s="25"/>
      <c r="AP164" s="26"/>
      <c r="AQ164" s="24"/>
      <c r="AR164" s="24"/>
      <c r="AS164" s="24"/>
      <c r="AT164" s="24"/>
      <c r="AU164" s="24"/>
      <c r="AV164" s="24"/>
      <c r="AW164" s="24"/>
      <c r="AX164" s="24"/>
      <c r="AY164" s="24"/>
      <c r="AZ164" s="24"/>
      <c r="BA164" s="24"/>
      <c r="BB164" s="25"/>
      <c r="BC164" s="26"/>
      <c r="BD164" s="24"/>
      <c r="BE164" s="24"/>
      <c r="BF164" s="24"/>
      <c r="BG164" s="24"/>
      <c r="BH164" s="24"/>
      <c r="BI164" s="24"/>
      <c r="BJ164" s="24"/>
      <c r="BK164" s="24"/>
      <c r="BL164" s="24"/>
      <c r="BM164" s="24"/>
      <c r="BN164" s="24"/>
      <c r="BO164" s="25"/>
      <c r="BP164" s="26"/>
      <c r="BQ164" s="24"/>
      <c r="BR164" s="24"/>
      <c r="BS164" s="24"/>
      <c r="BT164" s="24"/>
      <c r="BU164" s="24"/>
      <c r="BV164" s="24"/>
      <c r="BW164" s="24"/>
      <c r="BX164" s="24"/>
      <c r="BY164" s="24"/>
      <c r="BZ164" s="24"/>
      <c r="CA164" s="24"/>
      <c r="CB164" s="25"/>
      <c r="CC164" s="26"/>
      <c r="CD164" s="24"/>
      <c r="CE164" s="24"/>
      <c r="CF164" s="24"/>
      <c r="CG164" s="24"/>
      <c r="CH164" s="24"/>
      <c r="CI164" s="24"/>
      <c r="CJ164" s="24"/>
      <c r="CK164" s="24"/>
      <c r="CL164" s="24"/>
      <c r="CM164" s="24"/>
      <c r="CN164" s="24"/>
      <c r="CO164" s="25"/>
      <c r="CP164" s="26"/>
      <c r="CQ164" s="24"/>
      <c r="CR164" s="24"/>
      <c r="CS164" s="24"/>
      <c r="CT164" s="24"/>
      <c r="CU164" s="24"/>
      <c r="CV164" s="24"/>
      <c r="CW164" s="24"/>
      <c r="CX164" s="24"/>
      <c r="CY164" s="24"/>
      <c r="CZ164" s="24"/>
      <c r="DA164" s="24"/>
      <c r="DB164" s="25"/>
      <c r="DC164" s="26"/>
      <c r="DD164" s="24"/>
      <c r="DE164" s="24"/>
      <c r="DF164" s="24"/>
      <c r="DG164" s="24"/>
      <c r="DH164" s="24"/>
      <c r="DI164" s="24"/>
      <c r="DJ164" s="24"/>
      <c r="DK164" s="24"/>
      <c r="DL164" s="24"/>
      <c r="DM164" s="24"/>
      <c r="DN164" s="24"/>
      <c r="DO164" s="25"/>
      <c r="DP164" s="26"/>
      <c r="DQ164" s="24"/>
      <c r="DR164" s="24"/>
      <c r="DS164" s="24"/>
      <c r="DT164" s="24"/>
      <c r="DU164" s="24"/>
      <c r="DV164" s="24"/>
      <c r="DW164" s="24"/>
      <c r="DX164" s="24"/>
      <c r="DY164" s="24"/>
      <c r="DZ164" s="24"/>
      <c r="EA164" s="24"/>
      <c r="EB164" s="25"/>
      <c r="EC164" s="26"/>
      <c r="ED164" s="24"/>
      <c r="EE164" s="24"/>
      <c r="EF164" s="24"/>
      <c r="EG164" s="24"/>
      <c r="EH164" s="24"/>
      <c r="EI164" s="24"/>
      <c r="EJ164" s="24"/>
      <c r="EK164" s="24"/>
      <c r="EL164" s="24"/>
      <c r="EM164" s="24"/>
      <c r="EN164" s="24"/>
      <c r="EO164" s="25"/>
      <c r="EP164" s="26"/>
      <c r="EQ164" s="24"/>
      <c r="ER164" s="24"/>
      <c r="ES164" s="24"/>
      <c r="ET164" s="24"/>
      <c r="EU164" s="24"/>
      <c r="EV164" s="24"/>
      <c r="EW164" s="24"/>
      <c r="EX164" s="24"/>
      <c r="EY164" s="24"/>
      <c r="EZ164" s="24"/>
      <c r="FA164" s="24"/>
      <c r="FB164" s="25"/>
      <c r="FC164" s="26"/>
      <c r="FD164" s="24"/>
      <c r="FE164" s="24"/>
      <c r="FF164" s="24"/>
      <c r="FG164" s="24"/>
      <c r="FH164" s="24"/>
      <c r="FI164" s="24"/>
      <c r="FJ164" s="24"/>
      <c r="FK164" s="24"/>
      <c r="FL164" s="24"/>
      <c r="FM164" s="24"/>
      <c r="FN164" s="24"/>
      <c r="FO164" s="27">
        <f t="shared" ref="FO164:FV164" si="157">IFERROR(R164*1,0)+IFERROR(AE164*1,0)+IFERROR(AR164*1,0)+IFERROR(BE164*1,0)+IFERROR(BR164*1,0)+IFERROR(CE164*1,0)+IFERROR(CR164*1,0)+IFERROR(DE164*1,0)+IFERROR(DR164*1,0)+IFERROR(EE164*1,0)+IFERROR(ER164*1,0)+IFERROR(FE164*1,0)</f>
        <v>0</v>
      </c>
      <c r="FP164" s="27">
        <f t="shared" si="157"/>
        <v>0</v>
      </c>
      <c r="FQ164" s="27">
        <f t="shared" si="157"/>
        <v>0</v>
      </c>
      <c r="FR164" s="27">
        <f t="shared" si="157"/>
        <v>0</v>
      </c>
      <c r="FS164" s="27">
        <f t="shared" si="157"/>
        <v>0</v>
      </c>
      <c r="FT164" s="27">
        <f t="shared" si="157"/>
        <v>0</v>
      </c>
      <c r="FU164" s="27">
        <f t="shared" si="157"/>
        <v>0</v>
      </c>
      <c r="FV164" s="27">
        <f t="shared" si="157"/>
        <v>0</v>
      </c>
      <c r="FW164" s="28"/>
      <c r="FX164" s="29">
        <f t="shared" si="3"/>
        <v>0</v>
      </c>
    </row>
    <row r="165" spans="1:180" ht="18" customHeight="1" x14ac:dyDescent="0.25">
      <c r="A165" s="3" t="str">
        <f>IF(C165&lt;&gt;"","DRG-"&amp;TEXT(160,"000"),"")</f>
        <v>DRG-160</v>
      </c>
      <c r="B165" s="19">
        <v>1980</v>
      </c>
      <c r="C165" s="20">
        <v>1980</v>
      </c>
      <c r="D165" s="20" t="s">
        <v>321</v>
      </c>
      <c r="E165" s="20" t="s">
        <v>196</v>
      </c>
      <c r="F165" s="20" t="s">
        <v>69</v>
      </c>
      <c r="G165" s="21"/>
      <c r="H165" s="21"/>
      <c r="I165" s="21"/>
      <c r="J165" s="21"/>
      <c r="K165" s="21"/>
      <c r="L165" s="21">
        <v>4</v>
      </c>
      <c r="M165" s="30" t="str">
        <f t="shared" si="0"/>
        <v>✘ Pending</v>
      </c>
      <c r="N165" s="30">
        <f t="shared" si="1"/>
        <v>0</v>
      </c>
      <c r="O165" s="31"/>
      <c r="P165" s="32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1"/>
      <c r="AC165" s="32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1"/>
      <c r="AP165" s="32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1"/>
      <c r="BC165" s="32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1"/>
      <c r="BP165" s="32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1"/>
      <c r="CC165" s="32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1"/>
      <c r="CP165" s="32"/>
      <c r="CQ165" s="33"/>
      <c r="CR165" s="33"/>
      <c r="CS165" s="33"/>
      <c r="CT165" s="33"/>
      <c r="CU165" s="33"/>
      <c r="CV165" s="33"/>
      <c r="CW165" s="33"/>
      <c r="CX165" s="33"/>
      <c r="CY165" s="33"/>
      <c r="CZ165" s="33"/>
      <c r="DA165" s="33"/>
      <c r="DB165" s="31"/>
      <c r="DC165" s="32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1"/>
      <c r="DP165" s="32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1"/>
      <c r="EC165" s="32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1"/>
      <c r="EP165" s="32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1"/>
      <c r="FC165" s="32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4">
        <f t="shared" ref="FO165:FV165" si="158">IFERROR(R165*1,0)+IFERROR(AE165*1,0)+IFERROR(AR165*1,0)+IFERROR(BE165*1,0)+IFERROR(BR165*1,0)+IFERROR(CE165*1,0)+IFERROR(CR165*1,0)+IFERROR(DE165*1,0)+IFERROR(DR165*1,0)+IFERROR(EE165*1,0)+IFERROR(ER165*1,0)+IFERROR(FE165*1,0)</f>
        <v>0</v>
      </c>
      <c r="FP165" s="34">
        <f t="shared" si="158"/>
        <v>0</v>
      </c>
      <c r="FQ165" s="34">
        <f t="shared" si="158"/>
        <v>0</v>
      </c>
      <c r="FR165" s="34">
        <f t="shared" si="158"/>
        <v>0</v>
      </c>
      <c r="FS165" s="34">
        <f t="shared" si="158"/>
        <v>0</v>
      </c>
      <c r="FT165" s="34">
        <f t="shared" si="158"/>
        <v>0</v>
      </c>
      <c r="FU165" s="34">
        <f t="shared" si="158"/>
        <v>0</v>
      </c>
      <c r="FV165" s="34">
        <f t="shared" si="158"/>
        <v>0</v>
      </c>
      <c r="FW165" s="28"/>
      <c r="FX165" s="29">
        <f t="shared" si="3"/>
        <v>0</v>
      </c>
    </row>
    <row r="166" spans="1:180" ht="18" customHeight="1" x14ac:dyDescent="0.25">
      <c r="A166" s="3" t="str">
        <f>IF(C166&lt;&gt;"","DRG-"&amp;TEXT(161,"000"),"")</f>
        <v>DRG-161</v>
      </c>
      <c r="B166" s="19" t="s">
        <v>219</v>
      </c>
      <c r="C166" s="20" t="s">
        <v>219</v>
      </c>
      <c r="D166" s="20" t="s">
        <v>195</v>
      </c>
      <c r="E166" s="20" t="s">
        <v>196</v>
      </c>
      <c r="F166" s="20" t="s">
        <v>69</v>
      </c>
      <c r="G166" s="21"/>
      <c r="H166" s="21"/>
      <c r="I166" s="21"/>
      <c r="J166" s="21"/>
      <c r="K166" s="21"/>
      <c r="L166" s="21">
        <v>4</v>
      </c>
      <c r="M166" s="23" t="str">
        <f t="shared" si="0"/>
        <v>✘ Pending</v>
      </c>
      <c r="N166" s="23">
        <f t="shared" si="1"/>
        <v>0</v>
      </c>
      <c r="O166" s="25"/>
      <c r="P166" s="26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5"/>
      <c r="AC166" s="26"/>
      <c r="AD166" s="24"/>
      <c r="AE166" s="24"/>
      <c r="AF166" s="24"/>
      <c r="AG166" s="24"/>
      <c r="AH166" s="24"/>
      <c r="AI166" s="24"/>
      <c r="AJ166" s="24"/>
      <c r="AK166" s="24"/>
      <c r="AL166" s="24"/>
      <c r="AM166" s="24"/>
      <c r="AN166" s="24"/>
      <c r="AO166" s="25"/>
      <c r="AP166" s="26"/>
      <c r="AQ166" s="24"/>
      <c r="AR166" s="24"/>
      <c r="AS166" s="24"/>
      <c r="AT166" s="24"/>
      <c r="AU166" s="24"/>
      <c r="AV166" s="24"/>
      <c r="AW166" s="24"/>
      <c r="AX166" s="24"/>
      <c r="AY166" s="24"/>
      <c r="AZ166" s="24"/>
      <c r="BA166" s="24"/>
      <c r="BB166" s="25"/>
      <c r="BC166" s="26"/>
      <c r="BD166" s="24"/>
      <c r="BE166" s="24"/>
      <c r="BF166" s="24"/>
      <c r="BG166" s="24"/>
      <c r="BH166" s="24"/>
      <c r="BI166" s="24"/>
      <c r="BJ166" s="24"/>
      <c r="BK166" s="24"/>
      <c r="BL166" s="24"/>
      <c r="BM166" s="24"/>
      <c r="BN166" s="24"/>
      <c r="BO166" s="25"/>
      <c r="BP166" s="26"/>
      <c r="BQ166" s="24"/>
      <c r="BR166" s="24"/>
      <c r="BS166" s="24"/>
      <c r="BT166" s="24"/>
      <c r="BU166" s="24"/>
      <c r="BV166" s="24"/>
      <c r="BW166" s="24"/>
      <c r="BX166" s="24"/>
      <c r="BY166" s="24"/>
      <c r="BZ166" s="24"/>
      <c r="CA166" s="24"/>
      <c r="CB166" s="25"/>
      <c r="CC166" s="26"/>
      <c r="CD166" s="24"/>
      <c r="CE166" s="24"/>
      <c r="CF166" s="24"/>
      <c r="CG166" s="24"/>
      <c r="CH166" s="24"/>
      <c r="CI166" s="24"/>
      <c r="CJ166" s="24"/>
      <c r="CK166" s="24"/>
      <c r="CL166" s="24"/>
      <c r="CM166" s="24"/>
      <c r="CN166" s="24"/>
      <c r="CO166" s="25"/>
      <c r="CP166" s="26"/>
      <c r="CQ166" s="24"/>
      <c r="CR166" s="24"/>
      <c r="CS166" s="24"/>
      <c r="CT166" s="24"/>
      <c r="CU166" s="24"/>
      <c r="CV166" s="24"/>
      <c r="CW166" s="24"/>
      <c r="CX166" s="24"/>
      <c r="CY166" s="24"/>
      <c r="CZ166" s="24"/>
      <c r="DA166" s="24"/>
      <c r="DB166" s="25"/>
      <c r="DC166" s="26"/>
      <c r="DD166" s="24"/>
      <c r="DE166" s="24"/>
      <c r="DF166" s="24"/>
      <c r="DG166" s="24"/>
      <c r="DH166" s="24"/>
      <c r="DI166" s="24"/>
      <c r="DJ166" s="24"/>
      <c r="DK166" s="24"/>
      <c r="DL166" s="24"/>
      <c r="DM166" s="24"/>
      <c r="DN166" s="24"/>
      <c r="DO166" s="25"/>
      <c r="DP166" s="26"/>
      <c r="DQ166" s="24"/>
      <c r="DR166" s="24"/>
      <c r="DS166" s="24"/>
      <c r="DT166" s="24"/>
      <c r="DU166" s="24"/>
      <c r="DV166" s="24"/>
      <c r="DW166" s="24"/>
      <c r="DX166" s="24"/>
      <c r="DY166" s="24"/>
      <c r="DZ166" s="24"/>
      <c r="EA166" s="24"/>
      <c r="EB166" s="25"/>
      <c r="EC166" s="26"/>
      <c r="ED166" s="24"/>
      <c r="EE166" s="24"/>
      <c r="EF166" s="24"/>
      <c r="EG166" s="24"/>
      <c r="EH166" s="24"/>
      <c r="EI166" s="24"/>
      <c r="EJ166" s="24"/>
      <c r="EK166" s="24"/>
      <c r="EL166" s="24"/>
      <c r="EM166" s="24"/>
      <c r="EN166" s="24"/>
      <c r="EO166" s="25"/>
      <c r="EP166" s="26"/>
      <c r="EQ166" s="24"/>
      <c r="ER166" s="24"/>
      <c r="ES166" s="24"/>
      <c r="ET166" s="24"/>
      <c r="EU166" s="24"/>
      <c r="EV166" s="24"/>
      <c r="EW166" s="24"/>
      <c r="EX166" s="24"/>
      <c r="EY166" s="24"/>
      <c r="EZ166" s="24"/>
      <c r="FA166" s="24"/>
      <c r="FB166" s="25"/>
      <c r="FC166" s="26"/>
      <c r="FD166" s="24"/>
      <c r="FE166" s="24"/>
      <c r="FF166" s="24"/>
      <c r="FG166" s="24"/>
      <c r="FH166" s="24"/>
      <c r="FI166" s="24"/>
      <c r="FJ166" s="24"/>
      <c r="FK166" s="24"/>
      <c r="FL166" s="24"/>
      <c r="FM166" s="24"/>
      <c r="FN166" s="24"/>
      <c r="FO166" s="27">
        <f t="shared" ref="FO166:FV166" si="159">IFERROR(R166*1,0)+IFERROR(AE166*1,0)+IFERROR(AR166*1,0)+IFERROR(BE166*1,0)+IFERROR(BR166*1,0)+IFERROR(CE166*1,0)+IFERROR(CR166*1,0)+IFERROR(DE166*1,0)+IFERROR(DR166*1,0)+IFERROR(EE166*1,0)+IFERROR(ER166*1,0)+IFERROR(FE166*1,0)</f>
        <v>0</v>
      </c>
      <c r="FP166" s="27">
        <f t="shared" si="159"/>
        <v>0</v>
      </c>
      <c r="FQ166" s="27">
        <f t="shared" si="159"/>
        <v>0</v>
      </c>
      <c r="FR166" s="27">
        <f t="shared" si="159"/>
        <v>0</v>
      </c>
      <c r="FS166" s="27">
        <f t="shared" si="159"/>
        <v>0</v>
      </c>
      <c r="FT166" s="27">
        <f t="shared" si="159"/>
        <v>0</v>
      </c>
      <c r="FU166" s="27">
        <f t="shared" si="159"/>
        <v>0</v>
      </c>
      <c r="FV166" s="27">
        <f t="shared" si="159"/>
        <v>0</v>
      </c>
      <c r="FW166" s="28"/>
      <c r="FX166" s="29">
        <f t="shared" si="3"/>
        <v>0</v>
      </c>
    </row>
    <row r="167" spans="1:180" ht="18" customHeight="1" x14ac:dyDescent="0.25">
      <c r="A167" s="3" t="str">
        <f>IF(C167&lt;&gt;"","DRG-"&amp;TEXT(162,"000"),"")</f>
        <v>DRG-162</v>
      </c>
      <c r="B167" s="19" t="s">
        <v>220</v>
      </c>
      <c r="C167" s="20" t="s">
        <v>220</v>
      </c>
      <c r="D167" s="20" t="s">
        <v>195</v>
      </c>
      <c r="E167" s="20" t="s">
        <v>221</v>
      </c>
      <c r="F167" s="20" t="s">
        <v>107</v>
      </c>
      <c r="G167" s="21"/>
      <c r="H167" s="21"/>
      <c r="I167" s="21"/>
      <c r="J167" s="21"/>
      <c r="K167" s="21"/>
      <c r="L167" s="21">
        <v>4</v>
      </c>
      <c r="M167" s="30" t="str">
        <f t="shared" si="0"/>
        <v>✘ Pending</v>
      </c>
      <c r="N167" s="30">
        <f t="shared" si="1"/>
        <v>0</v>
      </c>
      <c r="O167" s="31"/>
      <c r="P167" s="32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1"/>
      <c r="AC167" s="32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1"/>
      <c r="AP167" s="32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1"/>
      <c r="BC167" s="32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1"/>
      <c r="BP167" s="32"/>
      <c r="BQ167" s="33"/>
      <c r="BR167" s="33"/>
      <c r="BS167" s="33"/>
      <c r="BT167" s="33"/>
      <c r="BU167" s="33"/>
      <c r="BV167" s="33"/>
      <c r="BW167" s="33"/>
      <c r="BX167" s="33"/>
      <c r="BY167" s="33"/>
      <c r="BZ167" s="33"/>
      <c r="CA167" s="33"/>
      <c r="CB167" s="31"/>
      <c r="CC167" s="32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1"/>
      <c r="CP167" s="32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1"/>
      <c r="DC167" s="32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1"/>
      <c r="DP167" s="32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1"/>
      <c r="EC167" s="32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1"/>
      <c r="EP167" s="32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1"/>
      <c r="FC167" s="32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4">
        <f t="shared" ref="FO167:FV167" si="160">IFERROR(R167*1,0)+IFERROR(AE167*1,0)+IFERROR(AR167*1,0)+IFERROR(BE167*1,0)+IFERROR(BR167*1,0)+IFERROR(CE167*1,0)+IFERROR(CR167*1,0)+IFERROR(DE167*1,0)+IFERROR(DR167*1,0)+IFERROR(EE167*1,0)+IFERROR(ER167*1,0)+IFERROR(FE167*1,0)</f>
        <v>0</v>
      </c>
      <c r="FP167" s="34">
        <f t="shared" si="160"/>
        <v>0</v>
      </c>
      <c r="FQ167" s="34">
        <f t="shared" si="160"/>
        <v>0</v>
      </c>
      <c r="FR167" s="34">
        <f t="shared" si="160"/>
        <v>0</v>
      </c>
      <c r="FS167" s="34">
        <f t="shared" si="160"/>
        <v>0</v>
      </c>
      <c r="FT167" s="34">
        <f t="shared" si="160"/>
        <v>0</v>
      </c>
      <c r="FU167" s="34">
        <f t="shared" si="160"/>
        <v>0</v>
      </c>
      <c r="FV167" s="34">
        <f t="shared" si="160"/>
        <v>0</v>
      </c>
      <c r="FW167" s="28"/>
      <c r="FX167" s="29">
        <f t="shared" si="3"/>
        <v>0</v>
      </c>
    </row>
    <row r="168" spans="1:180" ht="18" customHeight="1" x14ac:dyDescent="0.25">
      <c r="A168" s="3" t="str">
        <f>IF(C168&lt;&gt;"","DRG-"&amp;TEXT(163,"000"),"")</f>
        <v>DRG-163</v>
      </c>
      <c r="B168" s="19" t="s">
        <v>222</v>
      </c>
      <c r="C168" s="20" t="s">
        <v>222</v>
      </c>
      <c r="D168" s="20" t="s">
        <v>319</v>
      </c>
      <c r="E168" s="20" t="s">
        <v>223</v>
      </c>
      <c r="F168" s="20" t="s">
        <v>224</v>
      </c>
      <c r="G168" s="21"/>
      <c r="H168" s="21"/>
      <c r="I168" s="21"/>
      <c r="J168" s="21"/>
      <c r="K168" s="21"/>
      <c r="L168" s="21">
        <v>4</v>
      </c>
      <c r="M168" s="23" t="str">
        <f t="shared" si="0"/>
        <v>✘ Pending</v>
      </c>
      <c r="N168" s="23">
        <f t="shared" si="1"/>
        <v>0</v>
      </c>
      <c r="O168" s="25"/>
      <c r="P168" s="26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  <c r="AB168" s="25"/>
      <c r="AC168" s="26"/>
      <c r="AD168" s="24"/>
      <c r="AE168" s="24"/>
      <c r="AF168" s="24"/>
      <c r="AG168" s="24"/>
      <c r="AH168" s="24"/>
      <c r="AI168" s="24"/>
      <c r="AJ168" s="24"/>
      <c r="AK168" s="24"/>
      <c r="AL168" s="24"/>
      <c r="AM168" s="24"/>
      <c r="AN168" s="24"/>
      <c r="AO168" s="25"/>
      <c r="AP168" s="26"/>
      <c r="AQ168" s="24"/>
      <c r="AR168" s="24"/>
      <c r="AS168" s="24"/>
      <c r="AT168" s="24"/>
      <c r="AU168" s="24"/>
      <c r="AV168" s="24"/>
      <c r="AW168" s="24"/>
      <c r="AX168" s="24"/>
      <c r="AY168" s="24"/>
      <c r="AZ168" s="24"/>
      <c r="BA168" s="24"/>
      <c r="BB168" s="25"/>
      <c r="BC168" s="26"/>
      <c r="BD168" s="24"/>
      <c r="BE168" s="24"/>
      <c r="BF168" s="24"/>
      <c r="BG168" s="24"/>
      <c r="BH168" s="24"/>
      <c r="BI168" s="24"/>
      <c r="BJ168" s="24"/>
      <c r="BK168" s="24"/>
      <c r="BL168" s="24"/>
      <c r="BM168" s="24"/>
      <c r="BN168" s="24"/>
      <c r="BO168" s="25"/>
      <c r="BP168" s="26"/>
      <c r="BQ168" s="24"/>
      <c r="BR168" s="24"/>
      <c r="BS168" s="24"/>
      <c r="BT168" s="24"/>
      <c r="BU168" s="24"/>
      <c r="BV168" s="24"/>
      <c r="BW168" s="24"/>
      <c r="BX168" s="24"/>
      <c r="BY168" s="24"/>
      <c r="BZ168" s="24"/>
      <c r="CA168" s="24"/>
      <c r="CB168" s="25"/>
      <c r="CC168" s="26"/>
      <c r="CD168" s="24"/>
      <c r="CE168" s="24"/>
      <c r="CF168" s="24"/>
      <c r="CG168" s="24"/>
      <c r="CH168" s="24"/>
      <c r="CI168" s="24"/>
      <c r="CJ168" s="24"/>
      <c r="CK168" s="24"/>
      <c r="CL168" s="24"/>
      <c r="CM168" s="24"/>
      <c r="CN168" s="24"/>
      <c r="CO168" s="25"/>
      <c r="CP168" s="26"/>
      <c r="CQ168" s="24"/>
      <c r="CR168" s="24"/>
      <c r="CS168" s="24"/>
      <c r="CT168" s="24"/>
      <c r="CU168" s="24"/>
      <c r="CV168" s="24"/>
      <c r="CW168" s="24"/>
      <c r="CX168" s="24"/>
      <c r="CY168" s="24"/>
      <c r="CZ168" s="24"/>
      <c r="DA168" s="24"/>
      <c r="DB168" s="25"/>
      <c r="DC168" s="26"/>
      <c r="DD168" s="24"/>
      <c r="DE168" s="24"/>
      <c r="DF168" s="24"/>
      <c r="DG168" s="24"/>
      <c r="DH168" s="24"/>
      <c r="DI168" s="24"/>
      <c r="DJ168" s="24"/>
      <c r="DK168" s="24"/>
      <c r="DL168" s="24"/>
      <c r="DM168" s="24"/>
      <c r="DN168" s="24"/>
      <c r="DO168" s="25"/>
      <c r="DP168" s="26"/>
      <c r="DQ168" s="24"/>
      <c r="DR168" s="24"/>
      <c r="DS168" s="24"/>
      <c r="DT168" s="24"/>
      <c r="DU168" s="24"/>
      <c r="DV168" s="24"/>
      <c r="DW168" s="24"/>
      <c r="DX168" s="24"/>
      <c r="DY168" s="24"/>
      <c r="DZ168" s="24"/>
      <c r="EA168" s="24"/>
      <c r="EB168" s="25"/>
      <c r="EC168" s="26"/>
      <c r="ED168" s="24"/>
      <c r="EE168" s="24"/>
      <c r="EF168" s="24"/>
      <c r="EG168" s="24"/>
      <c r="EH168" s="24"/>
      <c r="EI168" s="24"/>
      <c r="EJ168" s="24"/>
      <c r="EK168" s="24"/>
      <c r="EL168" s="24"/>
      <c r="EM168" s="24"/>
      <c r="EN168" s="24"/>
      <c r="EO168" s="25"/>
      <c r="EP168" s="26"/>
      <c r="EQ168" s="24"/>
      <c r="ER168" s="24"/>
      <c r="ES168" s="24"/>
      <c r="ET168" s="24"/>
      <c r="EU168" s="24"/>
      <c r="EV168" s="24"/>
      <c r="EW168" s="24"/>
      <c r="EX168" s="24"/>
      <c r="EY168" s="24"/>
      <c r="EZ168" s="24"/>
      <c r="FA168" s="24"/>
      <c r="FB168" s="25"/>
      <c r="FC168" s="26"/>
      <c r="FD168" s="24"/>
      <c r="FE168" s="24"/>
      <c r="FF168" s="24"/>
      <c r="FG168" s="24"/>
      <c r="FH168" s="24"/>
      <c r="FI168" s="24"/>
      <c r="FJ168" s="24"/>
      <c r="FK168" s="24"/>
      <c r="FL168" s="24"/>
      <c r="FM168" s="24"/>
      <c r="FN168" s="24"/>
      <c r="FO168" s="27">
        <f t="shared" ref="FO168:FV168" si="161">IFERROR(R168*1,0)+IFERROR(AE168*1,0)+IFERROR(AR168*1,0)+IFERROR(BE168*1,0)+IFERROR(BR168*1,0)+IFERROR(CE168*1,0)+IFERROR(CR168*1,0)+IFERROR(DE168*1,0)+IFERROR(DR168*1,0)+IFERROR(EE168*1,0)+IFERROR(ER168*1,0)+IFERROR(FE168*1,0)</f>
        <v>0</v>
      </c>
      <c r="FP168" s="27">
        <f t="shared" si="161"/>
        <v>0</v>
      </c>
      <c r="FQ168" s="27">
        <f t="shared" si="161"/>
        <v>0</v>
      </c>
      <c r="FR168" s="27">
        <f t="shared" si="161"/>
        <v>0</v>
      </c>
      <c r="FS168" s="27">
        <f t="shared" si="161"/>
        <v>0</v>
      </c>
      <c r="FT168" s="27">
        <f t="shared" si="161"/>
        <v>0</v>
      </c>
      <c r="FU168" s="27">
        <f t="shared" si="161"/>
        <v>0</v>
      </c>
      <c r="FV168" s="27">
        <f t="shared" si="161"/>
        <v>0</v>
      </c>
      <c r="FW168" s="28"/>
      <c r="FX168" s="29">
        <f t="shared" si="3"/>
        <v>0</v>
      </c>
    </row>
    <row r="169" spans="1:180" ht="18" customHeight="1" x14ac:dyDescent="0.25">
      <c r="A169" s="3" t="str">
        <f>IF(C169&lt;&gt;"","DRG-"&amp;TEXT(164,"000"),"")</f>
        <v>DRG-164</v>
      </c>
      <c r="B169" s="19" t="s">
        <v>222</v>
      </c>
      <c r="C169" s="20" t="s">
        <v>225</v>
      </c>
      <c r="D169" s="20" t="s">
        <v>319</v>
      </c>
      <c r="E169" s="20" t="s">
        <v>223</v>
      </c>
      <c r="F169" s="20" t="s">
        <v>224</v>
      </c>
      <c r="G169" s="21"/>
      <c r="H169" s="21"/>
      <c r="I169" s="21"/>
      <c r="J169" s="21"/>
      <c r="K169" s="21"/>
      <c r="L169" s="21">
        <v>4</v>
      </c>
      <c r="M169" s="30" t="str">
        <f t="shared" si="0"/>
        <v>✘ Pending</v>
      </c>
      <c r="N169" s="30">
        <f t="shared" si="1"/>
        <v>0</v>
      </c>
      <c r="O169" s="31"/>
      <c r="P169" s="32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1"/>
      <c r="AC169" s="32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1"/>
      <c r="AP169" s="32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1"/>
      <c r="BC169" s="32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1"/>
      <c r="BP169" s="32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1"/>
      <c r="CC169" s="32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1"/>
      <c r="CP169" s="32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1"/>
      <c r="DC169" s="32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1"/>
      <c r="DP169" s="32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1"/>
      <c r="EC169" s="32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1"/>
      <c r="EP169" s="32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1"/>
      <c r="FC169" s="32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4">
        <f t="shared" ref="FO169:FV169" si="162">IFERROR(R169*1,0)+IFERROR(AE169*1,0)+IFERROR(AR169*1,0)+IFERROR(BE169*1,0)+IFERROR(BR169*1,0)+IFERROR(CE169*1,0)+IFERROR(CR169*1,0)+IFERROR(DE169*1,0)+IFERROR(DR169*1,0)+IFERROR(EE169*1,0)+IFERROR(ER169*1,0)+IFERROR(FE169*1,0)</f>
        <v>0</v>
      </c>
      <c r="FP169" s="34">
        <f t="shared" si="162"/>
        <v>0</v>
      </c>
      <c r="FQ169" s="34">
        <f t="shared" si="162"/>
        <v>0</v>
      </c>
      <c r="FR169" s="34">
        <f t="shared" si="162"/>
        <v>0</v>
      </c>
      <c r="FS169" s="34">
        <f t="shared" si="162"/>
        <v>0</v>
      </c>
      <c r="FT169" s="34">
        <f t="shared" si="162"/>
        <v>0</v>
      </c>
      <c r="FU169" s="34">
        <f t="shared" si="162"/>
        <v>0</v>
      </c>
      <c r="FV169" s="34">
        <f t="shared" si="162"/>
        <v>0</v>
      </c>
      <c r="FW169" s="28"/>
      <c r="FX169" s="29">
        <f t="shared" si="3"/>
        <v>0</v>
      </c>
    </row>
    <row r="170" spans="1:180" ht="18" customHeight="1" x14ac:dyDescent="0.25">
      <c r="A170" s="3" t="str">
        <f>IF(C170&lt;&gt;"","DRG-"&amp;TEXT(165,"000"),"")</f>
        <v>DRG-165</v>
      </c>
      <c r="B170" s="19" t="s">
        <v>226</v>
      </c>
      <c r="C170" s="20" t="s">
        <v>226</v>
      </c>
      <c r="D170" s="20" t="s">
        <v>319</v>
      </c>
      <c r="E170" s="20" t="s">
        <v>223</v>
      </c>
      <c r="F170" s="20" t="s">
        <v>224</v>
      </c>
      <c r="G170" s="21"/>
      <c r="H170" s="21"/>
      <c r="I170" s="21"/>
      <c r="J170" s="21"/>
      <c r="K170" s="21"/>
      <c r="L170" s="21">
        <v>4</v>
      </c>
      <c r="M170" s="23" t="str">
        <f t="shared" si="0"/>
        <v>✘ Pending</v>
      </c>
      <c r="N170" s="23">
        <f t="shared" si="1"/>
        <v>0</v>
      </c>
      <c r="O170" s="25"/>
      <c r="P170" s="26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  <c r="AB170" s="25"/>
      <c r="AC170" s="26"/>
      <c r="AD170" s="24"/>
      <c r="AE170" s="24"/>
      <c r="AF170" s="24"/>
      <c r="AG170" s="24"/>
      <c r="AH170" s="24"/>
      <c r="AI170" s="24"/>
      <c r="AJ170" s="24"/>
      <c r="AK170" s="24"/>
      <c r="AL170" s="24"/>
      <c r="AM170" s="24"/>
      <c r="AN170" s="24"/>
      <c r="AO170" s="25"/>
      <c r="AP170" s="26"/>
      <c r="AQ170" s="24"/>
      <c r="AR170" s="24"/>
      <c r="AS170" s="24"/>
      <c r="AT170" s="24"/>
      <c r="AU170" s="24"/>
      <c r="AV170" s="24"/>
      <c r="AW170" s="24"/>
      <c r="AX170" s="24"/>
      <c r="AY170" s="24"/>
      <c r="AZ170" s="24"/>
      <c r="BA170" s="24"/>
      <c r="BB170" s="25"/>
      <c r="BC170" s="26"/>
      <c r="BD170" s="24"/>
      <c r="BE170" s="24"/>
      <c r="BF170" s="24"/>
      <c r="BG170" s="24"/>
      <c r="BH170" s="24"/>
      <c r="BI170" s="24"/>
      <c r="BJ170" s="24"/>
      <c r="BK170" s="24"/>
      <c r="BL170" s="24"/>
      <c r="BM170" s="24"/>
      <c r="BN170" s="24"/>
      <c r="BO170" s="25"/>
      <c r="BP170" s="26"/>
      <c r="BQ170" s="24"/>
      <c r="BR170" s="24"/>
      <c r="BS170" s="24"/>
      <c r="BT170" s="24"/>
      <c r="BU170" s="24"/>
      <c r="BV170" s="24"/>
      <c r="BW170" s="24"/>
      <c r="BX170" s="24"/>
      <c r="BY170" s="24"/>
      <c r="BZ170" s="24"/>
      <c r="CA170" s="24"/>
      <c r="CB170" s="25"/>
      <c r="CC170" s="26"/>
      <c r="CD170" s="24"/>
      <c r="CE170" s="24"/>
      <c r="CF170" s="24"/>
      <c r="CG170" s="24"/>
      <c r="CH170" s="24"/>
      <c r="CI170" s="24"/>
      <c r="CJ170" s="24"/>
      <c r="CK170" s="24"/>
      <c r="CL170" s="24"/>
      <c r="CM170" s="24"/>
      <c r="CN170" s="24"/>
      <c r="CO170" s="25"/>
      <c r="CP170" s="26"/>
      <c r="CQ170" s="24"/>
      <c r="CR170" s="24"/>
      <c r="CS170" s="24"/>
      <c r="CT170" s="24"/>
      <c r="CU170" s="24"/>
      <c r="CV170" s="24"/>
      <c r="CW170" s="24"/>
      <c r="CX170" s="24"/>
      <c r="CY170" s="24"/>
      <c r="CZ170" s="24"/>
      <c r="DA170" s="24"/>
      <c r="DB170" s="25"/>
      <c r="DC170" s="26"/>
      <c r="DD170" s="24"/>
      <c r="DE170" s="24"/>
      <c r="DF170" s="24"/>
      <c r="DG170" s="24"/>
      <c r="DH170" s="24"/>
      <c r="DI170" s="24"/>
      <c r="DJ170" s="24"/>
      <c r="DK170" s="24"/>
      <c r="DL170" s="24"/>
      <c r="DM170" s="24"/>
      <c r="DN170" s="24"/>
      <c r="DO170" s="25"/>
      <c r="DP170" s="26"/>
      <c r="DQ170" s="24"/>
      <c r="DR170" s="24"/>
      <c r="DS170" s="24"/>
      <c r="DT170" s="24"/>
      <c r="DU170" s="24"/>
      <c r="DV170" s="24"/>
      <c r="DW170" s="24"/>
      <c r="DX170" s="24"/>
      <c r="DY170" s="24"/>
      <c r="DZ170" s="24"/>
      <c r="EA170" s="24"/>
      <c r="EB170" s="25"/>
      <c r="EC170" s="26"/>
      <c r="ED170" s="24"/>
      <c r="EE170" s="24"/>
      <c r="EF170" s="24"/>
      <c r="EG170" s="24"/>
      <c r="EH170" s="24"/>
      <c r="EI170" s="24"/>
      <c r="EJ170" s="24"/>
      <c r="EK170" s="24"/>
      <c r="EL170" s="24"/>
      <c r="EM170" s="24"/>
      <c r="EN170" s="24"/>
      <c r="EO170" s="25"/>
      <c r="EP170" s="26"/>
      <c r="EQ170" s="24"/>
      <c r="ER170" s="24"/>
      <c r="ES170" s="24"/>
      <c r="ET170" s="24"/>
      <c r="EU170" s="24"/>
      <c r="EV170" s="24"/>
      <c r="EW170" s="24"/>
      <c r="EX170" s="24"/>
      <c r="EY170" s="24"/>
      <c r="EZ170" s="24"/>
      <c r="FA170" s="24"/>
      <c r="FB170" s="25"/>
      <c r="FC170" s="26"/>
      <c r="FD170" s="24"/>
      <c r="FE170" s="24"/>
      <c r="FF170" s="24"/>
      <c r="FG170" s="24"/>
      <c r="FH170" s="24"/>
      <c r="FI170" s="24"/>
      <c r="FJ170" s="24"/>
      <c r="FK170" s="24"/>
      <c r="FL170" s="24"/>
      <c r="FM170" s="24"/>
      <c r="FN170" s="24"/>
      <c r="FO170" s="27">
        <f t="shared" ref="FO170:FV170" si="163">IFERROR(R170*1,0)+IFERROR(AE170*1,0)+IFERROR(AR170*1,0)+IFERROR(BE170*1,0)+IFERROR(BR170*1,0)+IFERROR(CE170*1,0)+IFERROR(CR170*1,0)+IFERROR(DE170*1,0)+IFERROR(DR170*1,0)+IFERROR(EE170*1,0)+IFERROR(ER170*1,0)+IFERROR(FE170*1,0)</f>
        <v>0</v>
      </c>
      <c r="FP170" s="27">
        <f t="shared" si="163"/>
        <v>0</v>
      </c>
      <c r="FQ170" s="27">
        <f t="shared" si="163"/>
        <v>0</v>
      </c>
      <c r="FR170" s="27">
        <f t="shared" si="163"/>
        <v>0</v>
      </c>
      <c r="FS170" s="27">
        <f t="shared" si="163"/>
        <v>0</v>
      </c>
      <c r="FT170" s="27">
        <f t="shared" si="163"/>
        <v>0</v>
      </c>
      <c r="FU170" s="27">
        <f t="shared" si="163"/>
        <v>0</v>
      </c>
      <c r="FV170" s="27">
        <f t="shared" si="163"/>
        <v>0</v>
      </c>
      <c r="FW170" s="28"/>
      <c r="FX170" s="29">
        <f t="shared" si="3"/>
        <v>0</v>
      </c>
    </row>
    <row r="171" spans="1:180" ht="18" customHeight="1" x14ac:dyDescent="0.25">
      <c r="A171" s="3" t="str">
        <f>IF(C171&lt;&gt;"","DRG-"&amp;TEXT(166,"000"),"")</f>
        <v>DRG-166</v>
      </c>
      <c r="B171" s="19" t="s">
        <v>227</v>
      </c>
      <c r="C171" s="20" t="s">
        <v>228</v>
      </c>
      <c r="D171" s="20" t="s">
        <v>319</v>
      </c>
      <c r="E171" s="20" t="s">
        <v>223</v>
      </c>
      <c r="F171" s="20" t="s">
        <v>224</v>
      </c>
      <c r="G171" s="21"/>
      <c r="H171" s="21"/>
      <c r="I171" s="21"/>
      <c r="J171" s="21"/>
      <c r="K171" s="21"/>
      <c r="L171" s="21">
        <v>4</v>
      </c>
      <c r="M171" s="30" t="str">
        <f t="shared" si="0"/>
        <v>✘ Pending</v>
      </c>
      <c r="N171" s="30">
        <f t="shared" si="1"/>
        <v>0</v>
      </c>
      <c r="O171" s="31"/>
      <c r="P171" s="32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1"/>
      <c r="AC171" s="32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/>
      <c r="AN171" s="33"/>
      <c r="AO171" s="31"/>
      <c r="AP171" s="32"/>
      <c r="AQ171" s="33"/>
      <c r="AR171" s="33"/>
      <c r="AS171" s="33"/>
      <c r="AT171" s="33"/>
      <c r="AU171" s="33"/>
      <c r="AV171" s="33"/>
      <c r="AW171" s="33"/>
      <c r="AX171" s="33"/>
      <c r="AY171" s="33"/>
      <c r="AZ171" s="33"/>
      <c r="BA171" s="33"/>
      <c r="BB171" s="31"/>
      <c r="BC171" s="32"/>
      <c r="BD171" s="33"/>
      <c r="BE171" s="33"/>
      <c r="BF171" s="33"/>
      <c r="BG171" s="33"/>
      <c r="BH171" s="33"/>
      <c r="BI171" s="33"/>
      <c r="BJ171" s="33"/>
      <c r="BK171" s="33"/>
      <c r="BL171" s="33"/>
      <c r="BM171" s="33"/>
      <c r="BN171" s="33"/>
      <c r="BO171" s="31"/>
      <c r="BP171" s="32"/>
      <c r="BQ171" s="33"/>
      <c r="BR171" s="33"/>
      <c r="BS171" s="33"/>
      <c r="BT171" s="33"/>
      <c r="BU171" s="33"/>
      <c r="BV171" s="33"/>
      <c r="BW171" s="33"/>
      <c r="BX171" s="33"/>
      <c r="BY171" s="33"/>
      <c r="BZ171" s="33"/>
      <c r="CA171" s="33"/>
      <c r="CB171" s="31"/>
      <c r="CC171" s="32"/>
      <c r="CD171" s="33"/>
      <c r="CE171" s="33"/>
      <c r="CF171" s="33"/>
      <c r="CG171" s="33"/>
      <c r="CH171" s="33"/>
      <c r="CI171" s="33"/>
      <c r="CJ171" s="33"/>
      <c r="CK171" s="33"/>
      <c r="CL171" s="33"/>
      <c r="CM171" s="33"/>
      <c r="CN171" s="33"/>
      <c r="CO171" s="31"/>
      <c r="CP171" s="32"/>
      <c r="CQ171" s="33"/>
      <c r="CR171" s="33"/>
      <c r="CS171" s="33"/>
      <c r="CT171" s="33"/>
      <c r="CU171" s="33"/>
      <c r="CV171" s="33"/>
      <c r="CW171" s="33"/>
      <c r="CX171" s="33"/>
      <c r="CY171" s="33"/>
      <c r="CZ171" s="33"/>
      <c r="DA171" s="33"/>
      <c r="DB171" s="31"/>
      <c r="DC171" s="32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1"/>
      <c r="DP171" s="32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1"/>
      <c r="EC171" s="32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1"/>
      <c r="EP171" s="32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1"/>
      <c r="FC171" s="32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4">
        <f t="shared" ref="FO171:FV171" si="164">IFERROR(R171*1,0)+IFERROR(AE171*1,0)+IFERROR(AR171*1,0)+IFERROR(BE171*1,0)+IFERROR(BR171*1,0)+IFERROR(CE171*1,0)+IFERROR(CR171*1,0)+IFERROR(DE171*1,0)+IFERROR(DR171*1,0)+IFERROR(EE171*1,0)+IFERROR(ER171*1,0)+IFERROR(FE171*1,0)</f>
        <v>0</v>
      </c>
      <c r="FP171" s="34">
        <f t="shared" si="164"/>
        <v>0</v>
      </c>
      <c r="FQ171" s="34">
        <f t="shared" si="164"/>
        <v>0</v>
      </c>
      <c r="FR171" s="34">
        <f t="shared" si="164"/>
        <v>0</v>
      </c>
      <c r="FS171" s="34">
        <f t="shared" si="164"/>
        <v>0</v>
      </c>
      <c r="FT171" s="34">
        <f t="shared" si="164"/>
        <v>0</v>
      </c>
      <c r="FU171" s="34">
        <f t="shared" si="164"/>
        <v>0</v>
      </c>
      <c r="FV171" s="34">
        <f t="shared" si="164"/>
        <v>0</v>
      </c>
      <c r="FW171" s="28"/>
      <c r="FX171" s="29">
        <f t="shared" si="3"/>
        <v>0</v>
      </c>
    </row>
    <row r="172" spans="1:180" ht="18" customHeight="1" x14ac:dyDescent="0.25">
      <c r="A172" s="3" t="str">
        <f>IF(C172&lt;&gt;"","DRG-"&amp;TEXT(167,"000"),"")</f>
        <v>DRG-167</v>
      </c>
      <c r="B172" s="19" t="s">
        <v>227</v>
      </c>
      <c r="C172" s="20" t="s">
        <v>229</v>
      </c>
      <c r="D172" s="20" t="s">
        <v>319</v>
      </c>
      <c r="E172" s="20" t="s">
        <v>223</v>
      </c>
      <c r="F172" s="20" t="s">
        <v>224</v>
      </c>
      <c r="G172" s="21"/>
      <c r="H172" s="21"/>
      <c r="I172" s="21"/>
      <c r="J172" s="21"/>
      <c r="K172" s="21"/>
      <c r="L172" s="21">
        <v>4</v>
      </c>
      <c r="M172" s="23" t="str">
        <f t="shared" si="0"/>
        <v>✘ Pending</v>
      </c>
      <c r="N172" s="23">
        <f t="shared" si="1"/>
        <v>0</v>
      </c>
      <c r="O172" s="25"/>
      <c r="P172" s="26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  <c r="AB172" s="25"/>
      <c r="AC172" s="26"/>
      <c r="AD172" s="24"/>
      <c r="AE172" s="24"/>
      <c r="AF172" s="24"/>
      <c r="AG172" s="24"/>
      <c r="AH172" s="24"/>
      <c r="AI172" s="24"/>
      <c r="AJ172" s="24"/>
      <c r="AK172" s="24"/>
      <c r="AL172" s="24"/>
      <c r="AM172" s="24"/>
      <c r="AN172" s="24"/>
      <c r="AO172" s="25"/>
      <c r="AP172" s="26"/>
      <c r="AQ172" s="24"/>
      <c r="AR172" s="24"/>
      <c r="AS172" s="24"/>
      <c r="AT172" s="24"/>
      <c r="AU172" s="24"/>
      <c r="AV172" s="24"/>
      <c r="AW172" s="24"/>
      <c r="AX172" s="24"/>
      <c r="AY172" s="24"/>
      <c r="AZ172" s="24"/>
      <c r="BA172" s="24"/>
      <c r="BB172" s="25"/>
      <c r="BC172" s="26"/>
      <c r="BD172" s="24"/>
      <c r="BE172" s="24"/>
      <c r="BF172" s="24"/>
      <c r="BG172" s="24"/>
      <c r="BH172" s="24"/>
      <c r="BI172" s="24"/>
      <c r="BJ172" s="24"/>
      <c r="BK172" s="24"/>
      <c r="BL172" s="24"/>
      <c r="BM172" s="24"/>
      <c r="BN172" s="24"/>
      <c r="BO172" s="25"/>
      <c r="BP172" s="26"/>
      <c r="BQ172" s="24"/>
      <c r="BR172" s="24"/>
      <c r="BS172" s="24"/>
      <c r="BT172" s="24"/>
      <c r="BU172" s="24"/>
      <c r="BV172" s="24"/>
      <c r="BW172" s="24"/>
      <c r="BX172" s="24"/>
      <c r="BY172" s="24"/>
      <c r="BZ172" s="24"/>
      <c r="CA172" s="24"/>
      <c r="CB172" s="25"/>
      <c r="CC172" s="26"/>
      <c r="CD172" s="24"/>
      <c r="CE172" s="24"/>
      <c r="CF172" s="24"/>
      <c r="CG172" s="24"/>
      <c r="CH172" s="24"/>
      <c r="CI172" s="24"/>
      <c r="CJ172" s="24"/>
      <c r="CK172" s="24"/>
      <c r="CL172" s="24"/>
      <c r="CM172" s="24"/>
      <c r="CN172" s="24"/>
      <c r="CO172" s="25"/>
      <c r="CP172" s="26"/>
      <c r="CQ172" s="24"/>
      <c r="CR172" s="24"/>
      <c r="CS172" s="24"/>
      <c r="CT172" s="24"/>
      <c r="CU172" s="24"/>
      <c r="CV172" s="24"/>
      <c r="CW172" s="24"/>
      <c r="CX172" s="24"/>
      <c r="CY172" s="24"/>
      <c r="CZ172" s="24"/>
      <c r="DA172" s="24"/>
      <c r="DB172" s="25"/>
      <c r="DC172" s="26"/>
      <c r="DD172" s="24"/>
      <c r="DE172" s="24"/>
      <c r="DF172" s="24"/>
      <c r="DG172" s="24"/>
      <c r="DH172" s="24"/>
      <c r="DI172" s="24"/>
      <c r="DJ172" s="24"/>
      <c r="DK172" s="24"/>
      <c r="DL172" s="24"/>
      <c r="DM172" s="24"/>
      <c r="DN172" s="24"/>
      <c r="DO172" s="25"/>
      <c r="DP172" s="26"/>
      <c r="DQ172" s="24"/>
      <c r="DR172" s="24"/>
      <c r="DS172" s="24"/>
      <c r="DT172" s="24"/>
      <c r="DU172" s="24"/>
      <c r="DV172" s="24"/>
      <c r="DW172" s="24"/>
      <c r="DX172" s="24"/>
      <c r="DY172" s="24"/>
      <c r="DZ172" s="24"/>
      <c r="EA172" s="24"/>
      <c r="EB172" s="25"/>
      <c r="EC172" s="26"/>
      <c r="ED172" s="24"/>
      <c r="EE172" s="24"/>
      <c r="EF172" s="24"/>
      <c r="EG172" s="24"/>
      <c r="EH172" s="24"/>
      <c r="EI172" s="24"/>
      <c r="EJ172" s="24"/>
      <c r="EK172" s="24"/>
      <c r="EL172" s="24"/>
      <c r="EM172" s="24"/>
      <c r="EN172" s="24"/>
      <c r="EO172" s="25"/>
      <c r="EP172" s="26"/>
      <c r="EQ172" s="24"/>
      <c r="ER172" s="24"/>
      <c r="ES172" s="24"/>
      <c r="ET172" s="24"/>
      <c r="EU172" s="24"/>
      <c r="EV172" s="24"/>
      <c r="EW172" s="24"/>
      <c r="EX172" s="24"/>
      <c r="EY172" s="24"/>
      <c r="EZ172" s="24"/>
      <c r="FA172" s="24"/>
      <c r="FB172" s="25"/>
      <c r="FC172" s="26"/>
      <c r="FD172" s="24"/>
      <c r="FE172" s="24"/>
      <c r="FF172" s="24"/>
      <c r="FG172" s="24"/>
      <c r="FH172" s="24"/>
      <c r="FI172" s="24"/>
      <c r="FJ172" s="24"/>
      <c r="FK172" s="24"/>
      <c r="FL172" s="24"/>
      <c r="FM172" s="24"/>
      <c r="FN172" s="24"/>
      <c r="FO172" s="27">
        <f t="shared" ref="FO172:FV172" si="165">IFERROR(R172*1,0)+IFERROR(AE172*1,0)+IFERROR(AR172*1,0)+IFERROR(BE172*1,0)+IFERROR(BR172*1,0)+IFERROR(CE172*1,0)+IFERROR(CR172*1,0)+IFERROR(DE172*1,0)+IFERROR(DR172*1,0)+IFERROR(EE172*1,0)+IFERROR(ER172*1,0)+IFERROR(FE172*1,0)</f>
        <v>0</v>
      </c>
      <c r="FP172" s="27">
        <f t="shared" si="165"/>
        <v>0</v>
      </c>
      <c r="FQ172" s="27">
        <f t="shared" si="165"/>
        <v>0</v>
      </c>
      <c r="FR172" s="27">
        <f t="shared" si="165"/>
        <v>0</v>
      </c>
      <c r="FS172" s="27">
        <f t="shared" si="165"/>
        <v>0</v>
      </c>
      <c r="FT172" s="27">
        <f t="shared" si="165"/>
        <v>0</v>
      </c>
      <c r="FU172" s="27">
        <f t="shared" si="165"/>
        <v>0</v>
      </c>
      <c r="FV172" s="27">
        <f t="shared" si="165"/>
        <v>0</v>
      </c>
      <c r="FW172" s="28"/>
      <c r="FX172" s="29">
        <f t="shared" si="3"/>
        <v>0</v>
      </c>
    </row>
    <row r="173" spans="1:180" ht="18" customHeight="1" x14ac:dyDescent="0.25">
      <c r="A173" s="3" t="str">
        <f>IF(C173&lt;&gt;"","DRG-"&amp;TEXT(168,"000"),"")</f>
        <v>DRG-168</v>
      </c>
      <c r="B173" s="19" t="s">
        <v>227</v>
      </c>
      <c r="C173" s="20" t="s">
        <v>230</v>
      </c>
      <c r="D173" s="20" t="s">
        <v>319</v>
      </c>
      <c r="E173" s="20" t="s">
        <v>223</v>
      </c>
      <c r="F173" s="20" t="s">
        <v>224</v>
      </c>
      <c r="G173" s="21"/>
      <c r="H173" s="21"/>
      <c r="I173" s="21"/>
      <c r="J173" s="21"/>
      <c r="K173" s="21"/>
      <c r="L173" s="21">
        <v>4</v>
      </c>
      <c r="M173" s="30" t="str">
        <f t="shared" si="0"/>
        <v>✘ Pending</v>
      </c>
      <c r="N173" s="30">
        <f t="shared" si="1"/>
        <v>0</v>
      </c>
      <c r="O173" s="31"/>
      <c r="P173" s="32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1"/>
      <c r="AC173" s="32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1"/>
      <c r="AP173" s="32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1"/>
      <c r="BC173" s="32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1"/>
      <c r="BP173" s="32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1"/>
      <c r="CC173" s="32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1"/>
      <c r="CP173" s="32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1"/>
      <c r="DC173" s="32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1"/>
      <c r="DP173" s="32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1"/>
      <c r="EC173" s="32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1"/>
      <c r="EP173" s="32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1"/>
      <c r="FC173" s="32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4">
        <f t="shared" ref="FO173:FV173" si="166">IFERROR(R173*1,0)+IFERROR(AE173*1,0)+IFERROR(AR173*1,0)+IFERROR(BE173*1,0)+IFERROR(BR173*1,0)+IFERROR(CE173*1,0)+IFERROR(CR173*1,0)+IFERROR(DE173*1,0)+IFERROR(DR173*1,0)+IFERROR(EE173*1,0)+IFERROR(ER173*1,0)+IFERROR(FE173*1,0)</f>
        <v>0</v>
      </c>
      <c r="FP173" s="34">
        <f t="shared" si="166"/>
        <v>0</v>
      </c>
      <c r="FQ173" s="34">
        <f t="shared" si="166"/>
        <v>0</v>
      </c>
      <c r="FR173" s="34">
        <f t="shared" si="166"/>
        <v>0</v>
      </c>
      <c r="FS173" s="34">
        <f t="shared" si="166"/>
        <v>0</v>
      </c>
      <c r="FT173" s="34">
        <f t="shared" si="166"/>
        <v>0</v>
      </c>
      <c r="FU173" s="34">
        <f t="shared" si="166"/>
        <v>0</v>
      </c>
      <c r="FV173" s="34">
        <f t="shared" si="166"/>
        <v>0</v>
      </c>
      <c r="FW173" s="28"/>
      <c r="FX173" s="29">
        <f t="shared" si="3"/>
        <v>0</v>
      </c>
    </row>
    <row r="174" spans="1:180" ht="18" customHeight="1" x14ac:dyDescent="0.25">
      <c r="A174" s="3" t="str">
        <f>IF(C174&lt;&gt;"","DRG-"&amp;TEXT(169,"000"),"")</f>
        <v>DRG-169</v>
      </c>
      <c r="B174" s="19" t="s">
        <v>227</v>
      </c>
      <c r="C174" s="20" t="s">
        <v>231</v>
      </c>
      <c r="D174" s="20" t="s">
        <v>319</v>
      </c>
      <c r="E174" s="20" t="s">
        <v>223</v>
      </c>
      <c r="F174" s="20" t="s">
        <v>224</v>
      </c>
      <c r="G174" s="21"/>
      <c r="H174" s="21"/>
      <c r="I174" s="21"/>
      <c r="J174" s="21"/>
      <c r="K174" s="21"/>
      <c r="L174" s="21">
        <v>4</v>
      </c>
      <c r="M174" s="23" t="str">
        <f t="shared" si="0"/>
        <v>✘ Pending</v>
      </c>
      <c r="N174" s="23">
        <f t="shared" si="1"/>
        <v>0</v>
      </c>
      <c r="O174" s="25"/>
      <c r="P174" s="26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  <c r="AB174" s="25"/>
      <c r="AC174" s="26"/>
      <c r="AD174" s="24"/>
      <c r="AE174" s="24"/>
      <c r="AF174" s="24"/>
      <c r="AG174" s="24"/>
      <c r="AH174" s="24"/>
      <c r="AI174" s="24"/>
      <c r="AJ174" s="24"/>
      <c r="AK174" s="24"/>
      <c r="AL174" s="24"/>
      <c r="AM174" s="24"/>
      <c r="AN174" s="24"/>
      <c r="AO174" s="25"/>
      <c r="AP174" s="26"/>
      <c r="AQ174" s="24"/>
      <c r="AR174" s="24"/>
      <c r="AS174" s="24"/>
      <c r="AT174" s="24"/>
      <c r="AU174" s="24"/>
      <c r="AV174" s="24"/>
      <c r="AW174" s="24"/>
      <c r="AX174" s="24"/>
      <c r="AY174" s="24"/>
      <c r="AZ174" s="24"/>
      <c r="BA174" s="24"/>
      <c r="BB174" s="25"/>
      <c r="BC174" s="26"/>
      <c r="BD174" s="24"/>
      <c r="BE174" s="24"/>
      <c r="BF174" s="24"/>
      <c r="BG174" s="24"/>
      <c r="BH174" s="24"/>
      <c r="BI174" s="24"/>
      <c r="BJ174" s="24"/>
      <c r="BK174" s="24"/>
      <c r="BL174" s="24"/>
      <c r="BM174" s="24"/>
      <c r="BN174" s="24"/>
      <c r="BO174" s="25"/>
      <c r="BP174" s="26"/>
      <c r="BQ174" s="24"/>
      <c r="BR174" s="24"/>
      <c r="BS174" s="24"/>
      <c r="BT174" s="24"/>
      <c r="BU174" s="24"/>
      <c r="BV174" s="24"/>
      <c r="BW174" s="24"/>
      <c r="BX174" s="24"/>
      <c r="BY174" s="24"/>
      <c r="BZ174" s="24"/>
      <c r="CA174" s="24"/>
      <c r="CB174" s="25"/>
      <c r="CC174" s="26"/>
      <c r="CD174" s="24"/>
      <c r="CE174" s="24"/>
      <c r="CF174" s="24"/>
      <c r="CG174" s="24"/>
      <c r="CH174" s="24"/>
      <c r="CI174" s="24"/>
      <c r="CJ174" s="24"/>
      <c r="CK174" s="24"/>
      <c r="CL174" s="24"/>
      <c r="CM174" s="24"/>
      <c r="CN174" s="24"/>
      <c r="CO174" s="25"/>
      <c r="CP174" s="26"/>
      <c r="CQ174" s="24"/>
      <c r="CR174" s="24"/>
      <c r="CS174" s="24"/>
      <c r="CT174" s="24"/>
      <c r="CU174" s="24"/>
      <c r="CV174" s="24"/>
      <c r="CW174" s="24"/>
      <c r="CX174" s="24"/>
      <c r="CY174" s="24"/>
      <c r="CZ174" s="24"/>
      <c r="DA174" s="24"/>
      <c r="DB174" s="25"/>
      <c r="DC174" s="26"/>
      <c r="DD174" s="24"/>
      <c r="DE174" s="24"/>
      <c r="DF174" s="24"/>
      <c r="DG174" s="24"/>
      <c r="DH174" s="24"/>
      <c r="DI174" s="24"/>
      <c r="DJ174" s="24"/>
      <c r="DK174" s="24"/>
      <c r="DL174" s="24"/>
      <c r="DM174" s="24"/>
      <c r="DN174" s="24"/>
      <c r="DO174" s="25"/>
      <c r="DP174" s="26"/>
      <c r="DQ174" s="24"/>
      <c r="DR174" s="24"/>
      <c r="DS174" s="24"/>
      <c r="DT174" s="24"/>
      <c r="DU174" s="24"/>
      <c r="DV174" s="24"/>
      <c r="DW174" s="24"/>
      <c r="DX174" s="24"/>
      <c r="DY174" s="24"/>
      <c r="DZ174" s="24"/>
      <c r="EA174" s="24"/>
      <c r="EB174" s="25"/>
      <c r="EC174" s="26"/>
      <c r="ED174" s="24"/>
      <c r="EE174" s="24"/>
      <c r="EF174" s="24"/>
      <c r="EG174" s="24"/>
      <c r="EH174" s="24"/>
      <c r="EI174" s="24"/>
      <c r="EJ174" s="24"/>
      <c r="EK174" s="24"/>
      <c r="EL174" s="24"/>
      <c r="EM174" s="24"/>
      <c r="EN174" s="24"/>
      <c r="EO174" s="25"/>
      <c r="EP174" s="26"/>
      <c r="EQ174" s="24"/>
      <c r="ER174" s="24"/>
      <c r="ES174" s="24"/>
      <c r="ET174" s="24"/>
      <c r="EU174" s="24"/>
      <c r="EV174" s="24"/>
      <c r="EW174" s="24"/>
      <c r="EX174" s="24"/>
      <c r="EY174" s="24"/>
      <c r="EZ174" s="24"/>
      <c r="FA174" s="24"/>
      <c r="FB174" s="25"/>
      <c r="FC174" s="26"/>
      <c r="FD174" s="24"/>
      <c r="FE174" s="24"/>
      <c r="FF174" s="24"/>
      <c r="FG174" s="24"/>
      <c r="FH174" s="24"/>
      <c r="FI174" s="24"/>
      <c r="FJ174" s="24"/>
      <c r="FK174" s="24"/>
      <c r="FL174" s="24"/>
      <c r="FM174" s="24"/>
      <c r="FN174" s="24"/>
      <c r="FO174" s="27">
        <f t="shared" ref="FO174:FV174" si="167">IFERROR(R174*1,0)+IFERROR(AE174*1,0)+IFERROR(AR174*1,0)+IFERROR(BE174*1,0)+IFERROR(BR174*1,0)+IFERROR(CE174*1,0)+IFERROR(CR174*1,0)+IFERROR(DE174*1,0)+IFERROR(DR174*1,0)+IFERROR(EE174*1,0)+IFERROR(ER174*1,0)+IFERROR(FE174*1,0)</f>
        <v>0</v>
      </c>
      <c r="FP174" s="27">
        <f t="shared" si="167"/>
        <v>0</v>
      </c>
      <c r="FQ174" s="27">
        <f t="shared" si="167"/>
        <v>0</v>
      </c>
      <c r="FR174" s="27">
        <f t="shared" si="167"/>
        <v>0</v>
      </c>
      <c r="FS174" s="27">
        <f t="shared" si="167"/>
        <v>0</v>
      </c>
      <c r="FT174" s="27">
        <f t="shared" si="167"/>
        <v>0</v>
      </c>
      <c r="FU174" s="27">
        <f t="shared" si="167"/>
        <v>0</v>
      </c>
      <c r="FV174" s="27">
        <f t="shared" si="167"/>
        <v>0</v>
      </c>
      <c r="FW174" s="28"/>
      <c r="FX174" s="29">
        <f t="shared" si="3"/>
        <v>0</v>
      </c>
    </row>
    <row r="175" spans="1:180" ht="18" customHeight="1" x14ac:dyDescent="0.25">
      <c r="A175" s="3" t="str">
        <f>IF(C175&lt;&gt;"","DRG-"&amp;TEXT(170,"000"),"")</f>
        <v>DRG-170</v>
      </c>
      <c r="B175" s="19" t="s">
        <v>227</v>
      </c>
      <c r="C175" s="20" t="s">
        <v>232</v>
      </c>
      <c r="D175" s="20" t="s">
        <v>319</v>
      </c>
      <c r="E175" s="20" t="s">
        <v>223</v>
      </c>
      <c r="F175" s="20" t="s">
        <v>224</v>
      </c>
      <c r="G175" s="21"/>
      <c r="H175" s="21"/>
      <c r="I175" s="21"/>
      <c r="J175" s="21"/>
      <c r="K175" s="21"/>
      <c r="L175" s="21">
        <v>4</v>
      </c>
      <c r="M175" s="30" t="str">
        <f t="shared" si="0"/>
        <v>✘ Pending</v>
      </c>
      <c r="N175" s="30">
        <f t="shared" si="1"/>
        <v>0</v>
      </c>
      <c r="O175" s="31"/>
      <c r="P175" s="32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1"/>
      <c r="AC175" s="32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/>
      <c r="AN175" s="33"/>
      <c r="AO175" s="31"/>
      <c r="AP175" s="32"/>
      <c r="AQ175" s="33"/>
      <c r="AR175" s="33"/>
      <c r="AS175" s="33"/>
      <c r="AT175" s="33"/>
      <c r="AU175" s="33"/>
      <c r="AV175" s="33"/>
      <c r="AW175" s="33"/>
      <c r="AX175" s="33"/>
      <c r="AY175" s="33"/>
      <c r="AZ175" s="33"/>
      <c r="BA175" s="33"/>
      <c r="BB175" s="31"/>
      <c r="BC175" s="32"/>
      <c r="BD175" s="33"/>
      <c r="BE175" s="33"/>
      <c r="BF175" s="33"/>
      <c r="BG175" s="33"/>
      <c r="BH175" s="33"/>
      <c r="BI175" s="33"/>
      <c r="BJ175" s="33"/>
      <c r="BK175" s="33"/>
      <c r="BL175" s="33"/>
      <c r="BM175" s="33"/>
      <c r="BN175" s="33"/>
      <c r="BO175" s="31"/>
      <c r="BP175" s="32"/>
      <c r="BQ175" s="33"/>
      <c r="BR175" s="33"/>
      <c r="BS175" s="33"/>
      <c r="BT175" s="33"/>
      <c r="BU175" s="33"/>
      <c r="BV175" s="33"/>
      <c r="BW175" s="33"/>
      <c r="BX175" s="33"/>
      <c r="BY175" s="33"/>
      <c r="BZ175" s="33"/>
      <c r="CA175" s="33"/>
      <c r="CB175" s="31"/>
      <c r="CC175" s="32"/>
      <c r="CD175" s="33"/>
      <c r="CE175" s="33"/>
      <c r="CF175" s="33"/>
      <c r="CG175" s="33"/>
      <c r="CH175" s="33"/>
      <c r="CI175" s="33"/>
      <c r="CJ175" s="33"/>
      <c r="CK175" s="33"/>
      <c r="CL175" s="33"/>
      <c r="CM175" s="33"/>
      <c r="CN175" s="33"/>
      <c r="CO175" s="31"/>
      <c r="CP175" s="32"/>
      <c r="CQ175" s="33"/>
      <c r="CR175" s="33"/>
      <c r="CS175" s="33"/>
      <c r="CT175" s="33"/>
      <c r="CU175" s="33"/>
      <c r="CV175" s="33"/>
      <c r="CW175" s="33"/>
      <c r="CX175" s="33"/>
      <c r="CY175" s="33"/>
      <c r="CZ175" s="33"/>
      <c r="DA175" s="33"/>
      <c r="DB175" s="31"/>
      <c r="DC175" s="32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1"/>
      <c r="DP175" s="32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1"/>
      <c r="EC175" s="32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1"/>
      <c r="EP175" s="32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1"/>
      <c r="FC175" s="32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4">
        <f t="shared" ref="FO175:FV175" si="168">IFERROR(R175*1,0)+IFERROR(AE175*1,0)+IFERROR(AR175*1,0)+IFERROR(BE175*1,0)+IFERROR(BR175*1,0)+IFERROR(CE175*1,0)+IFERROR(CR175*1,0)+IFERROR(DE175*1,0)+IFERROR(DR175*1,0)+IFERROR(EE175*1,0)+IFERROR(ER175*1,0)+IFERROR(FE175*1,0)</f>
        <v>0</v>
      </c>
      <c r="FP175" s="34">
        <f t="shared" si="168"/>
        <v>0</v>
      </c>
      <c r="FQ175" s="34">
        <f t="shared" si="168"/>
        <v>0</v>
      </c>
      <c r="FR175" s="34">
        <f t="shared" si="168"/>
        <v>0</v>
      </c>
      <c r="FS175" s="34">
        <f t="shared" si="168"/>
        <v>0</v>
      </c>
      <c r="FT175" s="34">
        <f t="shared" si="168"/>
        <v>0</v>
      </c>
      <c r="FU175" s="34">
        <f t="shared" si="168"/>
        <v>0</v>
      </c>
      <c r="FV175" s="34">
        <f t="shared" si="168"/>
        <v>0</v>
      </c>
      <c r="FW175" s="28"/>
      <c r="FX175" s="29">
        <f t="shared" si="3"/>
        <v>0</v>
      </c>
    </row>
    <row r="176" spans="1:180" ht="18" customHeight="1" x14ac:dyDescent="0.25">
      <c r="A176" s="3" t="str">
        <f>IF(C176&lt;&gt;"","DRG-"&amp;TEXT(171,"000"),"")</f>
        <v>DRG-171</v>
      </c>
      <c r="B176" s="19" t="s">
        <v>233</v>
      </c>
      <c r="C176" s="20" t="s">
        <v>234</v>
      </c>
      <c r="D176" s="20" t="s">
        <v>319</v>
      </c>
      <c r="E176" s="20" t="s">
        <v>223</v>
      </c>
      <c r="F176" s="20" t="s">
        <v>224</v>
      </c>
      <c r="G176" s="21"/>
      <c r="H176" s="21"/>
      <c r="I176" s="21"/>
      <c r="J176" s="21"/>
      <c r="K176" s="21"/>
      <c r="L176" s="21">
        <v>4</v>
      </c>
      <c r="M176" s="23" t="str">
        <f t="shared" si="0"/>
        <v>✘ Pending</v>
      </c>
      <c r="N176" s="23">
        <f t="shared" si="1"/>
        <v>0</v>
      </c>
      <c r="O176" s="25"/>
      <c r="P176" s="26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  <c r="AB176" s="25"/>
      <c r="AC176" s="26"/>
      <c r="AD176" s="24"/>
      <c r="AE176" s="24"/>
      <c r="AF176" s="24"/>
      <c r="AG176" s="24"/>
      <c r="AH176" s="24"/>
      <c r="AI176" s="24"/>
      <c r="AJ176" s="24"/>
      <c r="AK176" s="24"/>
      <c r="AL176" s="24"/>
      <c r="AM176" s="24"/>
      <c r="AN176" s="24"/>
      <c r="AO176" s="25"/>
      <c r="AP176" s="26"/>
      <c r="AQ176" s="24"/>
      <c r="AR176" s="24"/>
      <c r="AS176" s="24"/>
      <c r="AT176" s="24"/>
      <c r="AU176" s="24"/>
      <c r="AV176" s="24"/>
      <c r="AW176" s="24"/>
      <c r="AX176" s="24"/>
      <c r="AY176" s="24"/>
      <c r="AZ176" s="24"/>
      <c r="BA176" s="24"/>
      <c r="BB176" s="25"/>
      <c r="BC176" s="26"/>
      <c r="BD176" s="24"/>
      <c r="BE176" s="24"/>
      <c r="BF176" s="24"/>
      <c r="BG176" s="24"/>
      <c r="BH176" s="24"/>
      <c r="BI176" s="24"/>
      <c r="BJ176" s="24"/>
      <c r="BK176" s="24"/>
      <c r="BL176" s="24"/>
      <c r="BM176" s="24"/>
      <c r="BN176" s="24"/>
      <c r="BO176" s="25"/>
      <c r="BP176" s="26"/>
      <c r="BQ176" s="24"/>
      <c r="BR176" s="24"/>
      <c r="BS176" s="24"/>
      <c r="BT176" s="24"/>
      <c r="BU176" s="24"/>
      <c r="BV176" s="24"/>
      <c r="BW176" s="24"/>
      <c r="BX176" s="24"/>
      <c r="BY176" s="24"/>
      <c r="BZ176" s="24"/>
      <c r="CA176" s="24"/>
      <c r="CB176" s="25"/>
      <c r="CC176" s="26"/>
      <c r="CD176" s="24"/>
      <c r="CE176" s="24"/>
      <c r="CF176" s="24"/>
      <c r="CG176" s="24"/>
      <c r="CH176" s="24"/>
      <c r="CI176" s="24"/>
      <c r="CJ176" s="24"/>
      <c r="CK176" s="24"/>
      <c r="CL176" s="24"/>
      <c r="CM176" s="24"/>
      <c r="CN176" s="24"/>
      <c r="CO176" s="25"/>
      <c r="CP176" s="26"/>
      <c r="CQ176" s="24"/>
      <c r="CR176" s="24"/>
      <c r="CS176" s="24"/>
      <c r="CT176" s="24"/>
      <c r="CU176" s="24"/>
      <c r="CV176" s="24"/>
      <c r="CW176" s="24"/>
      <c r="CX176" s="24"/>
      <c r="CY176" s="24"/>
      <c r="CZ176" s="24"/>
      <c r="DA176" s="24"/>
      <c r="DB176" s="25"/>
      <c r="DC176" s="26"/>
      <c r="DD176" s="24"/>
      <c r="DE176" s="24"/>
      <c r="DF176" s="24"/>
      <c r="DG176" s="24"/>
      <c r="DH176" s="24"/>
      <c r="DI176" s="24"/>
      <c r="DJ176" s="24"/>
      <c r="DK176" s="24"/>
      <c r="DL176" s="24"/>
      <c r="DM176" s="24"/>
      <c r="DN176" s="24"/>
      <c r="DO176" s="25"/>
      <c r="DP176" s="26"/>
      <c r="DQ176" s="24"/>
      <c r="DR176" s="24"/>
      <c r="DS176" s="24"/>
      <c r="DT176" s="24"/>
      <c r="DU176" s="24"/>
      <c r="DV176" s="24"/>
      <c r="DW176" s="24"/>
      <c r="DX176" s="24"/>
      <c r="DY176" s="24"/>
      <c r="DZ176" s="24"/>
      <c r="EA176" s="24"/>
      <c r="EB176" s="25"/>
      <c r="EC176" s="26"/>
      <c r="ED176" s="24"/>
      <c r="EE176" s="24"/>
      <c r="EF176" s="24"/>
      <c r="EG176" s="24"/>
      <c r="EH176" s="24"/>
      <c r="EI176" s="24"/>
      <c r="EJ176" s="24"/>
      <c r="EK176" s="24"/>
      <c r="EL176" s="24"/>
      <c r="EM176" s="24"/>
      <c r="EN176" s="24"/>
      <c r="EO176" s="25"/>
      <c r="EP176" s="26"/>
      <c r="EQ176" s="24"/>
      <c r="ER176" s="24"/>
      <c r="ES176" s="24"/>
      <c r="ET176" s="24"/>
      <c r="EU176" s="24"/>
      <c r="EV176" s="24"/>
      <c r="EW176" s="24"/>
      <c r="EX176" s="24"/>
      <c r="EY176" s="24"/>
      <c r="EZ176" s="24"/>
      <c r="FA176" s="24"/>
      <c r="FB176" s="25"/>
      <c r="FC176" s="26"/>
      <c r="FD176" s="24"/>
      <c r="FE176" s="24"/>
      <c r="FF176" s="24"/>
      <c r="FG176" s="24"/>
      <c r="FH176" s="24"/>
      <c r="FI176" s="24"/>
      <c r="FJ176" s="24"/>
      <c r="FK176" s="24"/>
      <c r="FL176" s="24"/>
      <c r="FM176" s="24"/>
      <c r="FN176" s="24"/>
      <c r="FO176" s="27">
        <f t="shared" ref="FO176:FV176" si="169">IFERROR(R176*1,0)+IFERROR(AE176*1,0)+IFERROR(AR176*1,0)+IFERROR(BE176*1,0)+IFERROR(BR176*1,0)+IFERROR(CE176*1,0)+IFERROR(CR176*1,0)+IFERROR(DE176*1,0)+IFERROR(DR176*1,0)+IFERROR(EE176*1,0)+IFERROR(ER176*1,0)+IFERROR(FE176*1,0)</f>
        <v>0</v>
      </c>
      <c r="FP176" s="27">
        <f t="shared" si="169"/>
        <v>0</v>
      </c>
      <c r="FQ176" s="27">
        <f t="shared" si="169"/>
        <v>0</v>
      </c>
      <c r="FR176" s="27">
        <f t="shared" si="169"/>
        <v>0</v>
      </c>
      <c r="FS176" s="27">
        <f t="shared" si="169"/>
        <v>0</v>
      </c>
      <c r="FT176" s="27">
        <f t="shared" si="169"/>
        <v>0</v>
      </c>
      <c r="FU176" s="27">
        <f t="shared" si="169"/>
        <v>0</v>
      </c>
      <c r="FV176" s="27">
        <f t="shared" si="169"/>
        <v>0</v>
      </c>
      <c r="FW176" s="28"/>
      <c r="FX176" s="29">
        <f t="shared" si="3"/>
        <v>0</v>
      </c>
    </row>
    <row r="177" spans="1:180" ht="18" customHeight="1" x14ac:dyDescent="0.25">
      <c r="A177" s="3" t="str">
        <f>IF(C177&lt;&gt;"","DRG-"&amp;TEXT(172,"000"),"")</f>
        <v>DRG-172</v>
      </c>
      <c r="B177" s="19" t="s">
        <v>233</v>
      </c>
      <c r="C177" s="20" t="s">
        <v>235</v>
      </c>
      <c r="D177" s="20" t="s">
        <v>319</v>
      </c>
      <c r="E177" s="20" t="s">
        <v>223</v>
      </c>
      <c r="F177" s="20" t="s">
        <v>224</v>
      </c>
      <c r="G177" s="21"/>
      <c r="H177" s="21"/>
      <c r="I177" s="21"/>
      <c r="J177" s="21"/>
      <c r="K177" s="21"/>
      <c r="L177" s="21">
        <v>4</v>
      </c>
      <c r="M177" s="30" t="str">
        <f t="shared" si="0"/>
        <v>✘ Pending</v>
      </c>
      <c r="N177" s="30">
        <f t="shared" si="1"/>
        <v>0</v>
      </c>
      <c r="O177" s="31"/>
      <c r="P177" s="32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1"/>
      <c r="AC177" s="32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/>
      <c r="AN177" s="33"/>
      <c r="AO177" s="31"/>
      <c r="AP177" s="32"/>
      <c r="AQ177" s="33"/>
      <c r="AR177" s="33"/>
      <c r="AS177" s="33"/>
      <c r="AT177" s="33"/>
      <c r="AU177" s="33"/>
      <c r="AV177" s="33"/>
      <c r="AW177" s="33"/>
      <c r="AX177" s="33"/>
      <c r="AY177" s="33"/>
      <c r="AZ177" s="33"/>
      <c r="BA177" s="33"/>
      <c r="BB177" s="31"/>
      <c r="BC177" s="32"/>
      <c r="BD177" s="33"/>
      <c r="BE177" s="33"/>
      <c r="BF177" s="33"/>
      <c r="BG177" s="33"/>
      <c r="BH177" s="33"/>
      <c r="BI177" s="33"/>
      <c r="BJ177" s="33"/>
      <c r="BK177" s="33"/>
      <c r="BL177" s="33"/>
      <c r="BM177" s="33"/>
      <c r="BN177" s="33"/>
      <c r="BO177" s="31"/>
      <c r="BP177" s="32"/>
      <c r="BQ177" s="33"/>
      <c r="BR177" s="33"/>
      <c r="BS177" s="33"/>
      <c r="BT177" s="33"/>
      <c r="BU177" s="33"/>
      <c r="BV177" s="33"/>
      <c r="BW177" s="33"/>
      <c r="BX177" s="33"/>
      <c r="BY177" s="33"/>
      <c r="BZ177" s="33"/>
      <c r="CA177" s="33"/>
      <c r="CB177" s="31"/>
      <c r="CC177" s="32"/>
      <c r="CD177" s="33"/>
      <c r="CE177" s="33"/>
      <c r="CF177" s="33"/>
      <c r="CG177" s="33"/>
      <c r="CH177" s="33"/>
      <c r="CI177" s="33"/>
      <c r="CJ177" s="33"/>
      <c r="CK177" s="33"/>
      <c r="CL177" s="33"/>
      <c r="CM177" s="33"/>
      <c r="CN177" s="33"/>
      <c r="CO177" s="31"/>
      <c r="CP177" s="32"/>
      <c r="CQ177" s="33"/>
      <c r="CR177" s="33"/>
      <c r="CS177" s="33"/>
      <c r="CT177" s="33"/>
      <c r="CU177" s="33"/>
      <c r="CV177" s="33"/>
      <c r="CW177" s="33"/>
      <c r="CX177" s="33"/>
      <c r="CY177" s="33"/>
      <c r="CZ177" s="33"/>
      <c r="DA177" s="33"/>
      <c r="DB177" s="31"/>
      <c r="DC177" s="32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1"/>
      <c r="DP177" s="32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1"/>
      <c r="EC177" s="32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1"/>
      <c r="EP177" s="32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1"/>
      <c r="FC177" s="32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4">
        <f t="shared" ref="FO177:FV177" si="170">IFERROR(R177*1,0)+IFERROR(AE177*1,0)+IFERROR(AR177*1,0)+IFERROR(BE177*1,0)+IFERROR(BR177*1,0)+IFERROR(CE177*1,0)+IFERROR(CR177*1,0)+IFERROR(DE177*1,0)+IFERROR(DR177*1,0)+IFERROR(EE177*1,0)+IFERROR(ER177*1,0)+IFERROR(FE177*1,0)</f>
        <v>0</v>
      </c>
      <c r="FP177" s="34">
        <f t="shared" si="170"/>
        <v>0</v>
      </c>
      <c r="FQ177" s="34">
        <f t="shared" si="170"/>
        <v>0</v>
      </c>
      <c r="FR177" s="34">
        <f t="shared" si="170"/>
        <v>0</v>
      </c>
      <c r="FS177" s="34">
        <f t="shared" si="170"/>
        <v>0</v>
      </c>
      <c r="FT177" s="34">
        <f t="shared" si="170"/>
        <v>0</v>
      </c>
      <c r="FU177" s="34">
        <f t="shared" si="170"/>
        <v>0</v>
      </c>
      <c r="FV177" s="34">
        <f t="shared" si="170"/>
        <v>0</v>
      </c>
      <c r="FW177" s="28"/>
      <c r="FX177" s="29">
        <f t="shared" si="3"/>
        <v>0</v>
      </c>
    </row>
    <row r="178" spans="1:180" ht="18" customHeight="1" x14ac:dyDescent="0.25">
      <c r="A178" s="3" t="str">
        <f>IF(C178&lt;&gt;"","DRG-"&amp;TEXT(173,"000"),"")</f>
        <v>DRG-173</v>
      </c>
      <c r="B178" s="19" t="s">
        <v>233</v>
      </c>
      <c r="C178" s="20" t="s">
        <v>236</v>
      </c>
      <c r="D178" s="20" t="s">
        <v>322</v>
      </c>
      <c r="E178" s="20" t="s">
        <v>223</v>
      </c>
      <c r="F178" s="20" t="s">
        <v>224</v>
      </c>
      <c r="G178" s="21"/>
      <c r="H178" s="21"/>
      <c r="I178" s="21"/>
      <c r="J178" s="21"/>
      <c r="K178" s="21"/>
      <c r="L178" s="21">
        <v>4</v>
      </c>
      <c r="M178" s="23" t="str">
        <f t="shared" si="0"/>
        <v>✘ Pending</v>
      </c>
      <c r="N178" s="23">
        <f t="shared" si="1"/>
        <v>0</v>
      </c>
      <c r="O178" s="25"/>
      <c r="P178" s="26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  <c r="AB178" s="25"/>
      <c r="AC178" s="26"/>
      <c r="AD178" s="24"/>
      <c r="AE178" s="24"/>
      <c r="AF178" s="24"/>
      <c r="AG178" s="24"/>
      <c r="AH178" s="24"/>
      <c r="AI178" s="24"/>
      <c r="AJ178" s="24"/>
      <c r="AK178" s="24"/>
      <c r="AL178" s="24"/>
      <c r="AM178" s="24"/>
      <c r="AN178" s="24"/>
      <c r="AO178" s="25"/>
      <c r="AP178" s="26"/>
      <c r="AQ178" s="24"/>
      <c r="AR178" s="24"/>
      <c r="AS178" s="24"/>
      <c r="AT178" s="24"/>
      <c r="AU178" s="24"/>
      <c r="AV178" s="24"/>
      <c r="AW178" s="24"/>
      <c r="AX178" s="24"/>
      <c r="AY178" s="24"/>
      <c r="AZ178" s="24"/>
      <c r="BA178" s="24"/>
      <c r="BB178" s="25"/>
      <c r="BC178" s="26"/>
      <c r="BD178" s="24"/>
      <c r="BE178" s="24"/>
      <c r="BF178" s="24"/>
      <c r="BG178" s="24"/>
      <c r="BH178" s="24"/>
      <c r="BI178" s="24"/>
      <c r="BJ178" s="24"/>
      <c r="BK178" s="24"/>
      <c r="BL178" s="24"/>
      <c r="BM178" s="24"/>
      <c r="BN178" s="24"/>
      <c r="BO178" s="25"/>
      <c r="BP178" s="26"/>
      <c r="BQ178" s="24"/>
      <c r="BR178" s="24"/>
      <c r="BS178" s="24"/>
      <c r="BT178" s="24"/>
      <c r="BU178" s="24"/>
      <c r="BV178" s="24"/>
      <c r="BW178" s="24"/>
      <c r="BX178" s="24"/>
      <c r="BY178" s="24"/>
      <c r="BZ178" s="24"/>
      <c r="CA178" s="24"/>
      <c r="CB178" s="25"/>
      <c r="CC178" s="26"/>
      <c r="CD178" s="24"/>
      <c r="CE178" s="24"/>
      <c r="CF178" s="24"/>
      <c r="CG178" s="24"/>
      <c r="CH178" s="24"/>
      <c r="CI178" s="24"/>
      <c r="CJ178" s="24"/>
      <c r="CK178" s="24"/>
      <c r="CL178" s="24"/>
      <c r="CM178" s="24"/>
      <c r="CN178" s="24"/>
      <c r="CO178" s="25"/>
      <c r="CP178" s="26"/>
      <c r="CQ178" s="24"/>
      <c r="CR178" s="24"/>
      <c r="CS178" s="24"/>
      <c r="CT178" s="24"/>
      <c r="CU178" s="24"/>
      <c r="CV178" s="24"/>
      <c r="CW178" s="24"/>
      <c r="CX178" s="24"/>
      <c r="CY178" s="24"/>
      <c r="CZ178" s="24"/>
      <c r="DA178" s="24"/>
      <c r="DB178" s="25"/>
      <c r="DC178" s="26"/>
      <c r="DD178" s="24"/>
      <c r="DE178" s="24"/>
      <c r="DF178" s="24"/>
      <c r="DG178" s="24"/>
      <c r="DH178" s="24"/>
      <c r="DI178" s="24"/>
      <c r="DJ178" s="24"/>
      <c r="DK178" s="24"/>
      <c r="DL178" s="24"/>
      <c r="DM178" s="24"/>
      <c r="DN178" s="24"/>
      <c r="DO178" s="25"/>
      <c r="DP178" s="26"/>
      <c r="DQ178" s="24"/>
      <c r="DR178" s="24"/>
      <c r="DS178" s="24"/>
      <c r="DT178" s="24"/>
      <c r="DU178" s="24"/>
      <c r="DV178" s="24"/>
      <c r="DW178" s="24"/>
      <c r="DX178" s="24"/>
      <c r="DY178" s="24"/>
      <c r="DZ178" s="24"/>
      <c r="EA178" s="24"/>
      <c r="EB178" s="25"/>
      <c r="EC178" s="26"/>
      <c r="ED178" s="24"/>
      <c r="EE178" s="24"/>
      <c r="EF178" s="24"/>
      <c r="EG178" s="24"/>
      <c r="EH178" s="24"/>
      <c r="EI178" s="24"/>
      <c r="EJ178" s="24"/>
      <c r="EK178" s="24"/>
      <c r="EL178" s="24"/>
      <c r="EM178" s="24"/>
      <c r="EN178" s="24"/>
      <c r="EO178" s="25"/>
      <c r="EP178" s="26"/>
      <c r="EQ178" s="24"/>
      <c r="ER178" s="24"/>
      <c r="ES178" s="24"/>
      <c r="ET178" s="24"/>
      <c r="EU178" s="24"/>
      <c r="EV178" s="24"/>
      <c r="EW178" s="24"/>
      <c r="EX178" s="24"/>
      <c r="EY178" s="24"/>
      <c r="EZ178" s="24"/>
      <c r="FA178" s="24"/>
      <c r="FB178" s="25"/>
      <c r="FC178" s="26"/>
      <c r="FD178" s="24"/>
      <c r="FE178" s="24"/>
      <c r="FF178" s="24"/>
      <c r="FG178" s="24"/>
      <c r="FH178" s="24"/>
      <c r="FI178" s="24"/>
      <c r="FJ178" s="24"/>
      <c r="FK178" s="24"/>
      <c r="FL178" s="24"/>
      <c r="FM178" s="24"/>
      <c r="FN178" s="24"/>
      <c r="FO178" s="27">
        <f t="shared" ref="FO178:FV178" si="171">IFERROR(R178*1,0)+IFERROR(AE178*1,0)+IFERROR(AR178*1,0)+IFERROR(BE178*1,0)+IFERROR(BR178*1,0)+IFERROR(CE178*1,0)+IFERROR(CR178*1,0)+IFERROR(DE178*1,0)+IFERROR(DR178*1,0)+IFERROR(EE178*1,0)+IFERROR(ER178*1,0)+IFERROR(FE178*1,0)</f>
        <v>0</v>
      </c>
      <c r="FP178" s="27">
        <f t="shared" si="171"/>
        <v>0</v>
      </c>
      <c r="FQ178" s="27">
        <f t="shared" si="171"/>
        <v>0</v>
      </c>
      <c r="FR178" s="27">
        <f t="shared" si="171"/>
        <v>0</v>
      </c>
      <c r="FS178" s="27">
        <f t="shared" si="171"/>
        <v>0</v>
      </c>
      <c r="FT178" s="27">
        <f t="shared" si="171"/>
        <v>0</v>
      </c>
      <c r="FU178" s="27">
        <f t="shared" si="171"/>
        <v>0</v>
      </c>
      <c r="FV178" s="27">
        <f t="shared" si="171"/>
        <v>0</v>
      </c>
      <c r="FW178" s="28"/>
      <c r="FX178" s="29">
        <f t="shared" si="3"/>
        <v>0</v>
      </c>
    </row>
    <row r="179" spans="1:180" ht="18" customHeight="1" x14ac:dyDescent="0.25">
      <c r="A179" s="3" t="str">
        <f>IF(C179&lt;&gt;"","DRG-"&amp;TEXT(174,"000"),"")</f>
        <v>DRG-174</v>
      </c>
      <c r="B179" s="33" t="s">
        <v>323</v>
      </c>
      <c r="C179" s="36" t="s">
        <v>323</v>
      </c>
      <c r="D179" s="33" t="s">
        <v>195</v>
      </c>
      <c r="E179" s="33" t="s">
        <v>216</v>
      </c>
      <c r="F179" s="33" t="s">
        <v>78</v>
      </c>
      <c r="G179" s="33"/>
      <c r="H179" s="33"/>
      <c r="I179" s="33"/>
      <c r="J179" s="33"/>
      <c r="K179" s="33"/>
      <c r="L179" s="37">
        <v>4</v>
      </c>
      <c r="M179" s="30" t="str">
        <f t="shared" si="0"/>
        <v>✘ Pending</v>
      </c>
      <c r="N179" s="30">
        <f t="shared" si="1"/>
        <v>0</v>
      </c>
      <c r="O179" s="31"/>
      <c r="P179" s="32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1"/>
      <c r="AC179" s="32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/>
      <c r="AN179" s="33"/>
      <c r="AO179" s="31"/>
      <c r="AP179" s="32"/>
      <c r="AQ179" s="33"/>
      <c r="AR179" s="33"/>
      <c r="AS179" s="33"/>
      <c r="AT179" s="33"/>
      <c r="AU179" s="33"/>
      <c r="AV179" s="33"/>
      <c r="AW179" s="33"/>
      <c r="AX179" s="33"/>
      <c r="AY179" s="33"/>
      <c r="AZ179" s="33"/>
      <c r="BA179" s="33"/>
      <c r="BB179" s="31"/>
      <c r="BC179" s="32"/>
      <c r="BD179" s="33"/>
      <c r="BE179" s="33"/>
      <c r="BF179" s="33"/>
      <c r="BG179" s="33"/>
      <c r="BH179" s="33"/>
      <c r="BI179" s="33"/>
      <c r="BJ179" s="33"/>
      <c r="BK179" s="33"/>
      <c r="BL179" s="33"/>
      <c r="BM179" s="33"/>
      <c r="BN179" s="33"/>
      <c r="BO179" s="31"/>
      <c r="BP179" s="32"/>
      <c r="BQ179" s="33"/>
      <c r="BR179" s="33"/>
      <c r="BS179" s="33"/>
      <c r="BT179" s="33"/>
      <c r="BU179" s="33"/>
      <c r="BV179" s="33"/>
      <c r="BW179" s="33"/>
      <c r="BX179" s="33"/>
      <c r="BY179" s="33"/>
      <c r="BZ179" s="33"/>
      <c r="CA179" s="33"/>
      <c r="CB179" s="31"/>
      <c r="CC179" s="32"/>
      <c r="CD179" s="33"/>
      <c r="CE179" s="33"/>
      <c r="CF179" s="33"/>
      <c r="CG179" s="33"/>
      <c r="CH179" s="33"/>
      <c r="CI179" s="33"/>
      <c r="CJ179" s="33"/>
      <c r="CK179" s="33"/>
      <c r="CL179" s="33"/>
      <c r="CM179" s="33"/>
      <c r="CN179" s="33"/>
      <c r="CO179" s="31"/>
      <c r="CP179" s="32"/>
      <c r="CQ179" s="33"/>
      <c r="CR179" s="33"/>
      <c r="CS179" s="33"/>
      <c r="CT179" s="33"/>
      <c r="CU179" s="33"/>
      <c r="CV179" s="33"/>
      <c r="CW179" s="33"/>
      <c r="CX179" s="33"/>
      <c r="CY179" s="33"/>
      <c r="CZ179" s="33"/>
      <c r="DA179" s="33"/>
      <c r="DB179" s="31"/>
      <c r="DC179" s="32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1"/>
      <c r="DP179" s="32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1"/>
      <c r="EC179" s="32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1"/>
      <c r="EP179" s="32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1"/>
      <c r="FC179" s="32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4">
        <f t="shared" ref="FO179:FV179" si="172">IFERROR(R179*1,0)+IFERROR(AE179*1,0)+IFERROR(AR179*1,0)+IFERROR(BE179*1,0)+IFERROR(BR179*1,0)+IFERROR(CE179*1,0)+IFERROR(CR179*1,0)+IFERROR(DE179*1,0)+IFERROR(DR179*1,0)+IFERROR(EE179*1,0)+IFERROR(ER179*1,0)+IFERROR(FE179*1,0)</f>
        <v>0</v>
      </c>
      <c r="FP179" s="34">
        <f t="shared" si="172"/>
        <v>0</v>
      </c>
      <c r="FQ179" s="34">
        <f t="shared" si="172"/>
        <v>0</v>
      </c>
      <c r="FR179" s="34">
        <f t="shared" si="172"/>
        <v>0</v>
      </c>
      <c r="FS179" s="34">
        <f t="shared" si="172"/>
        <v>0</v>
      </c>
      <c r="FT179" s="34">
        <f t="shared" si="172"/>
        <v>0</v>
      </c>
      <c r="FU179" s="34">
        <f t="shared" si="172"/>
        <v>0</v>
      </c>
      <c r="FV179" s="34">
        <f t="shared" si="172"/>
        <v>0</v>
      </c>
      <c r="FW179" s="28"/>
      <c r="FX179" s="29">
        <f t="shared" si="3"/>
        <v>0</v>
      </c>
    </row>
    <row r="180" spans="1:180" ht="18" customHeight="1" x14ac:dyDescent="0.25">
      <c r="A180" s="3" t="str">
        <f>IF(C180&lt;&gt;"","DRG-"&amp;TEXT(175,"000"),"")</f>
        <v>DRG-175</v>
      </c>
      <c r="B180" s="24" t="s">
        <v>324</v>
      </c>
      <c r="C180" s="24" t="s">
        <v>324</v>
      </c>
      <c r="D180" s="24" t="s">
        <v>56</v>
      </c>
      <c r="E180" s="24" t="s">
        <v>87</v>
      </c>
      <c r="F180" s="24" t="s">
        <v>69</v>
      </c>
      <c r="G180" s="24"/>
      <c r="H180" s="24"/>
      <c r="I180" s="24"/>
      <c r="J180" s="24"/>
      <c r="K180" s="24"/>
      <c r="L180" s="38">
        <v>4</v>
      </c>
      <c r="M180" s="23" t="str">
        <f t="shared" si="0"/>
        <v>✘ Pending</v>
      </c>
      <c r="N180" s="23">
        <f t="shared" si="1"/>
        <v>0</v>
      </c>
      <c r="O180" s="25"/>
      <c r="P180" s="26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5"/>
      <c r="AC180" s="26"/>
      <c r="AD180" s="24"/>
      <c r="AE180" s="24"/>
      <c r="AF180" s="24"/>
      <c r="AG180" s="24"/>
      <c r="AH180" s="24"/>
      <c r="AI180" s="24"/>
      <c r="AJ180" s="24"/>
      <c r="AK180" s="24"/>
      <c r="AL180" s="24"/>
      <c r="AM180" s="24"/>
      <c r="AN180" s="24"/>
      <c r="AO180" s="25"/>
      <c r="AP180" s="26"/>
      <c r="AQ180" s="24"/>
      <c r="AR180" s="24"/>
      <c r="AS180" s="24"/>
      <c r="AT180" s="24"/>
      <c r="AU180" s="24"/>
      <c r="AV180" s="24"/>
      <c r="AW180" s="24"/>
      <c r="AX180" s="24"/>
      <c r="AY180" s="24"/>
      <c r="AZ180" s="24"/>
      <c r="BA180" s="24"/>
      <c r="BB180" s="25"/>
      <c r="BC180" s="26"/>
      <c r="BD180" s="24"/>
      <c r="BE180" s="24"/>
      <c r="BF180" s="24"/>
      <c r="BG180" s="24"/>
      <c r="BH180" s="24"/>
      <c r="BI180" s="24"/>
      <c r="BJ180" s="24"/>
      <c r="BK180" s="24"/>
      <c r="BL180" s="24"/>
      <c r="BM180" s="24"/>
      <c r="BN180" s="24"/>
      <c r="BO180" s="25"/>
      <c r="BP180" s="26"/>
      <c r="BQ180" s="24"/>
      <c r="BR180" s="24"/>
      <c r="BS180" s="24"/>
      <c r="BT180" s="24"/>
      <c r="BU180" s="24"/>
      <c r="BV180" s="24"/>
      <c r="BW180" s="24"/>
      <c r="BX180" s="24"/>
      <c r="BY180" s="24"/>
      <c r="BZ180" s="24"/>
      <c r="CA180" s="24"/>
      <c r="CB180" s="25"/>
      <c r="CC180" s="26"/>
      <c r="CD180" s="24"/>
      <c r="CE180" s="24"/>
      <c r="CF180" s="24"/>
      <c r="CG180" s="24"/>
      <c r="CH180" s="24"/>
      <c r="CI180" s="24"/>
      <c r="CJ180" s="24"/>
      <c r="CK180" s="24"/>
      <c r="CL180" s="24"/>
      <c r="CM180" s="24"/>
      <c r="CN180" s="24"/>
      <c r="CO180" s="25"/>
      <c r="CP180" s="26"/>
      <c r="CQ180" s="24"/>
      <c r="CR180" s="24"/>
      <c r="CS180" s="24"/>
      <c r="CT180" s="24"/>
      <c r="CU180" s="24"/>
      <c r="CV180" s="24"/>
      <c r="CW180" s="24"/>
      <c r="CX180" s="24"/>
      <c r="CY180" s="24"/>
      <c r="CZ180" s="24"/>
      <c r="DA180" s="24"/>
      <c r="DB180" s="25"/>
      <c r="DC180" s="26"/>
      <c r="DD180" s="24"/>
      <c r="DE180" s="24"/>
      <c r="DF180" s="24"/>
      <c r="DG180" s="24"/>
      <c r="DH180" s="24"/>
      <c r="DI180" s="24"/>
      <c r="DJ180" s="24"/>
      <c r="DK180" s="24"/>
      <c r="DL180" s="24"/>
      <c r="DM180" s="24"/>
      <c r="DN180" s="24"/>
      <c r="DO180" s="25"/>
      <c r="DP180" s="26"/>
      <c r="DQ180" s="24"/>
      <c r="DR180" s="24"/>
      <c r="DS180" s="24"/>
      <c r="DT180" s="24"/>
      <c r="DU180" s="24"/>
      <c r="DV180" s="24"/>
      <c r="DW180" s="24"/>
      <c r="DX180" s="24"/>
      <c r="DY180" s="24"/>
      <c r="DZ180" s="24"/>
      <c r="EA180" s="24"/>
      <c r="EB180" s="25"/>
      <c r="EC180" s="26"/>
      <c r="ED180" s="24"/>
      <c r="EE180" s="24"/>
      <c r="EF180" s="24"/>
      <c r="EG180" s="24"/>
      <c r="EH180" s="24"/>
      <c r="EI180" s="24"/>
      <c r="EJ180" s="24"/>
      <c r="EK180" s="24"/>
      <c r="EL180" s="24"/>
      <c r="EM180" s="24"/>
      <c r="EN180" s="24"/>
      <c r="EO180" s="25"/>
      <c r="EP180" s="26"/>
      <c r="EQ180" s="24"/>
      <c r="ER180" s="24"/>
      <c r="ES180" s="24"/>
      <c r="ET180" s="24"/>
      <c r="EU180" s="24"/>
      <c r="EV180" s="24"/>
      <c r="EW180" s="24"/>
      <c r="EX180" s="24"/>
      <c r="EY180" s="24"/>
      <c r="EZ180" s="24"/>
      <c r="FA180" s="24"/>
      <c r="FB180" s="25"/>
      <c r="FC180" s="26"/>
      <c r="FD180" s="24"/>
      <c r="FE180" s="24"/>
      <c r="FF180" s="24"/>
      <c r="FG180" s="24"/>
      <c r="FH180" s="24"/>
      <c r="FI180" s="24"/>
      <c r="FJ180" s="24"/>
      <c r="FK180" s="24"/>
      <c r="FL180" s="24"/>
      <c r="FM180" s="24"/>
      <c r="FN180" s="24"/>
      <c r="FO180" s="27">
        <f t="shared" ref="FO180:FV180" si="173">IFERROR(R180*1,0)+IFERROR(AE180*1,0)+IFERROR(AR180*1,0)+IFERROR(BE180*1,0)+IFERROR(BR180*1,0)+IFERROR(CE180*1,0)+IFERROR(CR180*1,0)+IFERROR(DE180*1,0)+IFERROR(DR180*1,0)+IFERROR(EE180*1,0)+IFERROR(ER180*1,0)+IFERROR(FE180*1,0)</f>
        <v>0</v>
      </c>
      <c r="FP180" s="27">
        <f t="shared" si="173"/>
        <v>0</v>
      </c>
      <c r="FQ180" s="27">
        <f t="shared" si="173"/>
        <v>0</v>
      </c>
      <c r="FR180" s="27">
        <f t="shared" si="173"/>
        <v>0</v>
      </c>
      <c r="FS180" s="27">
        <f t="shared" si="173"/>
        <v>0</v>
      </c>
      <c r="FT180" s="27">
        <f t="shared" si="173"/>
        <v>0</v>
      </c>
      <c r="FU180" s="27">
        <f t="shared" si="173"/>
        <v>0</v>
      </c>
      <c r="FV180" s="27">
        <f t="shared" si="173"/>
        <v>0</v>
      </c>
      <c r="FW180" s="28"/>
      <c r="FX180" s="29">
        <f t="shared" si="3"/>
        <v>0</v>
      </c>
    </row>
    <row r="181" spans="1:180" ht="18" customHeight="1" x14ac:dyDescent="0.25">
      <c r="A181" s="3" t="str">
        <f>IF(C181&lt;&gt;"","DRG-"&amp;TEXT(176,"000"),"")</f>
        <v>DRG-176</v>
      </c>
      <c r="B181" s="33" t="s">
        <v>325</v>
      </c>
      <c r="C181" s="36" t="s">
        <v>325</v>
      </c>
      <c r="D181" s="33" t="s">
        <v>56</v>
      </c>
      <c r="E181" s="33" t="s">
        <v>223</v>
      </c>
      <c r="F181" s="33" t="s">
        <v>224</v>
      </c>
      <c r="G181" s="33"/>
      <c r="H181" s="33"/>
      <c r="I181" s="33"/>
      <c r="J181" s="33"/>
      <c r="K181" s="33"/>
      <c r="L181" s="37">
        <v>4</v>
      </c>
      <c r="M181" s="30" t="str">
        <f t="shared" si="0"/>
        <v>✘ Pending</v>
      </c>
      <c r="N181" s="30">
        <f t="shared" si="1"/>
        <v>0</v>
      </c>
      <c r="O181" s="31"/>
      <c r="P181" s="32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1"/>
      <c r="AC181" s="32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1"/>
      <c r="AP181" s="32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1"/>
      <c r="BC181" s="32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1"/>
      <c r="BP181" s="32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1"/>
      <c r="CC181" s="32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1"/>
      <c r="CP181" s="32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1"/>
      <c r="DC181" s="32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1"/>
      <c r="DP181" s="32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1"/>
      <c r="EC181" s="32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1"/>
      <c r="EP181" s="32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1"/>
      <c r="FC181" s="32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4">
        <f t="shared" ref="FO181:FV181" si="174">IFERROR(R181*1,0)+IFERROR(AE181*1,0)+IFERROR(AR181*1,0)+IFERROR(BE181*1,0)+IFERROR(BR181*1,0)+IFERROR(CE181*1,0)+IFERROR(CR181*1,0)+IFERROR(DE181*1,0)+IFERROR(DR181*1,0)+IFERROR(EE181*1,0)+IFERROR(ER181*1,0)+IFERROR(FE181*1,0)</f>
        <v>0</v>
      </c>
      <c r="FP181" s="34">
        <f t="shared" si="174"/>
        <v>0</v>
      </c>
      <c r="FQ181" s="34">
        <f t="shared" si="174"/>
        <v>0</v>
      </c>
      <c r="FR181" s="34">
        <f t="shared" si="174"/>
        <v>0</v>
      </c>
      <c r="FS181" s="34">
        <f t="shared" si="174"/>
        <v>0</v>
      </c>
      <c r="FT181" s="34">
        <f t="shared" si="174"/>
        <v>0</v>
      </c>
      <c r="FU181" s="34">
        <f t="shared" si="174"/>
        <v>0</v>
      </c>
      <c r="FV181" s="34">
        <f t="shared" si="174"/>
        <v>0</v>
      </c>
      <c r="FW181" s="28"/>
      <c r="FX181" s="29">
        <f t="shared" si="3"/>
        <v>0</v>
      </c>
    </row>
    <row r="182" spans="1:180" ht="18" customHeight="1" x14ac:dyDescent="0.25">
      <c r="A182" s="3" t="str">
        <f>IF(C182&lt;&gt;"","DRG-"&amp;TEXT(177,"000"),"")</f>
        <v>DRG-177</v>
      </c>
      <c r="B182" s="24" t="s">
        <v>326</v>
      </c>
      <c r="C182" s="24" t="s">
        <v>326</v>
      </c>
      <c r="D182" s="24" t="s">
        <v>195</v>
      </c>
      <c r="E182" s="24" t="s">
        <v>196</v>
      </c>
      <c r="F182" s="24" t="s">
        <v>69</v>
      </c>
      <c r="G182" s="24"/>
      <c r="H182" s="24"/>
      <c r="I182" s="24"/>
      <c r="J182" s="24"/>
      <c r="K182" s="24"/>
      <c r="L182" s="38">
        <v>4</v>
      </c>
      <c r="M182" s="23" t="str">
        <f t="shared" si="0"/>
        <v>✘ Pending</v>
      </c>
      <c r="N182" s="23">
        <f t="shared" si="1"/>
        <v>0</v>
      </c>
      <c r="O182" s="25"/>
      <c r="P182" s="26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  <c r="AB182" s="25"/>
      <c r="AC182" s="26"/>
      <c r="AD182" s="24"/>
      <c r="AE182" s="24"/>
      <c r="AF182" s="24"/>
      <c r="AG182" s="24"/>
      <c r="AH182" s="24"/>
      <c r="AI182" s="24"/>
      <c r="AJ182" s="24"/>
      <c r="AK182" s="24"/>
      <c r="AL182" s="24"/>
      <c r="AM182" s="24"/>
      <c r="AN182" s="24"/>
      <c r="AO182" s="25"/>
      <c r="AP182" s="26"/>
      <c r="AQ182" s="24"/>
      <c r="AR182" s="24"/>
      <c r="AS182" s="24"/>
      <c r="AT182" s="24"/>
      <c r="AU182" s="24"/>
      <c r="AV182" s="24"/>
      <c r="AW182" s="24"/>
      <c r="AX182" s="24"/>
      <c r="AY182" s="24"/>
      <c r="AZ182" s="24"/>
      <c r="BA182" s="24"/>
      <c r="BB182" s="25"/>
      <c r="BC182" s="26"/>
      <c r="BD182" s="24"/>
      <c r="BE182" s="24"/>
      <c r="BF182" s="24"/>
      <c r="BG182" s="24"/>
      <c r="BH182" s="24"/>
      <c r="BI182" s="24"/>
      <c r="BJ182" s="24"/>
      <c r="BK182" s="24"/>
      <c r="BL182" s="24"/>
      <c r="BM182" s="24"/>
      <c r="BN182" s="24"/>
      <c r="BO182" s="25"/>
      <c r="BP182" s="26"/>
      <c r="BQ182" s="24"/>
      <c r="BR182" s="24"/>
      <c r="BS182" s="24"/>
      <c r="BT182" s="24"/>
      <c r="BU182" s="24"/>
      <c r="BV182" s="24"/>
      <c r="BW182" s="24"/>
      <c r="BX182" s="24"/>
      <c r="BY182" s="24"/>
      <c r="BZ182" s="24"/>
      <c r="CA182" s="24"/>
      <c r="CB182" s="25"/>
      <c r="CC182" s="26"/>
      <c r="CD182" s="24"/>
      <c r="CE182" s="24"/>
      <c r="CF182" s="24"/>
      <c r="CG182" s="24"/>
      <c r="CH182" s="24"/>
      <c r="CI182" s="24"/>
      <c r="CJ182" s="24"/>
      <c r="CK182" s="24"/>
      <c r="CL182" s="24"/>
      <c r="CM182" s="24"/>
      <c r="CN182" s="24"/>
      <c r="CO182" s="25"/>
      <c r="CP182" s="26"/>
      <c r="CQ182" s="24"/>
      <c r="CR182" s="24"/>
      <c r="CS182" s="24"/>
      <c r="CT182" s="24"/>
      <c r="CU182" s="24"/>
      <c r="CV182" s="24"/>
      <c r="CW182" s="24"/>
      <c r="CX182" s="24"/>
      <c r="CY182" s="24"/>
      <c r="CZ182" s="24"/>
      <c r="DA182" s="24"/>
      <c r="DB182" s="25"/>
      <c r="DC182" s="26"/>
      <c r="DD182" s="24"/>
      <c r="DE182" s="24"/>
      <c r="DF182" s="24"/>
      <c r="DG182" s="24"/>
      <c r="DH182" s="24"/>
      <c r="DI182" s="24"/>
      <c r="DJ182" s="24"/>
      <c r="DK182" s="24"/>
      <c r="DL182" s="24"/>
      <c r="DM182" s="24"/>
      <c r="DN182" s="24"/>
      <c r="DO182" s="25"/>
      <c r="DP182" s="26"/>
      <c r="DQ182" s="24"/>
      <c r="DR182" s="24"/>
      <c r="DS182" s="24"/>
      <c r="DT182" s="24"/>
      <c r="DU182" s="24"/>
      <c r="DV182" s="24"/>
      <c r="DW182" s="24"/>
      <c r="DX182" s="24"/>
      <c r="DY182" s="24"/>
      <c r="DZ182" s="24"/>
      <c r="EA182" s="24"/>
      <c r="EB182" s="25"/>
      <c r="EC182" s="26"/>
      <c r="ED182" s="24"/>
      <c r="EE182" s="24"/>
      <c r="EF182" s="24"/>
      <c r="EG182" s="24"/>
      <c r="EH182" s="24"/>
      <c r="EI182" s="24"/>
      <c r="EJ182" s="24"/>
      <c r="EK182" s="24"/>
      <c r="EL182" s="24"/>
      <c r="EM182" s="24"/>
      <c r="EN182" s="24"/>
      <c r="EO182" s="25"/>
      <c r="EP182" s="26"/>
      <c r="EQ182" s="24"/>
      <c r="ER182" s="24"/>
      <c r="ES182" s="24"/>
      <c r="ET182" s="24"/>
      <c r="EU182" s="24"/>
      <c r="EV182" s="24"/>
      <c r="EW182" s="24"/>
      <c r="EX182" s="24"/>
      <c r="EY182" s="24"/>
      <c r="EZ182" s="24"/>
      <c r="FA182" s="24"/>
      <c r="FB182" s="25"/>
      <c r="FC182" s="26"/>
      <c r="FD182" s="24"/>
      <c r="FE182" s="24"/>
      <c r="FF182" s="24"/>
      <c r="FG182" s="24"/>
      <c r="FH182" s="24"/>
      <c r="FI182" s="24"/>
      <c r="FJ182" s="24"/>
      <c r="FK182" s="24"/>
      <c r="FL182" s="24"/>
      <c r="FM182" s="24"/>
      <c r="FN182" s="24"/>
      <c r="FO182" s="27">
        <f t="shared" ref="FO182:FV182" si="175">IFERROR(R182*1,0)+IFERROR(AE182*1,0)+IFERROR(AR182*1,0)+IFERROR(BE182*1,0)+IFERROR(BR182*1,0)+IFERROR(CE182*1,0)+IFERROR(CR182*1,0)+IFERROR(DE182*1,0)+IFERROR(DR182*1,0)+IFERROR(EE182*1,0)+IFERROR(ER182*1,0)+IFERROR(FE182*1,0)</f>
        <v>0</v>
      </c>
      <c r="FP182" s="27">
        <f t="shared" si="175"/>
        <v>0</v>
      </c>
      <c r="FQ182" s="27">
        <f t="shared" si="175"/>
        <v>0</v>
      </c>
      <c r="FR182" s="27">
        <f t="shared" si="175"/>
        <v>0</v>
      </c>
      <c r="FS182" s="27">
        <f t="shared" si="175"/>
        <v>0</v>
      </c>
      <c r="FT182" s="27">
        <f t="shared" si="175"/>
        <v>0</v>
      </c>
      <c r="FU182" s="27">
        <f t="shared" si="175"/>
        <v>0</v>
      </c>
      <c r="FV182" s="27">
        <f t="shared" si="175"/>
        <v>0</v>
      </c>
      <c r="FW182" s="28"/>
      <c r="FX182" s="29">
        <f t="shared" si="3"/>
        <v>0</v>
      </c>
    </row>
    <row r="183" spans="1:180" ht="18" customHeight="1" x14ac:dyDescent="0.25">
      <c r="A183" s="3" t="str">
        <f>IF(C183&lt;&gt;"","DRG-"&amp;TEXT(178,"000"),"")</f>
        <v>DRG-178</v>
      </c>
      <c r="B183" s="33" t="s">
        <v>327</v>
      </c>
      <c r="C183" s="33" t="s">
        <v>327</v>
      </c>
      <c r="D183" s="33" t="s">
        <v>319</v>
      </c>
      <c r="E183" s="33" t="s">
        <v>328</v>
      </c>
      <c r="F183" s="33" t="s">
        <v>69</v>
      </c>
      <c r="G183" s="33"/>
      <c r="H183" s="33"/>
      <c r="I183" s="33"/>
      <c r="J183" s="33"/>
      <c r="K183" s="33"/>
      <c r="L183" s="37">
        <v>4</v>
      </c>
      <c r="M183" s="30" t="str">
        <f t="shared" si="0"/>
        <v>✘ Pending</v>
      </c>
      <c r="N183" s="30">
        <f t="shared" si="1"/>
        <v>0</v>
      </c>
      <c r="O183" s="31"/>
      <c r="P183" s="32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1"/>
      <c r="AC183" s="32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1"/>
      <c r="AP183" s="32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1"/>
      <c r="BC183" s="32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1"/>
      <c r="BP183" s="32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1"/>
      <c r="CC183" s="32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1"/>
      <c r="CP183" s="32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1"/>
      <c r="DC183" s="32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1"/>
      <c r="DP183" s="32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1"/>
      <c r="EC183" s="32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1"/>
      <c r="EP183" s="32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1"/>
      <c r="FC183" s="32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4">
        <f t="shared" ref="FO183:FV183" si="176">IFERROR(R183*1,0)+IFERROR(AE183*1,0)+IFERROR(AR183*1,0)+IFERROR(BE183*1,0)+IFERROR(BR183*1,0)+IFERROR(CE183*1,0)+IFERROR(CR183*1,0)+IFERROR(DE183*1,0)+IFERROR(DR183*1,0)+IFERROR(EE183*1,0)+IFERROR(ER183*1,0)+IFERROR(FE183*1,0)</f>
        <v>0</v>
      </c>
      <c r="FP183" s="34">
        <f t="shared" si="176"/>
        <v>0</v>
      </c>
      <c r="FQ183" s="34">
        <f t="shared" si="176"/>
        <v>0</v>
      </c>
      <c r="FR183" s="34">
        <f t="shared" si="176"/>
        <v>0</v>
      </c>
      <c r="FS183" s="34">
        <f t="shared" si="176"/>
        <v>0</v>
      </c>
      <c r="FT183" s="34">
        <f t="shared" si="176"/>
        <v>0</v>
      </c>
      <c r="FU183" s="34">
        <f t="shared" si="176"/>
        <v>0</v>
      </c>
      <c r="FV183" s="34">
        <f t="shared" si="176"/>
        <v>0</v>
      </c>
      <c r="FW183" s="28"/>
      <c r="FX183" s="29">
        <f t="shared" si="3"/>
        <v>0</v>
      </c>
    </row>
    <row r="184" spans="1:180" ht="18" customHeight="1" x14ac:dyDescent="0.25">
      <c r="A184" s="3" t="str">
        <f>IF(C184&lt;&gt;"","DRG-"&amp;TEXT(179,"000"),"")</f>
        <v>DRG-179</v>
      </c>
      <c r="B184" s="24" t="s">
        <v>329</v>
      </c>
      <c r="C184" s="24" t="s">
        <v>329</v>
      </c>
      <c r="D184" s="24" t="s">
        <v>319</v>
      </c>
      <c r="E184" s="24" t="s">
        <v>330</v>
      </c>
      <c r="F184" s="24" t="s">
        <v>58</v>
      </c>
      <c r="G184" s="24"/>
      <c r="H184" s="24"/>
      <c r="I184" s="24"/>
      <c r="J184" s="24"/>
      <c r="K184" s="24"/>
      <c r="L184" s="38">
        <v>4</v>
      </c>
      <c r="M184" s="23" t="str">
        <f t="shared" si="0"/>
        <v>✘ Pending</v>
      </c>
      <c r="N184" s="23">
        <f t="shared" si="1"/>
        <v>0</v>
      </c>
      <c r="O184" s="25"/>
      <c r="P184" s="26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  <c r="AB184" s="25"/>
      <c r="AC184" s="26"/>
      <c r="AD184" s="24"/>
      <c r="AE184" s="24"/>
      <c r="AF184" s="24"/>
      <c r="AG184" s="24"/>
      <c r="AH184" s="24"/>
      <c r="AI184" s="24"/>
      <c r="AJ184" s="24"/>
      <c r="AK184" s="24"/>
      <c r="AL184" s="24"/>
      <c r="AM184" s="24"/>
      <c r="AN184" s="24"/>
      <c r="AO184" s="25"/>
      <c r="AP184" s="26"/>
      <c r="AQ184" s="24"/>
      <c r="AR184" s="24"/>
      <c r="AS184" s="24"/>
      <c r="AT184" s="24"/>
      <c r="AU184" s="24"/>
      <c r="AV184" s="24"/>
      <c r="AW184" s="24"/>
      <c r="AX184" s="24"/>
      <c r="AY184" s="24"/>
      <c r="AZ184" s="24"/>
      <c r="BA184" s="24"/>
      <c r="BB184" s="25"/>
      <c r="BC184" s="26"/>
      <c r="BD184" s="24"/>
      <c r="BE184" s="24"/>
      <c r="BF184" s="24"/>
      <c r="BG184" s="24"/>
      <c r="BH184" s="24"/>
      <c r="BI184" s="24"/>
      <c r="BJ184" s="24"/>
      <c r="BK184" s="24"/>
      <c r="BL184" s="24"/>
      <c r="BM184" s="24"/>
      <c r="BN184" s="24"/>
      <c r="BO184" s="25"/>
      <c r="BP184" s="26"/>
      <c r="BQ184" s="24"/>
      <c r="BR184" s="24"/>
      <c r="BS184" s="24"/>
      <c r="BT184" s="24"/>
      <c r="BU184" s="24"/>
      <c r="BV184" s="24"/>
      <c r="BW184" s="24"/>
      <c r="BX184" s="24"/>
      <c r="BY184" s="24"/>
      <c r="BZ184" s="24"/>
      <c r="CA184" s="24"/>
      <c r="CB184" s="25"/>
      <c r="CC184" s="26"/>
      <c r="CD184" s="24"/>
      <c r="CE184" s="24"/>
      <c r="CF184" s="24"/>
      <c r="CG184" s="24"/>
      <c r="CH184" s="24"/>
      <c r="CI184" s="24"/>
      <c r="CJ184" s="24"/>
      <c r="CK184" s="24"/>
      <c r="CL184" s="24"/>
      <c r="CM184" s="24"/>
      <c r="CN184" s="24"/>
      <c r="CO184" s="25"/>
      <c r="CP184" s="26"/>
      <c r="CQ184" s="24"/>
      <c r="CR184" s="24"/>
      <c r="CS184" s="24"/>
      <c r="CT184" s="24"/>
      <c r="CU184" s="24"/>
      <c r="CV184" s="24"/>
      <c r="CW184" s="24"/>
      <c r="CX184" s="24"/>
      <c r="CY184" s="24"/>
      <c r="CZ184" s="24"/>
      <c r="DA184" s="24"/>
      <c r="DB184" s="25"/>
      <c r="DC184" s="26"/>
      <c r="DD184" s="24"/>
      <c r="DE184" s="24"/>
      <c r="DF184" s="24"/>
      <c r="DG184" s="24"/>
      <c r="DH184" s="24"/>
      <c r="DI184" s="24"/>
      <c r="DJ184" s="24"/>
      <c r="DK184" s="24"/>
      <c r="DL184" s="24"/>
      <c r="DM184" s="24"/>
      <c r="DN184" s="24"/>
      <c r="DO184" s="25"/>
      <c r="DP184" s="26"/>
      <c r="DQ184" s="24"/>
      <c r="DR184" s="24"/>
      <c r="DS184" s="24"/>
      <c r="DT184" s="24"/>
      <c r="DU184" s="24"/>
      <c r="DV184" s="24"/>
      <c r="DW184" s="24"/>
      <c r="DX184" s="24"/>
      <c r="DY184" s="24"/>
      <c r="DZ184" s="24"/>
      <c r="EA184" s="24"/>
      <c r="EB184" s="25"/>
      <c r="EC184" s="26"/>
      <c r="ED184" s="24"/>
      <c r="EE184" s="24"/>
      <c r="EF184" s="24"/>
      <c r="EG184" s="24"/>
      <c r="EH184" s="24"/>
      <c r="EI184" s="24"/>
      <c r="EJ184" s="24"/>
      <c r="EK184" s="24"/>
      <c r="EL184" s="24"/>
      <c r="EM184" s="24"/>
      <c r="EN184" s="24"/>
      <c r="EO184" s="25"/>
      <c r="EP184" s="26"/>
      <c r="EQ184" s="24"/>
      <c r="ER184" s="24"/>
      <c r="ES184" s="24"/>
      <c r="ET184" s="24"/>
      <c r="EU184" s="24"/>
      <c r="EV184" s="24"/>
      <c r="EW184" s="24"/>
      <c r="EX184" s="24"/>
      <c r="EY184" s="24"/>
      <c r="EZ184" s="24"/>
      <c r="FA184" s="24"/>
      <c r="FB184" s="25"/>
      <c r="FC184" s="26"/>
      <c r="FD184" s="24"/>
      <c r="FE184" s="24"/>
      <c r="FF184" s="24"/>
      <c r="FG184" s="24"/>
      <c r="FH184" s="24"/>
      <c r="FI184" s="24"/>
      <c r="FJ184" s="24"/>
      <c r="FK184" s="24"/>
      <c r="FL184" s="24"/>
      <c r="FM184" s="24"/>
      <c r="FN184" s="24"/>
      <c r="FO184" s="27">
        <f t="shared" ref="FO184:FV184" si="177">IFERROR(R184*1,0)+IFERROR(AE184*1,0)+IFERROR(AR184*1,0)+IFERROR(BE184*1,0)+IFERROR(BR184*1,0)+IFERROR(CE184*1,0)+IFERROR(CR184*1,0)+IFERROR(DE184*1,0)+IFERROR(DR184*1,0)+IFERROR(EE184*1,0)+IFERROR(ER184*1,0)+IFERROR(FE184*1,0)</f>
        <v>0</v>
      </c>
      <c r="FP184" s="27">
        <f t="shared" si="177"/>
        <v>0</v>
      </c>
      <c r="FQ184" s="27">
        <f t="shared" si="177"/>
        <v>0</v>
      </c>
      <c r="FR184" s="27">
        <f t="shared" si="177"/>
        <v>0</v>
      </c>
      <c r="FS184" s="27">
        <f t="shared" si="177"/>
        <v>0</v>
      </c>
      <c r="FT184" s="27">
        <f t="shared" si="177"/>
        <v>0</v>
      </c>
      <c r="FU184" s="27">
        <f t="shared" si="177"/>
        <v>0</v>
      </c>
      <c r="FV184" s="27">
        <f t="shared" si="177"/>
        <v>0</v>
      </c>
      <c r="FW184" s="28"/>
      <c r="FX184" s="29">
        <f t="shared" si="3"/>
        <v>0</v>
      </c>
    </row>
    <row r="185" spans="1:180" ht="18" customHeight="1" x14ac:dyDescent="0.25">
      <c r="A185" s="3" t="str">
        <f>IF(C185&lt;&gt;"","DRG-"&amp;TEXT(180,"000"),"")</f>
        <v>DRG-180</v>
      </c>
      <c r="B185" s="33" t="s">
        <v>331</v>
      </c>
      <c r="C185" s="33" t="s">
        <v>331</v>
      </c>
      <c r="D185" s="33" t="s">
        <v>56</v>
      </c>
      <c r="E185" s="33" t="s">
        <v>328</v>
      </c>
      <c r="F185" s="33" t="s">
        <v>69</v>
      </c>
      <c r="G185" s="33"/>
      <c r="H185" s="33"/>
      <c r="I185" s="33"/>
      <c r="J185" s="33"/>
      <c r="K185" s="33"/>
      <c r="L185" s="37">
        <v>4</v>
      </c>
      <c r="M185" s="30" t="str">
        <f t="shared" si="0"/>
        <v>✘ Pending</v>
      </c>
      <c r="N185" s="30">
        <f t="shared" si="1"/>
        <v>0</v>
      </c>
      <c r="O185" s="31"/>
      <c r="P185" s="32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1"/>
      <c r="AC185" s="32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/>
      <c r="AN185" s="33"/>
      <c r="AO185" s="31"/>
      <c r="AP185" s="32"/>
      <c r="AQ185" s="33"/>
      <c r="AR185" s="33"/>
      <c r="AS185" s="33"/>
      <c r="AT185" s="33"/>
      <c r="AU185" s="33"/>
      <c r="AV185" s="33"/>
      <c r="AW185" s="33"/>
      <c r="AX185" s="33"/>
      <c r="AY185" s="33"/>
      <c r="AZ185" s="33"/>
      <c r="BA185" s="33"/>
      <c r="BB185" s="31"/>
      <c r="BC185" s="32"/>
      <c r="BD185" s="33"/>
      <c r="BE185" s="33"/>
      <c r="BF185" s="33"/>
      <c r="BG185" s="33"/>
      <c r="BH185" s="33"/>
      <c r="BI185" s="33"/>
      <c r="BJ185" s="33"/>
      <c r="BK185" s="33"/>
      <c r="BL185" s="33"/>
      <c r="BM185" s="33"/>
      <c r="BN185" s="33"/>
      <c r="BO185" s="31"/>
      <c r="BP185" s="32"/>
      <c r="BQ185" s="33"/>
      <c r="BR185" s="33"/>
      <c r="BS185" s="33"/>
      <c r="BT185" s="33"/>
      <c r="BU185" s="33"/>
      <c r="BV185" s="33"/>
      <c r="BW185" s="33"/>
      <c r="BX185" s="33"/>
      <c r="BY185" s="33"/>
      <c r="BZ185" s="33"/>
      <c r="CA185" s="33"/>
      <c r="CB185" s="31"/>
      <c r="CC185" s="32"/>
      <c r="CD185" s="33"/>
      <c r="CE185" s="33"/>
      <c r="CF185" s="33"/>
      <c r="CG185" s="33"/>
      <c r="CH185" s="33"/>
      <c r="CI185" s="33"/>
      <c r="CJ185" s="33"/>
      <c r="CK185" s="33"/>
      <c r="CL185" s="33"/>
      <c r="CM185" s="33"/>
      <c r="CN185" s="33"/>
      <c r="CO185" s="31"/>
      <c r="CP185" s="32"/>
      <c r="CQ185" s="33"/>
      <c r="CR185" s="33"/>
      <c r="CS185" s="33"/>
      <c r="CT185" s="33"/>
      <c r="CU185" s="33"/>
      <c r="CV185" s="33"/>
      <c r="CW185" s="33"/>
      <c r="CX185" s="33"/>
      <c r="CY185" s="33"/>
      <c r="CZ185" s="33"/>
      <c r="DA185" s="33"/>
      <c r="DB185" s="31"/>
      <c r="DC185" s="32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1"/>
      <c r="DP185" s="32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1"/>
      <c r="EC185" s="32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1"/>
      <c r="EP185" s="32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1"/>
      <c r="FC185" s="32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4">
        <f t="shared" ref="FO185:FV185" si="178">IFERROR(R185*1,0)+IFERROR(AE185*1,0)+IFERROR(AR185*1,0)+IFERROR(BE185*1,0)+IFERROR(BR185*1,0)+IFERROR(CE185*1,0)+IFERROR(CR185*1,0)+IFERROR(DE185*1,0)+IFERROR(DR185*1,0)+IFERROR(EE185*1,0)+IFERROR(ER185*1,0)+IFERROR(FE185*1,0)</f>
        <v>0</v>
      </c>
      <c r="FP185" s="34">
        <f t="shared" si="178"/>
        <v>0</v>
      </c>
      <c r="FQ185" s="34">
        <f t="shared" si="178"/>
        <v>0</v>
      </c>
      <c r="FR185" s="34">
        <f t="shared" si="178"/>
        <v>0</v>
      </c>
      <c r="FS185" s="34">
        <f t="shared" si="178"/>
        <v>0</v>
      </c>
      <c r="FT185" s="34">
        <f t="shared" si="178"/>
        <v>0</v>
      </c>
      <c r="FU185" s="34">
        <f t="shared" si="178"/>
        <v>0</v>
      </c>
      <c r="FV185" s="34">
        <f t="shared" si="178"/>
        <v>0</v>
      </c>
      <c r="FW185" s="28"/>
      <c r="FX185" s="29">
        <f t="shared" si="3"/>
        <v>0</v>
      </c>
    </row>
    <row r="186" spans="1:180" ht="18" customHeight="1" x14ac:dyDescent="0.25">
      <c r="A186" s="3" t="str">
        <f>IF(C186&lt;&gt;"","DRG-"&amp;TEXT(181,"000"),"")</f>
        <v>DRG-181</v>
      </c>
      <c r="B186" s="24" t="s">
        <v>332</v>
      </c>
      <c r="C186" s="24" t="s">
        <v>332</v>
      </c>
      <c r="D186" s="24" t="s">
        <v>56</v>
      </c>
      <c r="E186" s="24" t="s">
        <v>328</v>
      </c>
      <c r="F186" s="24" t="s">
        <v>69</v>
      </c>
      <c r="G186" s="24"/>
      <c r="H186" s="24"/>
      <c r="I186" s="24"/>
      <c r="J186" s="24"/>
      <c r="K186" s="24"/>
      <c r="L186" s="38">
        <v>4</v>
      </c>
      <c r="M186" s="23" t="str">
        <f t="shared" si="0"/>
        <v>✘ Pending</v>
      </c>
      <c r="N186" s="23">
        <f t="shared" si="1"/>
        <v>0</v>
      </c>
      <c r="O186" s="25"/>
      <c r="P186" s="26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5"/>
      <c r="AC186" s="26"/>
      <c r="AD186" s="24"/>
      <c r="AE186" s="24"/>
      <c r="AF186" s="24"/>
      <c r="AG186" s="24"/>
      <c r="AH186" s="24"/>
      <c r="AI186" s="24"/>
      <c r="AJ186" s="24"/>
      <c r="AK186" s="24"/>
      <c r="AL186" s="24"/>
      <c r="AM186" s="24"/>
      <c r="AN186" s="24"/>
      <c r="AO186" s="25"/>
      <c r="AP186" s="26"/>
      <c r="AQ186" s="24"/>
      <c r="AR186" s="24"/>
      <c r="AS186" s="24"/>
      <c r="AT186" s="24"/>
      <c r="AU186" s="24"/>
      <c r="AV186" s="24"/>
      <c r="AW186" s="24"/>
      <c r="AX186" s="24"/>
      <c r="AY186" s="24"/>
      <c r="AZ186" s="24"/>
      <c r="BA186" s="24"/>
      <c r="BB186" s="25"/>
      <c r="BC186" s="26"/>
      <c r="BD186" s="24"/>
      <c r="BE186" s="24"/>
      <c r="BF186" s="24"/>
      <c r="BG186" s="24"/>
      <c r="BH186" s="24"/>
      <c r="BI186" s="24"/>
      <c r="BJ186" s="24"/>
      <c r="BK186" s="24"/>
      <c r="BL186" s="24"/>
      <c r="BM186" s="24"/>
      <c r="BN186" s="24"/>
      <c r="BO186" s="25"/>
      <c r="BP186" s="26"/>
      <c r="BQ186" s="24"/>
      <c r="BR186" s="24"/>
      <c r="BS186" s="24"/>
      <c r="BT186" s="24"/>
      <c r="BU186" s="24"/>
      <c r="BV186" s="24"/>
      <c r="BW186" s="24"/>
      <c r="BX186" s="24"/>
      <c r="BY186" s="24"/>
      <c r="BZ186" s="24"/>
      <c r="CA186" s="24"/>
      <c r="CB186" s="25"/>
      <c r="CC186" s="26"/>
      <c r="CD186" s="24"/>
      <c r="CE186" s="24"/>
      <c r="CF186" s="24"/>
      <c r="CG186" s="24"/>
      <c r="CH186" s="24"/>
      <c r="CI186" s="24"/>
      <c r="CJ186" s="24"/>
      <c r="CK186" s="24"/>
      <c r="CL186" s="24"/>
      <c r="CM186" s="24"/>
      <c r="CN186" s="24"/>
      <c r="CO186" s="25"/>
      <c r="CP186" s="26"/>
      <c r="CQ186" s="24"/>
      <c r="CR186" s="24"/>
      <c r="CS186" s="24"/>
      <c r="CT186" s="24"/>
      <c r="CU186" s="24"/>
      <c r="CV186" s="24"/>
      <c r="CW186" s="24"/>
      <c r="CX186" s="24"/>
      <c r="CY186" s="24"/>
      <c r="CZ186" s="24"/>
      <c r="DA186" s="24"/>
      <c r="DB186" s="25"/>
      <c r="DC186" s="26"/>
      <c r="DD186" s="24"/>
      <c r="DE186" s="24"/>
      <c r="DF186" s="24"/>
      <c r="DG186" s="24"/>
      <c r="DH186" s="24"/>
      <c r="DI186" s="24"/>
      <c r="DJ186" s="24"/>
      <c r="DK186" s="24"/>
      <c r="DL186" s="24"/>
      <c r="DM186" s="24"/>
      <c r="DN186" s="24"/>
      <c r="DO186" s="25"/>
      <c r="DP186" s="26"/>
      <c r="DQ186" s="24"/>
      <c r="DR186" s="24"/>
      <c r="DS186" s="24"/>
      <c r="DT186" s="24"/>
      <c r="DU186" s="24"/>
      <c r="DV186" s="24"/>
      <c r="DW186" s="24"/>
      <c r="DX186" s="24"/>
      <c r="DY186" s="24"/>
      <c r="DZ186" s="24"/>
      <c r="EA186" s="24"/>
      <c r="EB186" s="25"/>
      <c r="EC186" s="26"/>
      <c r="ED186" s="24"/>
      <c r="EE186" s="24"/>
      <c r="EF186" s="24"/>
      <c r="EG186" s="24"/>
      <c r="EH186" s="24"/>
      <c r="EI186" s="24"/>
      <c r="EJ186" s="24"/>
      <c r="EK186" s="24"/>
      <c r="EL186" s="24"/>
      <c r="EM186" s="24"/>
      <c r="EN186" s="24"/>
      <c r="EO186" s="25"/>
      <c r="EP186" s="26"/>
      <c r="EQ186" s="24"/>
      <c r="ER186" s="24"/>
      <c r="ES186" s="24"/>
      <c r="ET186" s="24"/>
      <c r="EU186" s="24"/>
      <c r="EV186" s="24"/>
      <c r="EW186" s="24"/>
      <c r="EX186" s="24"/>
      <c r="EY186" s="24"/>
      <c r="EZ186" s="24"/>
      <c r="FA186" s="24"/>
      <c r="FB186" s="25"/>
      <c r="FC186" s="26"/>
      <c r="FD186" s="24"/>
      <c r="FE186" s="24"/>
      <c r="FF186" s="24"/>
      <c r="FG186" s="24"/>
      <c r="FH186" s="24"/>
      <c r="FI186" s="24"/>
      <c r="FJ186" s="24"/>
      <c r="FK186" s="24"/>
      <c r="FL186" s="24"/>
      <c r="FM186" s="24"/>
      <c r="FN186" s="24"/>
      <c r="FO186" s="27">
        <f t="shared" ref="FO186:FV186" si="179">IFERROR(R186*1,0)+IFERROR(AE186*1,0)+IFERROR(AR186*1,0)+IFERROR(BE186*1,0)+IFERROR(BR186*1,0)+IFERROR(CE186*1,0)+IFERROR(CR186*1,0)+IFERROR(DE186*1,0)+IFERROR(DR186*1,0)+IFERROR(EE186*1,0)+IFERROR(ER186*1,0)+IFERROR(FE186*1,0)</f>
        <v>0</v>
      </c>
      <c r="FP186" s="27">
        <f t="shared" si="179"/>
        <v>0</v>
      </c>
      <c r="FQ186" s="27">
        <f t="shared" si="179"/>
        <v>0</v>
      </c>
      <c r="FR186" s="27">
        <f t="shared" si="179"/>
        <v>0</v>
      </c>
      <c r="FS186" s="27">
        <f t="shared" si="179"/>
        <v>0</v>
      </c>
      <c r="FT186" s="27">
        <f t="shared" si="179"/>
        <v>0</v>
      </c>
      <c r="FU186" s="27">
        <f t="shared" si="179"/>
        <v>0</v>
      </c>
      <c r="FV186" s="27">
        <f t="shared" si="179"/>
        <v>0</v>
      </c>
      <c r="FW186" s="28"/>
      <c r="FX186" s="29">
        <f t="shared" si="3"/>
        <v>0</v>
      </c>
    </row>
    <row r="187" spans="1:180" ht="18" customHeight="1" x14ac:dyDescent="0.25">
      <c r="A187" s="3" t="str">
        <f>IF(C187&lt;&gt;"","DRG-"&amp;TEXT(182,"000"),"")</f>
        <v>DRG-182</v>
      </c>
      <c r="B187" s="33" t="s">
        <v>333</v>
      </c>
      <c r="C187" s="33" t="s">
        <v>333</v>
      </c>
      <c r="D187" s="33" t="s">
        <v>195</v>
      </c>
      <c r="E187" s="33" t="s">
        <v>196</v>
      </c>
      <c r="F187" s="33" t="s">
        <v>69</v>
      </c>
      <c r="G187" s="33"/>
      <c r="H187" s="33"/>
      <c r="I187" s="33"/>
      <c r="J187" s="33"/>
      <c r="K187" s="33"/>
      <c r="L187" s="37">
        <v>4</v>
      </c>
      <c r="M187" s="30" t="str">
        <f t="shared" si="0"/>
        <v>✘ Pending</v>
      </c>
      <c r="N187" s="30">
        <f t="shared" si="1"/>
        <v>0</v>
      </c>
      <c r="O187" s="31"/>
      <c r="P187" s="32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1"/>
      <c r="AC187" s="32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/>
      <c r="AN187" s="33"/>
      <c r="AO187" s="31"/>
      <c r="AP187" s="32"/>
      <c r="AQ187" s="33"/>
      <c r="AR187" s="33"/>
      <c r="AS187" s="33"/>
      <c r="AT187" s="33"/>
      <c r="AU187" s="33"/>
      <c r="AV187" s="33"/>
      <c r="AW187" s="33"/>
      <c r="AX187" s="33"/>
      <c r="AY187" s="33"/>
      <c r="AZ187" s="33"/>
      <c r="BA187" s="33"/>
      <c r="BB187" s="31"/>
      <c r="BC187" s="32"/>
      <c r="BD187" s="33"/>
      <c r="BE187" s="33"/>
      <c r="BF187" s="33"/>
      <c r="BG187" s="33"/>
      <c r="BH187" s="33"/>
      <c r="BI187" s="33"/>
      <c r="BJ187" s="33"/>
      <c r="BK187" s="33"/>
      <c r="BL187" s="33"/>
      <c r="BM187" s="33"/>
      <c r="BN187" s="33"/>
      <c r="BO187" s="31"/>
      <c r="BP187" s="32"/>
      <c r="BQ187" s="33"/>
      <c r="BR187" s="33"/>
      <c r="BS187" s="33"/>
      <c r="BT187" s="33"/>
      <c r="BU187" s="33"/>
      <c r="BV187" s="33"/>
      <c r="BW187" s="33"/>
      <c r="BX187" s="33"/>
      <c r="BY187" s="33"/>
      <c r="BZ187" s="33"/>
      <c r="CA187" s="33"/>
      <c r="CB187" s="31"/>
      <c r="CC187" s="32"/>
      <c r="CD187" s="33"/>
      <c r="CE187" s="33"/>
      <c r="CF187" s="33"/>
      <c r="CG187" s="33"/>
      <c r="CH187" s="33"/>
      <c r="CI187" s="33"/>
      <c r="CJ187" s="33"/>
      <c r="CK187" s="33"/>
      <c r="CL187" s="33"/>
      <c r="CM187" s="33"/>
      <c r="CN187" s="33"/>
      <c r="CO187" s="31"/>
      <c r="CP187" s="32"/>
      <c r="CQ187" s="33"/>
      <c r="CR187" s="33"/>
      <c r="CS187" s="33"/>
      <c r="CT187" s="33"/>
      <c r="CU187" s="33"/>
      <c r="CV187" s="33"/>
      <c r="CW187" s="33"/>
      <c r="CX187" s="33"/>
      <c r="CY187" s="33"/>
      <c r="CZ187" s="33"/>
      <c r="DA187" s="33"/>
      <c r="DB187" s="31"/>
      <c r="DC187" s="32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1"/>
      <c r="DP187" s="32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1"/>
      <c r="EC187" s="32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1"/>
      <c r="EP187" s="32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1"/>
      <c r="FC187" s="32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4">
        <f t="shared" ref="FO187:FV187" si="180">IFERROR(R187*1,0)+IFERROR(AE187*1,0)+IFERROR(AR187*1,0)+IFERROR(BE187*1,0)+IFERROR(BR187*1,0)+IFERROR(CE187*1,0)+IFERROR(CR187*1,0)+IFERROR(DE187*1,0)+IFERROR(DR187*1,0)+IFERROR(EE187*1,0)+IFERROR(ER187*1,0)+IFERROR(FE187*1,0)</f>
        <v>0</v>
      </c>
      <c r="FP187" s="34">
        <f t="shared" si="180"/>
        <v>0</v>
      </c>
      <c r="FQ187" s="34">
        <f t="shared" si="180"/>
        <v>0</v>
      </c>
      <c r="FR187" s="34">
        <f t="shared" si="180"/>
        <v>0</v>
      </c>
      <c r="FS187" s="34">
        <f t="shared" si="180"/>
        <v>0</v>
      </c>
      <c r="FT187" s="34">
        <f t="shared" si="180"/>
        <v>0</v>
      </c>
      <c r="FU187" s="34">
        <f t="shared" si="180"/>
        <v>0</v>
      </c>
      <c r="FV187" s="34">
        <f t="shared" si="180"/>
        <v>0</v>
      </c>
      <c r="FW187" s="28"/>
      <c r="FX187" s="29">
        <f t="shared" si="3"/>
        <v>0</v>
      </c>
    </row>
    <row r="188" spans="1:180" ht="18" customHeight="1" x14ac:dyDescent="0.25">
      <c r="A188" s="3" t="str">
        <f>IF(C188&lt;&gt;"","DRG-"&amp;TEXT(183,"000"),"")</f>
        <v>DRG-183</v>
      </c>
      <c r="B188" s="24" t="s">
        <v>334</v>
      </c>
      <c r="C188" s="24" t="s">
        <v>335</v>
      </c>
      <c r="D188" s="24" t="s">
        <v>321</v>
      </c>
      <c r="E188" s="24" t="s">
        <v>336</v>
      </c>
      <c r="F188" s="24" t="s">
        <v>69</v>
      </c>
      <c r="G188" s="24"/>
      <c r="H188" s="24"/>
      <c r="I188" s="24"/>
      <c r="J188" s="24"/>
      <c r="K188" s="24"/>
      <c r="L188" s="38">
        <v>4</v>
      </c>
      <c r="M188" s="23" t="str">
        <f t="shared" si="0"/>
        <v>✘ Pending</v>
      </c>
      <c r="N188" s="23">
        <f t="shared" si="1"/>
        <v>0</v>
      </c>
      <c r="O188" s="25"/>
      <c r="P188" s="26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  <c r="AB188" s="25"/>
      <c r="AC188" s="26"/>
      <c r="AD188" s="24"/>
      <c r="AE188" s="24"/>
      <c r="AF188" s="24"/>
      <c r="AG188" s="24"/>
      <c r="AH188" s="24"/>
      <c r="AI188" s="24"/>
      <c r="AJ188" s="24"/>
      <c r="AK188" s="24"/>
      <c r="AL188" s="24"/>
      <c r="AM188" s="24"/>
      <c r="AN188" s="24"/>
      <c r="AO188" s="25"/>
      <c r="AP188" s="26"/>
      <c r="AQ188" s="24"/>
      <c r="AR188" s="24"/>
      <c r="AS188" s="24"/>
      <c r="AT188" s="24"/>
      <c r="AU188" s="24"/>
      <c r="AV188" s="24"/>
      <c r="AW188" s="24"/>
      <c r="AX188" s="24"/>
      <c r="AY188" s="24"/>
      <c r="AZ188" s="24"/>
      <c r="BA188" s="24"/>
      <c r="BB188" s="25"/>
      <c r="BC188" s="26"/>
      <c r="BD188" s="24"/>
      <c r="BE188" s="24"/>
      <c r="BF188" s="24"/>
      <c r="BG188" s="24"/>
      <c r="BH188" s="24"/>
      <c r="BI188" s="24"/>
      <c r="BJ188" s="24"/>
      <c r="BK188" s="24"/>
      <c r="BL188" s="24"/>
      <c r="BM188" s="24"/>
      <c r="BN188" s="24"/>
      <c r="BO188" s="25"/>
      <c r="BP188" s="26"/>
      <c r="BQ188" s="24"/>
      <c r="BR188" s="24"/>
      <c r="BS188" s="24"/>
      <c r="BT188" s="24"/>
      <c r="BU188" s="24"/>
      <c r="BV188" s="24"/>
      <c r="BW188" s="24"/>
      <c r="BX188" s="24"/>
      <c r="BY188" s="24"/>
      <c r="BZ188" s="24"/>
      <c r="CA188" s="24"/>
      <c r="CB188" s="25"/>
      <c r="CC188" s="26"/>
      <c r="CD188" s="24"/>
      <c r="CE188" s="24"/>
      <c r="CF188" s="24"/>
      <c r="CG188" s="24"/>
      <c r="CH188" s="24"/>
      <c r="CI188" s="24"/>
      <c r="CJ188" s="24"/>
      <c r="CK188" s="24"/>
      <c r="CL188" s="24"/>
      <c r="CM188" s="24"/>
      <c r="CN188" s="24"/>
      <c r="CO188" s="25"/>
      <c r="CP188" s="26"/>
      <c r="CQ188" s="24"/>
      <c r="CR188" s="24"/>
      <c r="CS188" s="24"/>
      <c r="CT188" s="24"/>
      <c r="CU188" s="24"/>
      <c r="CV188" s="24"/>
      <c r="CW188" s="24"/>
      <c r="CX188" s="24"/>
      <c r="CY188" s="24"/>
      <c r="CZ188" s="24"/>
      <c r="DA188" s="24"/>
      <c r="DB188" s="25"/>
      <c r="DC188" s="26"/>
      <c r="DD188" s="24"/>
      <c r="DE188" s="24"/>
      <c r="DF188" s="24"/>
      <c r="DG188" s="24"/>
      <c r="DH188" s="24"/>
      <c r="DI188" s="24"/>
      <c r="DJ188" s="24"/>
      <c r="DK188" s="24"/>
      <c r="DL188" s="24"/>
      <c r="DM188" s="24"/>
      <c r="DN188" s="24"/>
      <c r="DO188" s="25"/>
      <c r="DP188" s="26"/>
      <c r="DQ188" s="24"/>
      <c r="DR188" s="24"/>
      <c r="DS188" s="24"/>
      <c r="DT188" s="24"/>
      <c r="DU188" s="24"/>
      <c r="DV188" s="24"/>
      <c r="DW188" s="24"/>
      <c r="DX188" s="24"/>
      <c r="DY188" s="24"/>
      <c r="DZ188" s="24"/>
      <c r="EA188" s="24"/>
      <c r="EB188" s="25"/>
      <c r="EC188" s="26"/>
      <c r="ED188" s="24"/>
      <c r="EE188" s="24"/>
      <c r="EF188" s="24"/>
      <c r="EG188" s="24"/>
      <c r="EH188" s="24"/>
      <c r="EI188" s="24"/>
      <c r="EJ188" s="24"/>
      <c r="EK188" s="24"/>
      <c r="EL188" s="24"/>
      <c r="EM188" s="24"/>
      <c r="EN188" s="24"/>
      <c r="EO188" s="25"/>
      <c r="EP188" s="26"/>
      <c r="EQ188" s="24"/>
      <c r="ER188" s="24"/>
      <c r="ES188" s="24"/>
      <c r="ET188" s="24"/>
      <c r="EU188" s="24"/>
      <c r="EV188" s="24"/>
      <c r="EW188" s="24"/>
      <c r="EX188" s="24"/>
      <c r="EY188" s="24"/>
      <c r="EZ188" s="24"/>
      <c r="FA188" s="24"/>
      <c r="FB188" s="25"/>
      <c r="FC188" s="26"/>
      <c r="FD188" s="24"/>
      <c r="FE188" s="24"/>
      <c r="FF188" s="24"/>
      <c r="FG188" s="24"/>
      <c r="FH188" s="24"/>
      <c r="FI188" s="24"/>
      <c r="FJ188" s="24"/>
      <c r="FK188" s="24"/>
      <c r="FL188" s="24"/>
      <c r="FM188" s="24"/>
      <c r="FN188" s="24"/>
      <c r="FO188" s="27">
        <f t="shared" ref="FO188:FV188" si="181">IFERROR(R188*1,0)+IFERROR(AE188*1,0)+IFERROR(AR188*1,0)+IFERROR(BE188*1,0)+IFERROR(BR188*1,0)+IFERROR(CE188*1,0)+IFERROR(CR188*1,0)+IFERROR(DE188*1,0)+IFERROR(DR188*1,0)+IFERROR(EE188*1,0)+IFERROR(ER188*1,0)+IFERROR(FE188*1,0)</f>
        <v>0</v>
      </c>
      <c r="FP188" s="27">
        <f t="shared" si="181"/>
        <v>0</v>
      </c>
      <c r="FQ188" s="27">
        <f t="shared" si="181"/>
        <v>0</v>
      </c>
      <c r="FR188" s="27">
        <f t="shared" si="181"/>
        <v>0</v>
      </c>
      <c r="FS188" s="27">
        <f t="shared" si="181"/>
        <v>0</v>
      </c>
      <c r="FT188" s="27">
        <f t="shared" si="181"/>
        <v>0</v>
      </c>
      <c r="FU188" s="27">
        <f t="shared" si="181"/>
        <v>0</v>
      </c>
      <c r="FV188" s="27">
        <f t="shared" si="181"/>
        <v>0</v>
      </c>
      <c r="FW188" s="28"/>
      <c r="FX188" s="29">
        <f t="shared" si="3"/>
        <v>0</v>
      </c>
    </row>
    <row r="189" spans="1:180" ht="18" customHeight="1" x14ac:dyDescent="0.25">
      <c r="A189" s="3" t="str">
        <f>IF(C189&lt;&gt;"","DRG-"&amp;TEXT(184,"000"),"")</f>
        <v/>
      </c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7">
        <v>4</v>
      </c>
      <c r="M189" s="30" t="str">
        <f t="shared" si="0"/>
        <v>✘ Pending</v>
      </c>
      <c r="N189" s="30">
        <f t="shared" si="1"/>
        <v>0</v>
      </c>
      <c r="O189" s="31"/>
      <c r="P189" s="32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1"/>
      <c r="AC189" s="32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1"/>
      <c r="AP189" s="32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1"/>
      <c r="BC189" s="32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1"/>
      <c r="BP189" s="32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1"/>
      <c r="CC189" s="32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1"/>
      <c r="CP189" s="32"/>
      <c r="CQ189" s="33"/>
      <c r="CR189" s="33"/>
      <c r="CS189" s="33"/>
      <c r="CT189" s="33"/>
      <c r="CU189" s="33"/>
      <c r="CV189" s="33"/>
      <c r="CW189" s="33"/>
      <c r="CX189" s="33"/>
      <c r="CY189" s="33"/>
      <c r="CZ189" s="33"/>
      <c r="DA189" s="33"/>
      <c r="DB189" s="31"/>
      <c r="DC189" s="32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1"/>
      <c r="DP189" s="32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1"/>
      <c r="EC189" s="32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1"/>
      <c r="EP189" s="32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1"/>
      <c r="FC189" s="32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4">
        <f t="shared" ref="FO189:FV189" si="182">IFERROR(R189*1,0)+IFERROR(AE189*1,0)+IFERROR(AR189*1,0)+IFERROR(BE189*1,0)+IFERROR(BR189*1,0)+IFERROR(CE189*1,0)+IFERROR(CR189*1,0)+IFERROR(DE189*1,0)+IFERROR(DR189*1,0)+IFERROR(EE189*1,0)+IFERROR(ER189*1,0)+IFERROR(FE189*1,0)</f>
        <v>0</v>
      </c>
      <c r="FP189" s="34">
        <f t="shared" si="182"/>
        <v>0</v>
      </c>
      <c r="FQ189" s="34">
        <f t="shared" si="182"/>
        <v>0</v>
      </c>
      <c r="FR189" s="34">
        <f t="shared" si="182"/>
        <v>0</v>
      </c>
      <c r="FS189" s="34">
        <f t="shared" si="182"/>
        <v>0</v>
      </c>
      <c r="FT189" s="34">
        <f t="shared" si="182"/>
        <v>0</v>
      </c>
      <c r="FU189" s="34">
        <f t="shared" si="182"/>
        <v>0</v>
      </c>
      <c r="FV189" s="34">
        <f t="shared" si="182"/>
        <v>0</v>
      </c>
      <c r="FW189" s="28"/>
      <c r="FX189" s="29">
        <f t="shared" si="3"/>
        <v>0</v>
      </c>
    </row>
    <row r="190" spans="1:180" ht="18" customHeight="1" x14ac:dyDescent="0.25">
      <c r="A190" s="3" t="str">
        <f>IF(C190&lt;&gt;"","DRG-"&amp;TEXT(185,"000"),"")</f>
        <v/>
      </c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38">
        <v>4</v>
      </c>
      <c r="M190" s="23" t="str">
        <f t="shared" si="0"/>
        <v>✘ Pending</v>
      </c>
      <c r="N190" s="23">
        <f t="shared" si="1"/>
        <v>0</v>
      </c>
      <c r="O190" s="25"/>
      <c r="P190" s="26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  <c r="AB190" s="25"/>
      <c r="AC190" s="26"/>
      <c r="AD190" s="24"/>
      <c r="AE190" s="24"/>
      <c r="AF190" s="24"/>
      <c r="AG190" s="24"/>
      <c r="AH190" s="24"/>
      <c r="AI190" s="24"/>
      <c r="AJ190" s="24"/>
      <c r="AK190" s="24"/>
      <c r="AL190" s="24"/>
      <c r="AM190" s="24"/>
      <c r="AN190" s="24"/>
      <c r="AO190" s="25"/>
      <c r="AP190" s="26"/>
      <c r="AQ190" s="24"/>
      <c r="AR190" s="24"/>
      <c r="AS190" s="24"/>
      <c r="AT190" s="24"/>
      <c r="AU190" s="24"/>
      <c r="AV190" s="24"/>
      <c r="AW190" s="24"/>
      <c r="AX190" s="24"/>
      <c r="AY190" s="24"/>
      <c r="AZ190" s="24"/>
      <c r="BA190" s="24"/>
      <c r="BB190" s="25"/>
      <c r="BC190" s="26"/>
      <c r="BD190" s="24"/>
      <c r="BE190" s="24"/>
      <c r="BF190" s="24"/>
      <c r="BG190" s="24"/>
      <c r="BH190" s="24"/>
      <c r="BI190" s="24"/>
      <c r="BJ190" s="24"/>
      <c r="BK190" s="24"/>
      <c r="BL190" s="24"/>
      <c r="BM190" s="24"/>
      <c r="BN190" s="24"/>
      <c r="BO190" s="25"/>
      <c r="BP190" s="26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5"/>
      <c r="CC190" s="26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5"/>
      <c r="CP190" s="26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5"/>
      <c r="DC190" s="26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5"/>
      <c r="DP190" s="26"/>
      <c r="DQ190" s="24"/>
      <c r="DR190" s="24"/>
      <c r="DS190" s="24"/>
      <c r="DT190" s="24"/>
      <c r="DU190" s="24"/>
      <c r="DV190" s="24"/>
      <c r="DW190" s="24"/>
      <c r="DX190" s="24"/>
      <c r="DY190" s="24"/>
      <c r="DZ190" s="24"/>
      <c r="EA190" s="24"/>
      <c r="EB190" s="25"/>
      <c r="EC190" s="26"/>
      <c r="ED190" s="24"/>
      <c r="EE190" s="24"/>
      <c r="EF190" s="24"/>
      <c r="EG190" s="24"/>
      <c r="EH190" s="24"/>
      <c r="EI190" s="24"/>
      <c r="EJ190" s="24"/>
      <c r="EK190" s="24"/>
      <c r="EL190" s="24"/>
      <c r="EM190" s="24"/>
      <c r="EN190" s="24"/>
      <c r="EO190" s="25"/>
      <c r="EP190" s="26"/>
      <c r="EQ190" s="24"/>
      <c r="ER190" s="24"/>
      <c r="ES190" s="24"/>
      <c r="ET190" s="24"/>
      <c r="EU190" s="24"/>
      <c r="EV190" s="24"/>
      <c r="EW190" s="24"/>
      <c r="EX190" s="24"/>
      <c r="EY190" s="24"/>
      <c r="EZ190" s="24"/>
      <c r="FA190" s="24"/>
      <c r="FB190" s="25"/>
      <c r="FC190" s="26"/>
      <c r="FD190" s="24"/>
      <c r="FE190" s="24"/>
      <c r="FF190" s="24"/>
      <c r="FG190" s="24"/>
      <c r="FH190" s="24"/>
      <c r="FI190" s="24"/>
      <c r="FJ190" s="24"/>
      <c r="FK190" s="24"/>
      <c r="FL190" s="24"/>
      <c r="FM190" s="24"/>
      <c r="FN190" s="24"/>
      <c r="FO190" s="27">
        <f t="shared" ref="FO190:FV190" si="183">IFERROR(R190*1,0)+IFERROR(AE190*1,0)+IFERROR(AR190*1,0)+IFERROR(BE190*1,0)+IFERROR(BR190*1,0)+IFERROR(CE190*1,0)+IFERROR(CR190*1,0)+IFERROR(DE190*1,0)+IFERROR(DR190*1,0)+IFERROR(EE190*1,0)+IFERROR(ER190*1,0)+IFERROR(FE190*1,0)</f>
        <v>0</v>
      </c>
      <c r="FP190" s="27">
        <f t="shared" si="183"/>
        <v>0</v>
      </c>
      <c r="FQ190" s="27">
        <f t="shared" si="183"/>
        <v>0</v>
      </c>
      <c r="FR190" s="27">
        <f t="shared" si="183"/>
        <v>0</v>
      </c>
      <c r="FS190" s="27">
        <f t="shared" si="183"/>
        <v>0</v>
      </c>
      <c r="FT190" s="27">
        <f t="shared" si="183"/>
        <v>0</v>
      </c>
      <c r="FU190" s="27">
        <f t="shared" si="183"/>
        <v>0</v>
      </c>
      <c r="FV190" s="27">
        <f t="shared" si="183"/>
        <v>0</v>
      </c>
      <c r="FW190" s="28"/>
      <c r="FX190" s="29">
        <f t="shared" si="3"/>
        <v>0</v>
      </c>
    </row>
    <row r="191" spans="1:180" ht="18" customHeight="1" x14ac:dyDescent="0.25">
      <c r="A191" s="3" t="str">
        <f>IF(C191&lt;&gt;"","DRG-"&amp;TEXT(186,"000"),"")</f>
        <v/>
      </c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7">
        <v>4</v>
      </c>
      <c r="M191" s="30" t="str">
        <f t="shared" si="0"/>
        <v>✘ Pending</v>
      </c>
      <c r="N191" s="30">
        <f t="shared" si="1"/>
        <v>0</v>
      </c>
      <c r="O191" s="31"/>
      <c r="P191" s="32"/>
      <c r="Q191" s="33"/>
      <c r="R191" s="33"/>
      <c r="S191" s="33"/>
      <c r="T191" s="33"/>
      <c r="U191" s="33"/>
      <c r="V191" s="33"/>
      <c r="W191" s="33"/>
      <c r="X191" s="33"/>
      <c r="Y191" s="33"/>
      <c r="Z191" s="33"/>
      <c r="AA191" s="33"/>
      <c r="AB191" s="31"/>
      <c r="AC191" s="32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/>
      <c r="AN191" s="33"/>
      <c r="AO191" s="31"/>
      <c r="AP191" s="32"/>
      <c r="AQ191" s="33"/>
      <c r="AR191" s="33"/>
      <c r="AS191" s="33"/>
      <c r="AT191" s="33"/>
      <c r="AU191" s="33"/>
      <c r="AV191" s="33"/>
      <c r="AW191" s="33"/>
      <c r="AX191" s="33"/>
      <c r="AY191" s="33"/>
      <c r="AZ191" s="33"/>
      <c r="BA191" s="33"/>
      <c r="BB191" s="31"/>
      <c r="BC191" s="32"/>
      <c r="BD191" s="33"/>
      <c r="BE191" s="33"/>
      <c r="BF191" s="33"/>
      <c r="BG191" s="33"/>
      <c r="BH191" s="33"/>
      <c r="BI191" s="33"/>
      <c r="BJ191" s="33"/>
      <c r="BK191" s="33"/>
      <c r="BL191" s="33"/>
      <c r="BM191" s="33"/>
      <c r="BN191" s="33"/>
      <c r="BO191" s="31"/>
      <c r="BP191" s="32"/>
      <c r="BQ191" s="33"/>
      <c r="BR191" s="33"/>
      <c r="BS191" s="33"/>
      <c r="BT191" s="33"/>
      <c r="BU191" s="33"/>
      <c r="BV191" s="33"/>
      <c r="BW191" s="33"/>
      <c r="BX191" s="33"/>
      <c r="BY191" s="33"/>
      <c r="BZ191" s="33"/>
      <c r="CA191" s="33"/>
      <c r="CB191" s="31"/>
      <c r="CC191" s="32"/>
      <c r="CD191" s="33"/>
      <c r="CE191" s="33"/>
      <c r="CF191" s="33"/>
      <c r="CG191" s="33"/>
      <c r="CH191" s="33"/>
      <c r="CI191" s="33"/>
      <c r="CJ191" s="33"/>
      <c r="CK191" s="33"/>
      <c r="CL191" s="33"/>
      <c r="CM191" s="33"/>
      <c r="CN191" s="33"/>
      <c r="CO191" s="31"/>
      <c r="CP191" s="32"/>
      <c r="CQ191" s="33"/>
      <c r="CR191" s="33"/>
      <c r="CS191" s="33"/>
      <c r="CT191" s="33"/>
      <c r="CU191" s="33"/>
      <c r="CV191" s="33"/>
      <c r="CW191" s="33"/>
      <c r="CX191" s="33"/>
      <c r="CY191" s="33"/>
      <c r="CZ191" s="33"/>
      <c r="DA191" s="33"/>
      <c r="DB191" s="31"/>
      <c r="DC191" s="32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1"/>
      <c r="DP191" s="32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1"/>
      <c r="EC191" s="32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1"/>
      <c r="EP191" s="32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1"/>
      <c r="FC191" s="32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4">
        <f t="shared" ref="FO191:FV191" si="184">IFERROR(R191*1,0)+IFERROR(AE191*1,0)+IFERROR(AR191*1,0)+IFERROR(BE191*1,0)+IFERROR(BR191*1,0)+IFERROR(CE191*1,0)+IFERROR(CR191*1,0)+IFERROR(DE191*1,0)+IFERROR(DR191*1,0)+IFERROR(EE191*1,0)+IFERROR(ER191*1,0)+IFERROR(FE191*1,0)</f>
        <v>0</v>
      </c>
      <c r="FP191" s="34">
        <f t="shared" si="184"/>
        <v>0</v>
      </c>
      <c r="FQ191" s="34">
        <f t="shared" si="184"/>
        <v>0</v>
      </c>
      <c r="FR191" s="34">
        <f t="shared" si="184"/>
        <v>0</v>
      </c>
      <c r="FS191" s="34">
        <f t="shared" si="184"/>
        <v>0</v>
      </c>
      <c r="FT191" s="34">
        <f t="shared" si="184"/>
        <v>0</v>
      </c>
      <c r="FU191" s="34">
        <f t="shared" si="184"/>
        <v>0</v>
      </c>
      <c r="FV191" s="34">
        <f t="shared" si="184"/>
        <v>0</v>
      </c>
      <c r="FW191" s="28"/>
      <c r="FX191" s="29">
        <f t="shared" si="3"/>
        <v>0</v>
      </c>
    </row>
    <row r="192" spans="1:180" ht="18" customHeight="1" x14ac:dyDescent="0.25">
      <c r="A192" s="3" t="str">
        <f>IF(C192&lt;&gt;"","DRG-"&amp;TEXT(187,"000"),"")</f>
        <v/>
      </c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38">
        <v>4</v>
      </c>
      <c r="M192" s="23" t="str">
        <f t="shared" si="0"/>
        <v>✘ Pending</v>
      </c>
      <c r="N192" s="23">
        <f t="shared" si="1"/>
        <v>0</v>
      </c>
      <c r="O192" s="25"/>
      <c r="P192" s="26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  <c r="AB192" s="25"/>
      <c r="AC192" s="26"/>
      <c r="AD192" s="24"/>
      <c r="AE192" s="24"/>
      <c r="AF192" s="24"/>
      <c r="AG192" s="24"/>
      <c r="AH192" s="24"/>
      <c r="AI192" s="24"/>
      <c r="AJ192" s="24"/>
      <c r="AK192" s="24"/>
      <c r="AL192" s="24"/>
      <c r="AM192" s="24"/>
      <c r="AN192" s="24"/>
      <c r="AO192" s="25"/>
      <c r="AP192" s="26"/>
      <c r="AQ192" s="24"/>
      <c r="AR192" s="24"/>
      <c r="AS192" s="24"/>
      <c r="AT192" s="24"/>
      <c r="AU192" s="24"/>
      <c r="AV192" s="24"/>
      <c r="AW192" s="24"/>
      <c r="AX192" s="24"/>
      <c r="AY192" s="24"/>
      <c r="AZ192" s="24"/>
      <c r="BA192" s="24"/>
      <c r="BB192" s="25"/>
      <c r="BC192" s="26"/>
      <c r="BD192" s="24"/>
      <c r="BE192" s="24"/>
      <c r="BF192" s="24"/>
      <c r="BG192" s="24"/>
      <c r="BH192" s="24"/>
      <c r="BI192" s="24"/>
      <c r="BJ192" s="24"/>
      <c r="BK192" s="24"/>
      <c r="BL192" s="24"/>
      <c r="BM192" s="24"/>
      <c r="BN192" s="24"/>
      <c r="BO192" s="25"/>
      <c r="BP192" s="26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5"/>
      <c r="CC192" s="26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5"/>
      <c r="CP192" s="26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5"/>
      <c r="DC192" s="26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5"/>
      <c r="DP192" s="26"/>
      <c r="DQ192" s="24"/>
      <c r="DR192" s="24"/>
      <c r="DS192" s="24"/>
      <c r="DT192" s="24"/>
      <c r="DU192" s="24"/>
      <c r="DV192" s="24"/>
      <c r="DW192" s="24"/>
      <c r="DX192" s="24"/>
      <c r="DY192" s="24"/>
      <c r="DZ192" s="24"/>
      <c r="EA192" s="24"/>
      <c r="EB192" s="25"/>
      <c r="EC192" s="26"/>
      <c r="ED192" s="24"/>
      <c r="EE192" s="24"/>
      <c r="EF192" s="24"/>
      <c r="EG192" s="24"/>
      <c r="EH192" s="24"/>
      <c r="EI192" s="24"/>
      <c r="EJ192" s="24"/>
      <c r="EK192" s="24"/>
      <c r="EL192" s="24"/>
      <c r="EM192" s="24"/>
      <c r="EN192" s="24"/>
      <c r="EO192" s="25"/>
      <c r="EP192" s="26"/>
      <c r="EQ192" s="24"/>
      <c r="ER192" s="24"/>
      <c r="ES192" s="24"/>
      <c r="ET192" s="24"/>
      <c r="EU192" s="24"/>
      <c r="EV192" s="24"/>
      <c r="EW192" s="24"/>
      <c r="EX192" s="24"/>
      <c r="EY192" s="24"/>
      <c r="EZ192" s="24"/>
      <c r="FA192" s="24"/>
      <c r="FB192" s="25"/>
      <c r="FC192" s="26"/>
      <c r="FD192" s="24"/>
      <c r="FE192" s="24"/>
      <c r="FF192" s="24"/>
      <c r="FG192" s="24"/>
      <c r="FH192" s="24"/>
      <c r="FI192" s="24"/>
      <c r="FJ192" s="24"/>
      <c r="FK192" s="24"/>
      <c r="FL192" s="24"/>
      <c r="FM192" s="24"/>
      <c r="FN192" s="24"/>
      <c r="FO192" s="27">
        <f t="shared" ref="FO192:FV192" si="185">IFERROR(R192*1,0)+IFERROR(AE192*1,0)+IFERROR(AR192*1,0)+IFERROR(BE192*1,0)+IFERROR(BR192*1,0)+IFERROR(CE192*1,0)+IFERROR(CR192*1,0)+IFERROR(DE192*1,0)+IFERROR(DR192*1,0)+IFERROR(EE192*1,0)+IFERROR(ER192*1,0)+IFERROR(FE192*1,0)</f>
        <v>0</v>
      </c>
      <c r="FP192" s="27">
        <f t="shared" si="185"/>
        <v>0</v>
      </c>
      <c r="FQ192" s="27">
        <f t="shared" si="185"/>
        <v>0</v>
      </c>
      <c r="FR192" s="27">
        <f t="shared" si="185"/>
        <v>0</v>
      </c>
      <c r="FS192" s="27">
        <f t="shared" si="185"/>
        <v>0</v>
      </c>
      <c r="FT192" s="27">
        <f t="shared" si="185"/>
        <v>0</v>
      </c>
      <c r="FU192" s="27">
        <f t="shared" si="185"/>
        <v>0</v>
      </c>
      <c r="FV192" s="27">
        <f t="shared" si="185"/>
        <v>0</v>
      </c>
      <c r="FW192" s="28"/>
      <c r="FX192" s="29">
        <f t="shared" si="3"/>
        <v>0</v>
      </c>
    </row>
    <row r="193" spans="1:180" ht="18" customHeight="1" x14ac:dyDescent="0.25">
      <c r="A193" s="3" t="str">
        <f>IF(C193&lt;&gt;"","DRG-"&amp;TEXT(188,"000"),"")</f>
        <v/>
      </c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7">
        <v>4</v>
      </c>
      <c r="M193" s="30" t="str">
        <f t="shared" si="0"/>
        <v>✘ Pending</v>
      </c>
      <c r="N193" s="30">
        <f t="shared" si="1"/>
        <v>0</v>
      </c>
      <c r="O193" s="31"/>
      <c r="P193" s="32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1"/>
      <c r="AC193" s="32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/>
      <c r="AN193" s="33"/>
      <c r="AO193" s="31"/>
      <c r="AP193" s="32"/>
      <c r="AQ193" s="33"/>
      <c r="AR193" s="33"/>
      <c r="AS193" s="33"/>
      <c r="AT193" s="33"/>
      <c r="AU193" s="33"/>
      <c r="AV193" s="33"/>
      <c r="AW193" s="33"/>
      <c r="AX193" s="33"/>
      <c r="AY193" s="33"/>
      <c r="AZ193" s="33"/>
      <c r="BA193" s="33"/>
      <c r="BB193" s="31"/>
      <c r="BC193" s="32"/>
      <c r="BD193" s="33"/>
      <c r="BE193" s="33"/>
      <c r="BF193" s="33"/>
      <c r="BG193" s="33"/>
      <c r="BH193" s="33"/>
      <c r="BI193" s="33"/>
      <c r="BJ193" s="33"/>
      <c r="BK193" s="33"/>
      <c r="BL193" s="33"/>
      <c r="BM193" s="33"/>
      <c r="BN193" s="33"/>
      <c r="BO193" s="31"/>
      <c r="BP193" s="32"/>
      <c r="BQ193" s="33"/>
      <c r="BR193" s="33"/>
      <c r="BS193" s="33"/>
      <c r="BT193" s="33"/>
      <c r="BU193" s="33"/>
      <c r="BV193" s="33"/>
      <c r="BW193" s="33"/>
      <c r="BX193" s="33"/>
      <c r="BY193" s="33"/>
      <c r="BZ193" s="33"/>
      <c r="CA193" s="33"/>
      <c r="CB193" s="31"/>
      <c r="CC193" s="32"/>
      <c r="CD193" s="33"/>
      <c r="CE193" s="33"/>
      <c r="CF193" s="33"/>
      <c r="CG193" s="33"/>
      <c r="CH193" s="33"/>
      <c r="CI193" s="33"/>
      <c r="CJ193" s="33"/>
      <c r="CK193" s="33"/>
      <c r="CL193" s="33"/>
      <c r="CM193" s="33"/>
      <c r="CN193" s="33"/>
      <c r="CO193" s="31"/>
      <c r="CP193" s="32"/>
      <c r="CQ193" s="33"/>
      <c r="CR193" s="33"/>
      <c r="CS193" s="33"/>
      <c r="CT193" s="33"/>
      <c r="CU193" s="33"/>
      <c r="CV193" s="33"/>
      <c r="CW193" s="33"/>
      <c r="CX193" s="33"/>
      <c r="CY193" s="33"/>
      <c r="CZ193" s="33"/>
      <c r="DA193" s="33"/>
      <c r="DB193" s="31"/>
      <c r="DC193" s="32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1"/>
      <c r="DP193" s="32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1"/>
      <c r="EC193" s="32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1"/>
      <c r="EP193" s="32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1"/>
      <c r="FC193" s="32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4">
        <f t="shared" ref="FO193:FV193" si="186">IFERROR(R193*1,0)+IFERROR(AE193*1,0)+IFERROR(AR193*1,0)+IFERROR(BE193*1,0)+IFERROR(BR193*1,0)+IFERROR(CE193*1,0)+IFERROR(CR193*1,0)+IFERROR(DE193*1,0)+IFERROR(DR193*1,0)+IFERROR(EE193*1,0)+IFERROR(ER193*1,0)+IFERROR(FE193*1,0)</f>
        <v>0</v>
      </c>
      <c r="FP193" s="34">
        <f t="shared" si="186"/>
        <v>0</v>
      </c>
      <c r="FQ193" s="34">
        <f t="shared" si="186"/>
        <v>0</v>
      </c>
      <c r="FR193" s="34">
        <f t="shared" si="186"/>
        <v>0</v>
      </c>
      <c r="FS193" s="34">
        <f t="shared" si="186"/>
        <v>0</v>
      </c>
      <c r="FT193" s="34">
        <f t="shared" si="186"/>
        <v>0</v>
      </c>
      <c r="FU193" s="34">
        <f t="shared" si="186"/>
        <v>0</v>
      </c>
      <c r="FV193" s="34">
        <f t="shared" si="186"/>
        <v>0</v>
      </c>
      <c r="FW193" s="28"/>
      <c r="FX193" s="29">
        <f t="shared" si="3"/>
        <v>0</v>
      </c>
    </row>
    <row r="194" spans="1:180" ht="18" customHeight="1" x14ac:dyDescent="0.25">
      <c r="A194" s="3" t="str">
        <f>IF(C194&lt;&gt;"","DRG-"&amp;TEXT(189,"000"),"")</f>
        <v/>
      </c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38">
        <v>4</v>
      </c>
      <c r="M194" s="23" t="str">
        <f t="shared" si="0"/>
        <v>✘ Pending</v>
      </c>
      <c r="N194" s="23">
        <f t="shared" si="1"/>
        <v>0</v>
      </c>
      <c r="O194" s="25"/>
      <c r="P194" s="26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  <c r="AB194" s="25"/>
      <c r="AC194" s="26"/>
      <c r="AD194" s="24"/>
      <c r="AE194" s="24"/>
      <c r="AF194" s="24"/>
      <c r="AG194" s="24"/>
      <c r="AH194" s="24"/>
      <c r="AI194" s="24"/>
      <c r="AJ194" s="24"/>
      <c r="AK194" s="24"/>
      <c r="AL194" s="24"/>
      <c r="AM194" s="24"/>
      <c r="AN194" s="24"/>
      <c r="AO194" s="25"/>
      <c r="AP194" s="26"/>
      <c r="AQ194" s="24"/>
      <c r="AR194" s="24"/>
      <c r="AS194" s="24"/>
      <c r="AT194" s="24"/>
      <c r="AU194" s="24"/>
      <c r="AV194" s="24"/>
      <c r="AW194" s="24"/>
      <c r="AX194" s="24"/>
      <c r="AY194" s="24"/>
      <c r="AZ194" s="24"/>
      <c r="BA194" s="24"/>
      <c r="BB194" s="25"/>
      <c r="BC194" s="26"/>
      <c r="BD194" s="24"/>
      <c r="BE194" s="24"/>
      <c r="BF194" s="24"/>
      <c r="BG194" s="24"/>
      <c r="BH194" s="24"/>
      <c r="BI194" s="24"/>
      <c r="BJ194" s="24"/>
      <c r="BK194" s="24"/>
      <c r="BL194" s="24"/>
      <c r="BM194" s="24"/>
      <c r="BN194" s="24"/>
      <c r="BO194" s="25"/>
      <c r="BP194" s="26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5"/>
      <c r="CC194" s="26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5"/>
      <c r="CP194" s="26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5"/>
      <c r="DC194" s="26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5"/>
      <c r="DP194" s="26"/>
      <c r="DQ194" s="24"/>
      <c r="DR194" s="24"/>
      <c r="DS194" s="24"/>
      <c r="DT194" s="24"/>
      <c r="DU194" s="24"/>
      <c r="DV194" s="24"/>
      <c r="DW194" s="24"/>
      <c r="DX194" s="24"/>
      <c r="DY194" s="24"/>
      <c r="DZ194" s="24"/>
      <c r="EA194" s="24"/>
      <c r="EB194" s="25"/>
      <c r="EC194" s="26"/>
      <c r="ED194" s="24"/>
      <c r="EE194" s="24"/>
      <c r="EF194" s="24"/>
      <c r="EG194" s="24"/>
      <c r="EH194" s="24"/>
      <c r="EI194" s="24"/>
      <c r="EJ194" s="24"/>
      <c r="EK194" s="24"/>
      <c r="EL194" s="24"/>
      <c r="EM194" s="24"/>
      <c r="EN194" s="24"/>
      <c r="EO194" s="25"/>
      <c r="EP194" s="26"/>
      <c r="EQ194" s="24"/>
      <c r="ER194" s="24"/>
      <c r="ES194" s="24"/>
      <c r="ET194" s="24"/>
      <c r="EU194" s="24"/>
      <c r="EV194" s="24"/>
      <c r="EW194" s="24"/>
      <c r="EX194" s="24"/>
      <c r="EY194" s="24"/>
      <c r="EZ194" s="24"/>
      <c r="FA194" s="24"/>
      <c r="FB194" s="25"/>
      <c r="FC194" s="26"/>
      <c r="FD194" s="24"/>
      <c r="FE194" s="24"/>
      <c r="FF194" s="24"/>
      <c r="FG194" s="24"/>
      <c r="FH194" s="24"/>
      <c r="FI194" s="24"/>
      <c r="FJ194" s="24"/>
      <c r="FK194" s="24"/>
      <c r="FL194" s="24"/>
      <c r="FM194" s="24"/>
      <c r="FN194" s="24"/>
      <c r="FO194" s="27">
        <f t="shared" ref="FO194:FV194" si="187">IFERROR(R194*1,0)+IFERROR(AE194*1,0)+IFERROR(AR194*1,0)+IFERROR(BE194*1,0)+IFERROR(BR194*1,0)+IFERROR(CE194*1,0)+IFERROR(CR194*1,0)+IFERROR(DE194*1,0)+IFERROR(DR194*1,0)+IFERROR(EE194*1,0)+IFERROR(ER194*1,0)+IFERROR(FE194*1,0)</f>
        <v>0</v>
      </c>
      <c r="FP194" s="27">
        <f t="shared" si="187"/>
        <v>0</v>
      </c>
      <c r="FQ194" s="27">
        <f t="shared" si="187"/>
        <v>0</v>
      </c>
      <c r="FR194" s="27">
        <f t="shared" si="187"/>
        <v>0</v>
      </c>
      <c r="FS194" s="27">
        <f t="shared" si="187"/>
        <v>0</v>
      </c>
      <c r="FT194" s="27">
        <f t="shared" si="187"/>
        <v>0</v>
      </c>
      <c r="FU194" s="27">
        <f t="shared" si="187"/>
        <v>0</v>
      </c>
      <c r="FV194" s="27">
        <f t="shared" si="187"/>
        <v>0</v>
      </c>
      <c r="FW194" s="28"/>
      <c r="FX194" s="29">
        <f t="shared" si="3"/>
        <v>0</v>
      </c>
    </row>
    <row r="195" spans="1:180" ht="18" customHeight="1" x14ac:dyDescent="0.25">
      <c r="A195" s="3" t="str">
        <f>IF(C195&lt;&gt;"","DRG-"&amp;TEXT(190,"000"),"")</f>
        <v/>
      </c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7">
        <v>4</v>
      </c>
      <c r="M195" s="30" t="str">
        <f t="shared" si="0"/>
        <v>✘ Pending</v>
      </c>
      <c r="N195" s="30">
        <f t="shared" si="1"/>
        <v>0</v>
      </c>
      <c r="O195" s="31"/>
      <c r="P195" s="32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1"/>
      <c r="AC195" s="32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1"/>
      <c r="AP195" s="32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1"/>
      <c r="BC195" s="32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1"/>
      <c r="BP195" s="32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1"/>
      <c r="CC195" s="32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1"/>
      <c r="CP195" s="32"/>
      <c r="CQ195" s="33"/>
      <c r="CR195" s="33"/>
      <c r="CS195" s="33"/>
      <c r="CT195" s="33"/>
      <c r="CU195" s="33"/>
      <c r="CV195" s="33"/>
      <c r="CW195" s="33"/>
      <c r="CX195" s="33"/>
      <c r="CY195" s="33"/>
      <c r="CZ195" s="33"/>
      <c r="DA195" s="33"/>
      <c r="DB195" s="31"/>
      <c r="DC195" s="32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1"/>
      <c r="DP195" s="32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1"/>
      <c r="EC195" s="32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1"/>
      <c r="EP195" s="32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1"/>
      <c r="FC195" s="32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4">
        <f t="shared" ref="FO195:FV195" si="188">IFERROR(R195*1,0)+IFERROR(AE195*1,0)+IFERROR(AR195*1,0)+IFERROR(BE195*1,0)+IFERROR(BR195*1,0)+IFERROR(CE195*1,0)+IFERROR(CR195*1,0)+IFERROR(DE195*1,0)+IFERROR(DR195*1,0)+IFERROR(EE195*1,0)+IFERROR(ER195*1,0)+IFERROR(FE195*1,0)</f>
        <v>0</v>
      </c>
      <c r="FP195" s="34">
        <f t="shared" si="188"/>
        <v>0</v>
      </c>
      <c r="FQ195" s="34">
        <f t="shared" si="188"/>
        <v>0</v>
      </c>
      <c r="FR195" s="34">
        <f t="shared" si="188"/>
        <v>0</v>
      </c>
      <c r="FS195" s="34">
        <f t="shared" si="188"/>
        <v>0</v>
      </c>
      <c r="FT195" s="34">
        <f t="shared" si="188"/>
        <v>0</v>
      </c>
      <c r="FU195" s="34">
        <f t="shared" si="188"/>
        <v>0</v>
      </c>
      <c r="FV195" s="34">
        <f t="shared" si="188"/>
        <v>0</v>
      </c>
      <c r="FW195" s="28"/>
      <c r="FX195" s="29">
        <f t="shared" si="3"/>
        <v>0</v>
      </c>
    </row>
    <row r="196" spans="1:180" ht="18" customHeight="1" x14ac:dyDescent="0.25">
      <c r="A196" s="3" t="str">
        <f>IF(C196&lt;&gt;"","DRG-"&amp;TEXT(191,"000"),"")</f>
        <v/>
      </c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38">
        <v>4</v>
      </c>
      <c r="M196" s="23" t="str">
        <f t="shared" si="0"/>
        <v>✘ Pending</v>
      </c>
      <c r="N196" s="23">
        <f t="shared" si="1"/>
        <v>0</v>
      </c>
      <c r="O196" s="25"/>
      <c r="P196" s="26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  <c r="AB196" s="25"/>
      <c r="AC196" s="26"/>
      <c r="AD196" s="24"/>
      <c r="AE196" s="24"/>
      <c r="AF196" s="24"/>
      <c r="AG196" s="24"/>
      <c r="AH196" s="24"/>
      <c r="AI196" s="24"/>
      <c r="AJ196" s="24"/>
      <c r="AK196" s="24"/>
      <c r="AL196" s="24"/>
      <c r="AM196" s="24"/>
      <c r="AN196" s="24"/>
      <c r="AO196" s="25"/>
      <c r="AP196" s="26"/>
      <c r="AQ196" s="24"/>
      <c r="AR196" s="24"/>
      <c r="AS196" s="24"/>
      <c r="AT196" s="24"/>
      <c r="AU196" s="24"/>
      <c r="AV196" s="24"/>
      <c r="AW196" s="24"/>
      <c r="AX196" s="24"/>
      <c r="AY196" s="24"/>
      <c r="AZ196" s="24"/>
      <c r="BA196" s="24"/>
      <c r="BB196" s="25"/>
      <c r="BC196" s="26"/>
      <c r="BD196" s="24"/>
      <c r="BE196" s="24"/>
      <c r="BF196" s="24"/>
      <c r="BG196" s="24"/>
      <c r="BH196" s="24"/>
      <c r="BI196" s="24"/>
      <c r="BJ196" s="24"/>
      <c r="BK196" s="24"/>
      <c r="BL196" s="24"/>
      <c r="BM196" s="24"/>
      <c r="BN196" s="24"/>
      <c r="BO196" s="25"/>
      <c r="BP196" s="26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5"/>
      <c r="CC196" s="26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5"/>
      <c r="CP196" s="26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5"/>
      <c r="DC196" s="26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5"/>
      <c r="DP196" s="26"/>
      <c r="DQ196" s="24"/>
      <c r="DR196" s="24"/>
      <c r="DS196" s="24"/>
      <c r="DT196" s="24"/>
      <c r="DU196" s="24"/>
      <c r="DV196" s="24"/>
      <c r="DW196" s="24"/>
      <c r="DX196" s="24"/>
      <c r="DY196" s="24"/>
      <c r="DZ196" s="24"/>
      <c r="EA196" s="24"/>
      <c r="EB196" s="25"/>
      <c r="EC196" s="26"/>
      <c r="ED196" s="24"/>
      <c r="EE196" s="24"/>
      <c r="EF196" s="24"/>
      <c r="EG196" s="24"/>
      <c r="EH196" s="24"/>
      <c r="EI196" s="24"/>
      <c r="EJ196" s="24"/>
      <c r="EK196" s="24"/>
      <c r="EL196" s="24"/>
      <c r="EM196" s="24"/>
      <c r="EN196" s="24"/>
      <c r="EO196" s="25"/>
      <c r="EP196" s="26"/>
      <c r="EQ196" s="24"/>
      <c r="ER196" s="24"/>
      <c r="ES196" s="24"/>
      <c r="ET196" s="24"/>
      <c r="EU196" s="24"/>
      <c r="EV196" s="24"/>
      <c r="EW196" s="24"/>
      <c r="EX196" s="24"/>
      <c r="EY196" s="24"/>
      <c r="EZ196" s="24"/>
      <c r="FA196" s="24"/>
      <c r="FB196" s="25"/>
      <c r="FC196" s="26"/>
      <c r="FD196" s="24"/>
      <c r="FE196" s="24"/>
      <c r="FF196" s="24"/>
      <c r="FG196" s="24"/>
      <c r="FH196" s="24"/>
      <c r="FI196" s="24"/>
      <c r="FJ196" s="24"/>
      <c r="FK196" s="24"/>
      <c r="FL196" s="24"/>
      <c r="FM196" s="24"/>
      <c r="FN196" s="24"/>
      <c r="FO196" s="27">
        <f t="shared" ref="FO196:FV196" si="189">IFERROR(R196*1,0)+IFERROR(AE196*1,0)+IFERROR(AR196*1,0)+IFERROR(BE196*1,0)+IFERROR(BR196*1,0)+IFERROR(CE196*1,0)+IFERROR(CR196*1,0)+IFERROR(DE196*1,0)+IFERROR(DR196*1,0)+IFERROR(EE196*1,0)+IFERROR(ER196*1,0)+IFERROR(FE196*1,0)</f>
        <v>0</v>
      </c>
      <c r="FP196" s="27">
        <f t="shared" si="189"/>
        <v>0</v>
      </c>
      <c r="FQ196" s="27">
        <f t="shared" si="189"/>
        <v>0</v>
      </c>
      <c r="FR196" s="27">
        <f t="shared" si="189"/>
        <v>0</v>
      </c>
      <c r="FS196" s="27">
        <f t="shared" si="189"/>
        <v>0</v>
      </c>
      <c r="FT196" s="27">
        <f t="shared" si="189"/>
        <v>0</v>
      </c>
      <c r="FU196" s="27">
        <f t="shared" si="189"/>
        <v>0</v>
      </c>
      <c r="FV196" s="27">
        <f t="shared" si="189"/>
        <v>0</v>
      </c>
      <c r="FW196" s="28"/>
      <c r="FX196" s="29">
        <f t="shared" si="3"/>
        <v>0</v>
      </c>
    </row>
    <row r="197" spans="1:180" ht="18" customHeight="1" x14ac:dyDescent="0.25">
      <c r="A197" s="3" t="str">
        <f>IF(C197&lt;&gt;"","DRG-"&amp;TEXT(192,"000"),"")</f>
        <v/>
      </c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7">
        <v>4</v>
      </c>
      <c r="M197" s="30" t="str">
        <f t="shared" si="0"/>
        <v>✘ Pending</v>
      </c>
      <c r="N197" s="30">
        <f t="shared" si="1"/>
        <v>0</v>
      </c>
      <c r="O197" s="31"/>
      <c r="P197" s="32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1"/>
      <c r="AC197" s="32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/>
      <c r="AN197" s="33"/>
      <c r="AO197" s="31"/>
      <c r="AP197" s="32"/>
      <c r="AQ197" s="33"/>
      <c r="AR197" s="33"/>
      <c r="AS197" s="33"/>
      <c r="AT197" s="33"/>
      <c r="AU197" s="33"/>
      <c r="AV197" s="33"/>
      <c r="AW197" s="33"/>
      <c r="AX197" s="33"/>
      <c r="AY197" s="33"/>
      <c r="AZ197" s="33"/>
      <c r="BA197" s="33"/>
      <c r="BB197" s="31"/>
      <c r="BC197" s="32"/>
      <c r="BD197" s="33"/>
      <c r="BE197" s="33"/>
      <c r="BF197" s="33"/>
      <c r="BG197" s="33"/>
      <c r="BH197" s="33"/>
      <c r="BI197" s="33"/>
      <c r="BJ197" s="33"/>
      <c r="BK197" s="33"/>
      <c r="BL197" s="33"/>
      <c r="BM197" s="33"/>
      <c r="BN197" s="33"/>
      <c r="BO197" s="31"/>
      <c r="BP197" s="32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/>
      <c r="CA197" s="33"/>
      <c r="CB197" s="31"/>
      <c r="CC197" s="32"/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1"/>
      <c r="CP197" s="32"/>
      <c r="CQ197" s="33"/>
      <c r="CR197" s="33"/>
      <c r="CS197" s="33"/>
      <c r="CT197" s="33"/>
      <c r="CU197" s="33"/>
      <c r="CV197" s="33"/>
      <c r="CW197" s="33"/>
      <c r="CX197" s="33"/>
      <c r="CY197" s="33"/>
      <c r="CZ197" s="33"/>
      <c r="DA197" s="33"/>
      <c r="DB197" s="31"/>
      <c r="DC197" s="32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1"/>
      <c r="DP197" s="32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1"/>
      <c r="EC197" s="32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1"/>
      <c r="EP197" s="32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1"/>
      <c r="FC197" s="32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4">
        <f t="shared" ref="FO197:FV197" si="190">IFERROR(R197*1,0)+IFERROR(AE197*1,0)+IFERROR(AR197*1,0)+IFERROR(BE197*1,0)+IFERROR(BR197*1,0)+IFERROR(CE197*1,0)+IFERROR(CR197*1,0)+IFERROR(DE197*1,0)+IFERROR(DR197*1,0)+IFERROR(EE197*1,0)+IFERROR(ER197*1,0)+IFERROR(FE197*1,0)</f>
        <v>0</v>
      </c>
      <c r="FP197" s="34">
        <f t="shared" si="190"/>
        <v>0</v>
      </c>
      <c r="FQ197" s="34">
        <f t="shared" si="190"/>
        <v>0</v>
      </c>
      <c r="FR197" s="34">
        <f t="shared" si="190"/>
        <v>0</v>
      </c>
      <c r="FS197" s="34">
        <f t="shared" si="190"/>
        <v>0</v>
      </c>
      <c r="FT197" s="34">
        <f t="shared" si="190"/>
        <v>0</v>
      </c>
      <c r="FU197" s="34">
        <f t="shared" si="190"/>
        <v>0</v>
      </c>
      <c r="FV197" s="34">
        <f t="shared" si="190"/>
        <v>0</v>
      </c>
      <c r="FW197" s="28"/>
      <c r="FX197" s="29">
        <f t="shared" si="3"/>
        <v>0</v>
      </c>
    </row>
    <row r="198" spans="1:180" ht="18" customHeight="1" x14ac:dyDescent="0.25">
      <c r="A198" s="3" t="str">
        <f>IF(C198&lt;&gt;"","DRG-"&amp;TEXT(193,"000"),"")</f>
        <v/>
      </c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38">
        <v>4</v>
      </c>
      <c r="M198" s="23" t="str">
        <f t="shared" si="0"/>
        <v>✘ Pending</v>
      </c>
      <c r="N198" s="23">
        <f t="shared" si="1"/>
        <v>0</v>
      </c>
      <c r="O198" s="25"/>
      <c r="P198" s="26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  <c r="AB198" s="25"/>
      <c r="AC198" s="26"/>
      <c r="AD198" s="24"/>
      <c r="AE198" s="24"/>
      <c r="AF198" s="24"/>
      <c r="AG198" s="24"/>
      <c r="AH198" s="24"/>
      <c r="AI198" s="24"/>
      <c r="AJ198" s="24"/>
      <c r="AK198" s="24"/>
      <c r="AL198" s="24"/>
      <c r="AM198" s="24"/>
      <c r="AN198" s="24"/>
      <c r="AO198" s="25"/>
      <c r="AP198" s="26"/>
      <c r="AQ198" s="24"/>
      <c r="AR198" s="24"/>
      <c r="AS198" s="24"/>
      <c r="AT198" s="24"/>
      <c r="AU198" s="24"/>
      <c r="AV198" s="24"/>
      <c r="AW198" s="24"/>
      <c r="AX198" s="24"/>
      <c r="AY198" s="24"/>
      <c r="AZ198" s="24"/>
      <c r="BA198" s="24"/>
      <c r="BB198" s="25"/>
      <c r="BC198" s="26"/>
      <c r="BD198" s="24"/>
      <c r="BE198" s="24"/>
      <c r="BF198" s="24"/>
      <c r="BG198" s="24"/>
      <c r="BH198" s="24"/>
      <c r="BI198" s="24"/>
      <c r="BJ198" s="24"/>
      <c r="BK198" s="24"/>
      <c r="BL198" s="24"/>
      <c r="BM198" s="24"/>
      <c r="BN198" s="24"/>
      <c r="BO198" s="25"/>
      <c r="BP198" s="26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5"/>
      <c r="CC198" s="26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5"/>
      <c r="CP198" s="26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5"/>
      <c r="DC198" s="26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5"/>
      <c r="DP198" s="26"/>
      <c r="DQ198" s="24"/>
      <c r="DR198" s="24"/>
      <c r="DS198" s="24"/>
      <c r="DT198" s="24"/>
      <c r="DU198" s="24"/>
      <c r="DV198" s="24"/>
      <c r="DW198" s="24"/>
      <c r="DX198" s="24"/>
      <c r="DY198" s="24"/>
      <c r="DZ198" s="24"/>
      <c r="EA198" s="24"/>
      <c r="EB198" s="25"/>
      <c r="EC198" s="26"/>
      <c r="ED198" s="24"/>
      <c r="EE198" s="24"/>
      <c r="EF198" s="24"/>
      <c r="EG198" s="24"/>
      <c r="EH198" s="24"/>
      <c r="EI198" s="24"/>
      <c r="EJ198" s="24"/>
      <c r="EK198" s="24"/>
      <c r="EL198" s="24"/>
      <c r="EM198" s="24"/>
      <c r="EN198" s="24"/>
      <c r="EO198" s="25"/>
      <c r="EP198" s="26"/>
      <c r="EQ198" s="24"/>
      <c r="ER198" s="24"/>
      <c r="ES198" s="24"/>
      <c r="ET198" s="24"/>
      <c r="EU198" s="24"/>
      <c r="EV198" s="24"/>
      <c r="EW198" s="24"/>
      <c r="EX198" s="24"/>
      <c r="EY198" s="24"/>
      <c r="EZ198" s="24"/>
      <c r="FA198" s="24"/>
      <c r="FB198" s="25"/>
      <c r="FC198" s="26"/>
      <c r="FD198" s="24"/>
      <c r="FE198" s="24"/>
      <c r="FF198" s="24"/>
      <c r="FG198" s="24"/>
      <c r="FH198" s="24"/>
      <c r="FI198" s="24"/>
      <c r="FJ198" s="24"/>
      <c r="FK198" s="24"/>
      <c r="FL198" s="24"/>
      <c r="FM198" s="24"/>
      <c r="FN198" s="24"/>
      <c r="FO198" s="27">
        <f t="shared" ref="FO198:FV198" si="191">IFERROR(R198*1,0)+IFERROR(AE198*1,0)+IFERROR(AR198*1,0)+IFERROR(BE198*1,0)+IFERROR(BR198*1,0)+IFERROR(CE198*1,0)+IFERROR(CR198*1,0)+IFERROR(DE198*1,0)+IFERROR(DR198*1,0)+IFERROR(EE198*1,0)+IFERROR(ER198*1,0)+IFERROR(FE198*1,0)</f>
        <v>0</v>
      </c>
      <c r="FP198" s="27">
        <f t="shared" si="191"/>
        <v>0</v>
      </c>
      <c r="FQ198" s="27">
        <f t="shared" si="191"/>
        <v>0</v>
      </c>
      <c r="FR198" s="27">
        <f t="shared" si="191"/>
        <v>0</v>
      </c>
      <c r="FS198" s="27">
        <f t="shared" si="191"/>
        <v>0</v>
      </c>
      <c r="FT198" s="27">
        <f t="shared" si="191"/>
        <v>0</v>
      </c>
      <c r="FU198" s="27">
        <f t="shared" si="191"/>
        <v>0</v>
      </c>
      <c r="FV198" s="27">
        <f t="shared" si="191"/>
        <v>0</v>
      </c>
      <c r="FW198" s="28"/>
      <c r="FX198" s="29">
        <f t="shared" si="3"/>
        <v>0</v>
      </c>
    </row>
    <row r="199" spans="1:180" ht="18" customHeight="1" x14ac:dyDescent="0.25">
      <c r="A199" s="3" t="str">
        <f>IF(C199&lt;&gt;"","DRG-"&amp;TEXT(194,"000"),"")</f>
        <v/>
      </c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7">
        <v>4</v>
      </c>
      <c r="M199" s="30" t="str">
        <f t="shared" si="0"/>
        <v>✘ Pending</v>
      </c>
      <c r="N199" s="30">
        <f t="shared" si="1"/>
        <v>0</v>
      </c>
      <c r="O199" s="31"/>
      <c r="P199" s="32"/>
      <c r="Q199" s="33"/>
      <c r="R199" s="33"/>
      <c r="S199" s="33"/>
      <c r="T199" s="33"/>
      <c r="U199" s="33"/>
      <c r="V199" s="33"/>
      <c r="W199" s="33"/>
      <c r="X199" s="33"/>
      <c r="Y199" s="33"/>
      <c r="Z199" s="33"/>
      <c r="AA199" s="33"/>
      <c r="AB199" s="31"/>
      <c r="AC199" s="32"/>
      <c r="AD199" s="33"/>
      <c r="AE199" s="33"/>
      <c r="AF199" s="33"/>
      <c r="AG199" s="33"/>
      <c r="AH199" s="33"/>
      <c r="AI199" s="33"/>
      <c r="AJ199" s="33"/>
      <c r="AK199" s="33"/>
      <c r="AL199" s="33"/>
      <c r="AM199" s="33"/>
      <c r="AN199" s="33"/>
      <c r="AO199" s="31"/>
      <c r="AP199" s="32"/>
      <c r="AQ199" s="33"/>
      <c r="AR199" s="33"/>
      <c r="AS199" s="33"/>
      <c r="AT199" s="33"/>
      <c r="AU199" s="33"/>
      <c r="AV199" s="33"/>
      <c r="AW199" s="33"/>
      <c r="AX199" s="33"/>
      <c r="AY199" s="33"/>
      <c r="AZ199" s="33"/>
      <c r="BA199" s="33"/>
      <c r="BB199" s="31"/>
      <c r="BC199" s="32"/>
      <c r="BD199" s="33"/>
      <c r="BE199" s="33"/>
      <c r="BF199" s="33"/>
      <c r="BG199" s="33"/>
      <c r="BH199" s="33"/>
      <c r="BI199" s="33"/>
      <c r="BJ199" s="33"/>
      <c r="BK199" s="33"/>
      <c r="BL199" s="33"/>
      <c r="BM199" s="33"/>
      <c r="BN199" s="33"/>
      <c r="BO199" s="31"/>
      <c r="BP199" s="32"/>
      <c r="BQ199" s="33"/>
      <c r="BR199" s="33"/>
      <c r="BS199" s="33"/>
      <c r="BT199" s="33"/>
      <c r="BU199" s="33"/>
      <c r="BV199" s="33"/>
      <c r="BW199" s="33"/>
      <c r="BX199" s="33"/>
      <c r="BY199" s="33"/>
      <c r="BZ199" s="33"/>
      <c r="CA199" s="33"/>
      <c r="CB199" s="31"/>
      <c r="CC199" s="32"/>
      <c r="CD199" s="33"/>
      <c r="CE199" s="33"/>
      <c r="CF199" s="33"/>
      <c r="CG199" s="33"/>
      <c r="CH199" s="33"/>
      <c r="CI199" s="33"/>
      <c r="CJ199" s="33"/>
      <c r="CK199" s="33"/>
      <c r="CL199" s="33"/>
      <c r="CM199" s="33"/>
      <c r="CN199" s="33"/>
      <c r="CO199" s="31"/>
      <c r="CP199" s="32"/>
      <c r="CQ199" s="33"/>
      <c r="CR199" s="33"/>
      <c r="CS199" s="33"/>
      <c r="CT199" s="33"/>
      <c r="CU199" s="33"/>
      <c r="CV199" s="33"/>
      <c r="CW199" s="33"/>
      <c r="CX199" s="33"/>
      <c r="CY199" s="33"/>
      <c r="CZ199" s="33"/>
      <c r="DA199" s="33"/>
      <c r="DB199" s="31"/>
      <c r="DC199" s="32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1"/>
      <c r="DP199" s="32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1"/>
      <c r="EC199" s="32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1"/>
      <c r="EP199" s="32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1"/>
      <c r="FC199" s="32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4">
        <f t="shared" ref="FO199:FV199" si="192">IFERROR(R199*1,0)+IFERROR(AE199*1,0)+IFERROR(AR199*1,0)+IFERROR(BE199*1,0)+IFERROR(BR199*1,0)+IFERROR(CE199*1,0)+IFERROR(CR199*1,0)+IFERROR(DE199*1,0)+IFERROR(DR199*1,0)+IFERROR(EE199*1,0)+IFERROR(ER199*1,0)+IFERROR(FE199*1,0)</f>
        <v>0</v>
      </c>
      <c r="FP199" s="34">
        <f t="shared" si="192"/>
        <v>0</v>
      </c>
      <c r="FQ199" s="34">
        <f t="shared" si="192"/>
        <v>0</v>
      </c>
      <c r="FR199" s="34">
        <f t="shared" si="192"/>
        <v>0</v>
      </c>
      <c r="FS199" s="34">
        <f t="shared" si="192"/>
        <v>0</v>
      </c>
      <c r="FT199" s="34">
        <f t="shared" si="192"/>
        <v>0</v>
      </c>
      <c r="FU199" s="34">
        <f t="shared" si="192"/>
        <v>0</v>
      </c>
      <c r="FV199" s="34">
        <f t="shared" si="192"/>
        <v>0</v>
      </c>
      <c r="FW199" s="28"/>
      <c r="FX199" s="29">
        <f t="shared" si="3"/>
        <v>0</v>
      </c>
    </row>
    <row r="200" spans="1:180" ht="18" customHeight="1" x14ac:dyDescent="0.25">
      <c r="A200" s="3" t="str">
        <f>IF(C200&lt;&gt;"","DRG-"&amp;TEXT(195,"000"),"")</f>
        <v/>
      </c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38">
        <v>4</v>
      </c>
      <c r="M200" s="23" t="str">
        <f t="shared" si="0"/>
        <v>✘ Pending</v>
      </c>
      <c r="N200" s="23">
        <f t="shared" si="1"/>
        <v>0</v>
      </c>
      <c r="O200" s="25"/>
      <c r="P200" s="26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  <c r="AB200" s="25"/>
      <c r="AC200" s="26"/>
      <c r="AD200" s="24"/>
      <c r="AE200" s="24"/>
      <c r="AF200" s="24"/>
      <c r="AG200" s="24"/>
      <c r="AH200" s="24"/>
      <c r="AI200" s="24"/>
      <c r="AJ200" s="24"/>
      <c r="AK200" s="24"/>
      <c r="AL200" s="24"/>
      <c r="AM200" s="24"/>
      <c r="AN200" s="24"/>
      <c r="AO200" s="25"/>
      <c r="AP200" s="26"/>
      <c r="AQ200" s="24"/>
      <c r="AR200" s="24"/>
      <c r="AS200" s="24"/>
      <c r="AT200" s="24"/>
      <c r="AU200" s="24"/>
      <c r="AV200" s="24"/>
      <c r="AW200" s="24"/>
      <c r="AX200" s="24"/>
      <c r="AY200" s="24"/>
      <c r="AZ200" s="24"/>
      <c r="BA200" s="24"/>
      <c r="BB200" s="25"/>
      <c r="BC200" s="26"/>
      <c r="BD200" s="24"/>
      <c r="BE200" s="24"/>
      <c r="BF200" s="24"/>
      <c r="BG200" s="24"/>
      <c r="BH200" s="24"/>
      <c r="BI200" s="24"/>
      <c r="BJ200" s="24"/>
      <c r="BK200" s="24"/>
      <c r="BL200" s="24"/>
      <c r="BM200" s="24"/>
      <c r="BN200" s="24"/>
      <c r="BO200" s="25"/>
      <c r="BP200" s="26"/>
      <c r="BQ200" s="24"/>
      <c r="BR200" s="24"/>
      <c r="BS200" s="24"/>
      <c r="BT200" s="24"/>
      <c r="BU200" s="24"/>
      <c r="BV200" s="24"/>
      <c r="BW200" s="24"/>
      <c r="BX200" s="24"/>
      <c r="BY200" s="24"/>
      <c r="BZ200" s="24"/>
      <c r="CA200" s="24"/>
      <c r="CB200" s="25"/>
      <c r="CC200" s="26"/>
      <c r="CD200" s="24"/>
      <c r="CE200" s="24"/>
      <c r="CF200" s="24"/>
      <c r="CG200" s="24"/>
      <c r="CH200" s="24"/>
      <c r="CI200" s="24"/>
      <c r="CJ200" s="24"/>
      <c r="CK200" s="24"/>
      <c r="CL200" s="24"/>
      <c r="CM200" s="24"/>
      <c r="CN200" s="24"/>
      <c r="CO200" s="25"/>
      <c r="CP200" s="26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5"/>
      <c r="DC200" s="26"/>
      <c r="DD200" s="24"/>
      <c r="DE200" s="24"/>
      <c r="DF200" s="24"/>
      <c r="DG200" s="24"/>
      <c r="DH200" s="24"/>
      <c r="DI200" s="24"/>
      <c r="DJ200" s="24"/>
      <c r="DK200" s="24"/>
      <c r="DL200" s="24"/>
      <c r="DM200" s="24"/>
      <c r="DN200" s="24"/>
      <c r="DO200" s="25"/>
      <c r="DP200" s="26"/>
      <c r="DQ200" s="24"/>
      <c r="DR200" s="24"/>
      <c r="DS200" s="24"/>
      <c r="DT200" s="24"/>
      <c r="DU200" s="24"/>
      <c r="DV200" s="24"/>
      <c r="DW200" s="24"/>
      <c r="DX200" s="24"/>
      <c r="DY200" s="24"/>
      <c r="DZ200" s="24"/>
      <c r="EA200" s="24"/>
      <c r="EB200" s="25"/>
      <c r="EC200" s="26"/>
      <c r="ED200" s="24"/>
      <c r="EE200" s="24"/>
      <c r="EF200" s="24"/>
      <c r="EG200" s="24"/>
      <c r="EH200" s="24"/>
      <c r="EI200" s="24"/>
      <c r="EJ200" s="24"/>
      <c r="EK200" s="24"/>
      <c r="EL200" s="24"/>
      <c r="EM200" s="24"/>
      <c r="EN200" s="24"/>
      <c r="EO200" s="25"/>
      <c r="EP200" s="26"/>
      <c r="EQ200" s="24"/>
      <c r="ER200" s="24"/>
      <c r="ES200" s="24"/>
      <c r="ET200" s="24"/>
      <c r="EU200" s="24"/>
      <c r="EV200" s="24"/>
      <c r="EW200" s="24"/>
      <c r="EX200" s="24"/>
      <c r="EY200" s="24"/>
      <c r="EZ200" s="24"/>
      <c r="FA200" s="24"/>
      <c r="FB200" s="25"/>
      <c r="FC200" s="26"/>
      <c r="FD200" s="24"/>
      <c r="FE200" s="24"/>
      <c r="FF200" s="24"/>
      <c r="FG200" s="24"/>
      <c r="FH200" s="24"/>
      <c r="FI200" s="24"/>
      <c r="FJ200" s="24"/>
      <c r="FK200" s="24"/>
      <c r="FL200" s="24"/>
      <c r="FM200" s="24"/>
      <c r="FN200" s="24"/>
      <c r="FO200" s="27">
        <f t="shared" ref="FO200:FV200" si="193">IFERROR(R200*1,0)+IFERROR(AE200*1,0)+IFERROR(AR200*1,0)+IFERROR(BE200*1,0)+IFERROR(BR200*1,0)+IFERROR(CE200*1,0)+IFERROR(CR200*1,0)+IFERROR(DE200*1,0)+IFERROR(DR200*1,0)+IFERROR(EE200*1,0)+IFERROR(ER200*1,0)+IFERROR(FE200*1,0)</f>
        <v>0</v>
      </c>
      <c r="FP200" s="27">
        <f t="shared" si="193"/>
        <v>0</v>
      </c>
      <c r="FQ200" s="27">
        <f t="shared" si="193"/>
        <v>0</v>
      </c>
      <c r="FR200" s="27">
        <f t="shared" si="193"/>
        <v>0</v>
      </c>
      <c r="FS200" s="27">
        <f t="shared" si="193"/>
        <v>0</v>
      </c>
      <c r="FT200" s="27">
        <f t="shared" si="193"/>
        <v>0</v>
      </c>
      <c r="FU200" s="27">
        <f t="shared" si="193"/>
        <v>0</v>
      </c>
      <c r="FV200" s="27">
        <f t="shared" si="193"/>
        <v>0</v>
      </c>
      <c r="FW200" s="28"/>
      <c r="FX200" s="29">
        <f t="shared" si="3"/>
        <v>0</v>
      </c>
    </row>
    <row r="201" spans="1:180" ht="18" customHeight="1" x14ac:dyDescent="0.25">
      <c r="A201" s="3" t="str">
        <f>IF(C201&lt;&gt;"","DRG-"&amp;TEXT(196,"000"),"")</f>
        <v/>
      </c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7">
        <v>4</v>
      </c>
      <c r="M201" s="30" t="str">
        <f t="shared" si="0"/>
        <v>✘ Pending</v>
      </c>
      <c r="N201" s="30">
        <f t="shared" si="1"/>
        <v>0</v>
      </c>
      <c r="O201" s="31"/>
      <c r="P201" s="32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1"/>
      <c r="AC201" s="32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/>
      <c r="AN201" s="33"/>
      <c r="AO201" s="31"/>
      <c r="AP201" s="32"/>
      <c r="AQ201" s="33"/>
      <c r="AR201" s="33"/>
      <c r="AS201" s="33"/>
      <c r="AT201" s="33"/>
      <c r="AU201" s="33"/>
      <c r="AV201" s="33"/>
      <c r="AW201" s="33"/>
      <c r="AX201" s="33"/>
      <c r="AY201" s="33"/>
      <c r="AZ201" s="33"/>
      <c r="BA201" s="33"/>
      <c r="BB201" s="31"/>
      <c r="BC201" s="32"/>
      <c r="BD201" s="33"/>
      <c r="BE201" s="33"/>
      <c r="BF201" s="33"/>
      <c r="BG201" s="33"/>
      <c r="BH201" s="33"/>
      <c r="BI201" s="33"/>
      <c r="BJ201" s="33"/>
      <c r="BK201" s="33"/>
      <c r="BL201" s="33"/>
      <c r="BM201" s="33"/>
      <c r="BN201" s="33"/>
      <c r="BO201" s="31"/>
      <c r="BP201" s="32"/>
      <c r="BQ201" s="33"/>
      <c r="BR201" s="33"/>
      <c r="BS201" s="33"/>
      <c r="BT201" s="33"/>
      <c r="BU201" s="33"/>
      <c r="BV201" s="33"/>
      <c r="BW201" s="33"/>
      <c r="BX201" s="33"/>
      <c r="BY201" s="33"/>
      <c r="BZ201" s="33"/>
      <c r="CA201" s="33"/>
      <c r="CB201" s="31"/>
      <c r="CC201" s="32"/>
      <c r="CD201" s="33"/>
      <c r="CE201" s="33"/>
      <c r="CF201" s="33"/>
      <c r="CG201" s="33"/>
      <c r="CH201" s="33"/>
      <c r="CI201" s="33"/>
      <c r="CJ201" s="33"/>
      <c r="CK201" s="33"/>
      <c r="CL201" s="33"/>
      <c r="CM201" s="33"/>
      <c r="CN201" s="33"/>
      <c r="CO201" s="31"/>
      <c r="CP201" s="32"/>
      <c r="CQ201" s="33"/>
      <c r="CR201" s="33"/>
      <c r="CS201" s="33"/>
      <c r="CT201" s="33"/>
      <c r="CU201" s="33"/>
      <c r="CV201" s="33"/>
      <c r="CW201" s="33"/>
      <c r="CX201" s="33"/>
      <c r="CY201" s="33"/>
      <c r="CZ201" s="33"/>
      <c r="DA201" s="33"/>
      <c r="DB201" s="31"/>
      <c r="DC201" s="32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1"/>
      <c r="DP201" s="32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1"/>
      <c r="EC201" s="32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1"/>
      <c r="EP201" s="32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1"/>
      <c r="FC201" s="32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4">
        <f t="shared" ref="FO201:FV201" si="194">IFERROR(R201*1,0)+IFERROR(AE201*1,0)+IFERROR(AR201*1,0)+IFERROR(BE201*1,0)+IFERROR(BR201*1,0)+IFERROR(CE201*1,0)+IFERROR(CR201*1,0)+IFERROR(DE201*1,0)+IFERROR(DR201*1,0)+IFERROR(EE201*1,0)+IFERROR(ER201*1,0)+IFERROR(FE201*1,0)</f>
        <v>0</v>
      </c>
      <c r="FP201" s="34">
        <f t="shared" si="194"/>
        <v>0</v>
      </c>
      <c r="FQ201" s="34">
        <f t="shared" si="194"/>
        <v>0</v>
      </c>
      <c r="FR201" s="34">
        <f t="shared" si="194"/>
        <v>0</v>
      </c>
      <c r="FS201" s="34">
        <f t="shared" si="194"/>
        <v>0</v>
      </c>
      <c r="FT201" s="34">
        <f t="shared" si="194"/>
        <v>0</v>
      </c>
      <c r="FU201" s="34">
        <f t="shared" si="194"/>
        <v>0</v>
      </c>
      <c r="FV201" s="34">
        <f t="shared" si="194"/>
        <v>0</v>
      </c>
      <c r="FW201" s="28"/>
      <c r="FX201" s="29">
        <f t="shared" si="3"/>
        <v>0</v>
      </c>
    </row>
    <row r="202" spans="1:180" ht="18" customHeight="1" x14ac:dyDescent="0.25">
      <c r="A202" s="3" t="str">
        <f>IF(C202&lt;&gt;"","DRG-"&amp;TEXT(197,"000"),"")</f>
        <v/>
      </c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38">
        <v>4</v>
      </c>
      <c r="M202" s="23" t="str">
        <f t="shared" si="0"/>
        <v>✘ Pending</v>
      </c>
      <c r="N202" s="23">
        <f t="shared" si="1"/>
        <v>0</v>
      </c>
      <c r="O202" s="25"/>
      <c r="P202" s="26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  <c r="AB202" s="25"/>
      <c r="AC202" s="26"/>
      <c r="AD202" s="24"/>
      <c r="AE202" s="24"/>
      <c r="AF202" s="24"/>
      <c r="AG202" s="24"/>
      <c r="AH202" s="24"/>
      <c r="AI202" s="24"/>
      <c r="AJ202" s="24"/>
      <c r="AK202" s="24"/>
      <c r="AL202" s="24"/>
      <c r="AM202" s="24"/>
      <c r="AN202" s="24"/>
      <c r="AO202" s="25"/>
      <c r="AP202" s="26"/>
      <c r="AQ202" s="24"/>
      <c r="AR202" s="24"/>
      <c r="AS202" s="24"/>
      <c r="AT202" s="24"/>
      <c r="AU202" s="24"/>
      <c r="AV202" s="24"/>
      <c r="AW202" s="24"/>
      <c r="AX202" s="24"/>
      <c r="AY202" s="24"/>
      <c r="AZ202" s="24"/>
      <c r="BA202" s="24"/>
      <c r="BB202" s="25"/>
      <c r="BC202" s="26"/>
      <c r="BD202" s="24"/>
      <c r="BE202" s="24"/>
      <c r="BF202" s="24"/>
      <c r="BG202" s="24"/>
      <c r="BH202" s="24"/>
      <c r="BI202" s="24"/>
      <c r="BJ202" s="24"/>
      <c r="BK202" s="24"/>
      <c r="BL202" s="24"/>
      <c r="BM202" s="24"/>
      <c r="BN202" s="24"/>
      <c r="BO202" s="25"/>
      <c r="BP202" s="26"/>
      <c r="BQ202" s="24"/>
      <c r="BR202" s="24"/>
      <c r="BS202" s="24"/>
      <c r="BT202" s="24"/>
      <c r="BU202" s="24"/>
      <c r="BV202" s="24"/>
      <c r="BW202" s="24"/>
      <c r="BX202" s="24"/>
      <c r="BY202" s="24"/>
      <c r="BZ202" s="24"/>
      <c r="CA202" s="24"/>
      <c r="CB202" s="25"/>
      <c r="CC202" s="26"/>
      <c r="CD202" s="24"/>
      <c r="CE202" s="24"/>
      <c r="CF202" s="24"/>
      <c r="CG202" s="24"/>
      <c r="CH202" s="24"/>
      <c r="CI202" s="24"/>
      <c r="CJ202" s="24"/>
      <c r="CK202" s="24"/>
      <c r="CL202" s="24"/>
      <c r="CM202" s="24"/>
      <c r="CN202" s="24"/>
      <c r="CO202" s="25"/>
      <c r="CP202" s="26"/>
      <c r="CQ202" s="24"/>
      <c r="CR202" s="24"/>
      <c r="CS202" s="24"/>
      <c r="CT202" s="24"/>
      <c r="CU202" s="24"/>
      <c r="CV202" s="24"/>
      <c r="CW202" s="24"/>
      <c r="CX202" s="24"/>
      <c r="CY202" s="24"/>
      <c r="CZ202" s="24"/>
      <c r="DA202" s="24"/>
      <c r="DB202" s="25"/>
      <c r="DC202" s="26"/>
      <c r="DD202" s="24"/>
      <c r="DE202" s="24"/>
      <c r="DF202" s="24"/>
      <c r="DG202" s="24"/>
      <c r="DH202" s="24"/>
      <c r="DI202" s="24"/>
      <c r="DJ202" s="24"/>
      <c r="DK202" s="24"/>
      <c r="DL202" s="24"/>
      <c r="DM202" s="24"/>
      <c r="DN202" s="24"/>
      <c r="DO202" s="25"/>
      <c r="DP202" s="26"/>
      <c r="DQ202" s="24"/>
      <c r="DR202" s="24"/>
      <c r="DS202" s="24"/>
      <c r="DT202" s="24"/>
      <c r="DU202" s="24"/>
      <c r="DV202" s="24"/>
      <c r="DW202" s="24"/>
      <c r="DX202" s="24"/>
      <c r="DY202" s="24"/>
      <c r="DZ202" s="24"/>
      <c r="EA202" s="24"/>
      <c r="EB202" s="25"/>
      <c r="EC202" s="26"/>
      <c r="ED202" s="24"/>
      <c r="EE202" s="24"/>
      <c r="EF202" s="24"/>
      <c r="EG202" s="24"/>
      <c r="EH202" s="24"/>
      <c r="EI202" s="24"/>
      <c r="EJ202" s="24"/>
      <c r="EK202" s="24"/>
      <c r="EL202" s="24"/>
      <c r="EM202" s="24"/>
      <c r="EN202" s="24"/>
      <c r="EO202" s="25"/>
      <c r="EP202" s="26"/>
      <c r="EQ202" s="24"/>
      <c r="ER202" s="24"/>
      <c r="ES202" s="24"/>
      <c r="ET202" s="24"/>
      <c r="EU202" s="24"/>
      <c r="EV202" s="24"/>
      <c r="EW202" s="24"/>
      <c r="EX202" s="24"/>
      <c r="EY202" s="24"/>
      <c r="EZ202" s="24"/>
      <c r="FA202" s="24"/>
      <c r="FB202" s="25"/>
      <c r="FC202" s="26"/>
      <c r="FD202" s="24"/>
      <c r="FE202" s="24"/>
      <c r="FF202" s="24"/>
      <c r="FG202" s="24"/>
      <c r="FH202" s="24"/>
      <c r="FI202" s="24"/>
      <c r="FJ202" s="24"/>
      <c r="FK202" s="24"/>
      <c r="FL202" s="24"/>
      <c r="FM202" s="24"/>
      <c r="FN202" s="24"/>
      <c r="FO202" s="27">
        <f t="shared" ref="FO202:FV202" si="195">IFERROR(R202*1,0)+IFERROR(AE202*1,0)+IFERROR(AR202*1,0)+IFERROR(BE202*1,0)+IFERROR(BR202*1,0)+IFERROR(CE202*1,0)+IFERROR(CR202*1,0)+IFERROR(DE202*1,0)+IFERROR(DR202*1,0)+IFERROR(EE202*1,0)+IFERROR(ER202*1,0)+IFERROR(FE202*1,0)</f>
        <v>0</v>
      </c>
      <c r="FP202" s="27">
        <f t="shared" si="195"/>
        <v>0</v>
      </c>
      <c r="FQ202" s="27">
        <f t="shared" si="195"/>
        <v>0</v>
      </c>
      <c r="FR202" s="27">
        <f t="shared" si="195"/>
        <v>0</v>
      </c>
      <c r="FS202" s="27">
        <f t="shared" si="195"/>
        <v>0</v>
      </c>
      <c r="FT202" s="27">
        <f t="shared" si="195"/>
        <v>0</v>
      </c>
      <c r="FU202" s="27">
        <f t="shared" si="195"/>
        <v>0</v>
      </c>
      <c r="FV202" s="27">
        <f t="shared" si="195"/>
        <v>0</v>
      </c>
      <c r="FW202" s="28"/>
      <c r="FX202" s="29">
        <f t="shared" si="3"/>
        <v>0</v>
      </c>
    </row>
    <row r="203" spans="1:180" ht="18" customHeight="1" x14ac:dyDescent="0.25">
      <c r="A203" s="3" t="str">
        <f>IF(C203&lt;&gt;"","DRG-"&amp;TEXT(198,"000"),"")</f>
        <v/>
      </c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7">
        <v>4</v>
      </c>
      <c r="M203" s="30" t="str">
        <f t="shared" si="0"/>
        <v>✘ Pending</v>
      </c>
      <c r="N203" s="30">
        <f t="shared" si="1"/>
        <v>0</v>
      </c>
      <c r="O203" s="31"/>
      <c r="P203" s="32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1"/>
      <c r="AC203" s="32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/>
      <c r="AN203" s="33"/>
      <c r="AO203" s="31"/>
      <c r="AP203" s="32"/>
      <c r="AQ203" s="33"/>
      <c r="AR203" s="33"/>
      <c r="AS203" s="33"/>
      <c r="AT203" s="33"/>
      <c r="AU203" s="33"/>
      <c r="AV203" s="33"/>
      <c r="AW203" s="33"/>
      <c r="AX203" s="33"/>
      <c r="AY203" s="33"/>
      <c r="AZ203" s="33"/>
      <c r="BA203" s="33"/>
      <c r="BB203" s="31"/>
      <c r="BC203" s="32"/>
      <c r="BD203" s="33"/>
      <c r="BE203" s="33"/>
      <c r="BF203" s="33"/>
      <c r="BG203" s="33"/>
      <c r="BH203" s="33"/>
      <c r="BI203" s="33"/>
      <c r="BJ203" s="33"/>
      <c r="BK203" s="33"/>
      <c r="BL203" s="33"/>
      <c r="BM203" s="33"/>
      <c r="BN203" s="33"/>
      <c r="BO203" s="31"/>
      <c r="BP203" s="32"/>
      <c r="BQ203" s="33"/>
      <c r="BR203" s="33"/>
      <c r="BS203" s="33"/>
      <c r="BT203" s="33"/>
      <c r="BU203" s="33"/>
      <c r="BV203" s="33"/>
      <c r="BW203" s="33"/>
      <c r="BX203" s="33"/>
      <c r="BY203" s="33"/>
      <c r="BZ203" s="33"/>
      <c r="CA203" s="33"/>
      <c r="CB203" s="31"/>
      <c r="CC203" s="32"/>
      <c r="CD203" s="33"/>
      <c r="CE203" s="33"/>
      <c r="CF203" s="33"/>
      <c r="CG203" s="33"/>
      <c r="CH203" s="33"/>
      <c r="CI203" s="33"/>
      <c r="CJ203" s="33"/>
      <c r="CK203" s="33"/>
      <c r="CL203" s="33"/>
      <c r="CM203" s="33"/>
      <c r="CN203" s="33"/>
      <c r="CO203" s="31"/>
      <c r="CP203" s="32"/>
      <c r="CQ203" s="33"/>
      <c r="CR203" s="33"/>
      <c r="CS203" s="33"/>
      <c r="CT203" s="33"/>
      <c r="CU203" s="33"/>
      <c r="CV203" s="33"/>
      <c r="CW203" s="33"/>
      <c r="CX203" s="33"/>
      <c r="CY203" s="33"/>
      <c r="CZ203" s="33"/>
      <c r="DA203" s="33"/>
      <c r="DB203" s="31"/>
      <c r="DC203" s="32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1"/>
      <c r="DP203" s="32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1"/>
      <c r="EC203" s="32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1"/>
      <c r="EP203" s="32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1"/>
      <c r="FC203" s="32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4">
        <f t="shared" ref="FO203:FV203" si="196">IFERROR(R203*1,0)+IFERROR(AE203*1,0)+IFERROR(AR203*1,0)+IFERROR(BE203*1,0)+IFERROR(BR203*1,0)+IFERROR(CE203*1,0)+IFERROR(CR203*1,0)+IFERROR(DE203*1,0)+IFERROR(DR203*1,0)+IFERROR(EE203*1,0)+IFERROR(ER203*1,0)+IFERROR(FE203*1,0)</f>
        <v>0</v>
      </c>
      <c r="FP203" s="34">
        <f t="shared" si="196"/>
        <v>0</v>
      </c>
      <c r="FQ203" s="34">
        <f t="shared" si="196"/>
        <v>0</v>
      </c>
      <c r="FR203" s="34">
        <f t="shared" si="196"/>
        <v>0</v>
      </c>
      <c r="FS203" s="34">
        <f t="shared" si="196"/>
        <v>0</v>
      </c>
      <c r="FT203" s="34">
        <f t="shared" si="196"/>
        <v>0</v>
      </c>
      <c r="FU203" s="34">
        <f t="shared" si="196"/>
        <v>0</v>
      </c>
      <c r="FV203" s="34">
        <f t="shared" si="196"/>
        <v>0</v>
      </c>
      <c r="FW203" s="28"/>
      <c r="FX203" s="29">
        <f t="shared" si="3"/>
        <v>0</v>
      </c>
    </row>
    <row r="204" spans="1:180" ht="18" customHeight="1" x14ac:dyDescent="0.25">
      <c r="A204" s="3" t="str">
        <f>IF(C204&lt;&gt;"","DRG-"&amp;TEXT(199,"000"),"")</f>
        <v/>
      </c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38">
        <v>4</v>
      </c>
      <c r="M204" s="23" t="str">
        <f t="shared" si="0"/>
        <v>✘ Pending</v>
      </c>
      <c r="N204" s="23">
        <f t="shared" si="1"/>
        <v>0</v>
      </c>
      <c r="O204" s="25"/>
      <c r="P204" s="26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  <c r="AB204" s="25"/>
      <c r="AC204" s="26"/>
      <c r="AD204" s="24"/>
      <c r="AE204" s="24"/>
      <c r="AF204" s="24"/>
      <c r="AG204" s="24"/>
      <c r="AH204" s="24"/>
      <c r="AI204" s="24"/>
      <c r="AJ204" s="24"/>
      <c r="AK204" s="24"/>
      <c r="AL204" s="24"/>
      <c r="AM204" s="24"/>
      <c r="AN204" s="24"/>
      <c r="AO204" s="25"/>
      <c r="AP204" s="26"/>
      <c r="AQ204" s="24"/>
      <c r="AR204" s="24"/>
      <c r="AS204" s="24"/>
      <c r="AT204" s="24"/>
      <c r="AU204" s="24"/>
      <c r="AV204" s="24"/>
      <c r="AW204" s="24"/>
      <c r="AX204" s="24"/>
      <c r="AY204" s="24"/>
      <c r="AZ204" s="24"/>
      <c r="BA204" s="24"/>
      <c r="BB204" s="25"/>
      <c r="BC204" s="26"/>
      <c r="BD204" s="24"/>
      <c r="BE204" s="24"/>
      <c r="BF204" s="24"/>
      <c r="BG204" s="24"/>
      <c r="BH204" s="24"/>
      <c r="BI204" s="24"/>
      <c r="BJ204" s="24"/>
      <c r="BK204" s="24"/>
      <c r="BL204" s="24"/>
      <c r="BM204" s="24"/>
      <c r="BN204" s="24"/>
      <c r="BO204" s="25"/>
      <c r="BP204" s="26"/>
      <c r="BQ204" s="24"/>
      <c r="BR204" s="24"/>
      <c r="BS204" s="24"/>
      <c r="BT204" s="24"/>
      <c r="BU204" s="24"/>
      <c r="BV204" s="24"/>
      <c r="BW204" s="24"/>
      <c r="BX204" s="24"/>
      <c r="BY204" s="24"/>
      <c r="BZ204" s="24"/>
      <c r="CA204" s="24"/>
      <c r="CB204" s="25"/>
      <c r="CC204" s="26"/>
      <c r="CD204" s="24"/>
      <c r="CE204" s="24"/>
      <c r="CF204" s="24"/>
      <c r="CG204" s="24"/>
      <c r="CH204" s="24"/>
      <c r="CI204" s="24"/>
      <c r="CJ204" s="24"/>
      <c r="CK204" s="24"/>
      <c r="CL204" s="24"/>
      <c r="CM204" s="24"/>
      <c r="CN204" s="24"/>
      <c r="CO204" s="25"/>
      <c r="CP204" s="26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5"/>
      <c r="DC204" s="26"/>
      <c r="DD204" s="24"/>
      <c r="DE204" s="24"/>
      <c r="DF204" s="24"/>
      <c r="DG204" s="24"/>
      <c r="DH204" s="24"/>
      <c r="DI204" s="24"/>
      <c r="DJ204" s="24"/>
      <c r="DK204" s="24"/>
      <c r="DL204" s="24"/>
      <c r="DM204" s="24"/>
      <c r="DN204" s="24"/>
      <c r="DO204" s="25"/>
      <c r="DP204" s="26"/>
      <c r="DQ204" s="24"/>
      <c r="DR204" s="24"/>
      <c r="DS204" s="24"/>
      <c r="DT204" s="24"/>
      <c r="DU204" s="24"/>
      <c r="DV204" s="24"/>
      <c r="DW204" s="24"/>
      <c r="DX204" s="24"/>
      <c r="DY204" s="24"/>
      <c r="DZ204" s="24"/>
      <c r="EA204" s="24"/>
      <c r="EB204" s="25"/>
      <c r="EC204" s="26"/>
      <c r="ED204" s="24"/>
      <c r="EE204" s="24"/>
      <c r="EF204" s="24"/>
      <c r="EG204" s="24"/>
      <c r="EH204" s="24"/>
      <c r="EI204" s="24"/>
      <c r="EJ204" s="24"/>
      <c r="EK204" s="24"/>
      <c r="EL204" s="24"/>
      <c r="EM204" s="24"/>
      <c r="EN204" s="24"/>
      <c r="EO204" s="25"/>
      <c r="EP204" s="26"/>
      <c r="EQ204" s="24"/>
      <c r="ER204" s="24"/>
      <c r="ES204" s="24"/>
      <c r="ET204" s="24"/>
      <c r="EU204" s="24"/>
      <c r="EV204" s="24"/>
      <c r="EW204" s="24"/>
      <c r="EX204" s="24"/>
      <c r="EY204" s="24"/>
      <c r="EZ204" s="24"/>
      <c r="FA204" s="24"/>
      <c r="FB204" s="25"/>
      <c r="FC204" s="26"/>
      <c r="FD204" s="24"/>
      <c r="FE204" s="24"/>
      <c r="FF204" s="24"/>
      <c r="FG204" s="24"/>
      <c r="FH204" s="24"/>
      <c r="FI204" s="24"/>
      <c r="FJ204" s="24"/>
      <c r="FK204" s="24"/>
      <c r="FL204" s="24"/>
      <c r="FM204" s="24"/>
      <c r="FN204" s="24"/>
      <c r="FO204" s="27">
        <f t="shared" ref="FO204:FV204" si="197">IFERROR(R204*1,0)+IFERROR(AE204*1,0)+IFERROR(AR204*1,0)+IFERROR(BE204*1,0)+IFERROR(BR204*1,0)+IFERROR(CE204*1,0)+IFERROR(CR204*1,0)+IFERROR(DE204*1,0)+IFERROR(DR204*1,0)+IFERROR(EE204*1,0)+IFERROR(ER204*1,0)+IFERROR(FE204*1,0)</f>
        <v>0</v>
      </c>
      <c r="FP204" s="27">
        <f t="shared" si="197"/>
        <v>0</v>
      </c>
      <c r="FQ204" s="27">
        <f t="shared" si="197"/>
        <v>0</v>
      </c>
      <c r="FR204" s="27">
        <f t="shared" si="197"/>
        <v>0</v>
      </c>
      <c r="FS204" s="27">
        <f t="shared" si="197"/>
        <v>0</v>
      </c>
      <c r="FT204" s="27">
        <f t="shared" si="197"/>
        <v>0</v>
      </c>
      <c r="FU204" s="27">
        <f t="shared" si="197"/>
        <v>0</v>
      </c>
      <c r="FV204" s="27">
        <f t="shared" si="197"/>
        <v>0</v>
      </c>
      <c r="FW204" s="28"/>
      <c r="FX204" s="29">
        <f t="shared" si="3"/>
        <v>0</v>
      </c>
    </row>
    <row r="205" spans="1:180" ht="18" customHeight="1" x14ac:dyDescent="0.25">
      <c r="A205" s="3" t="str">
        <f>IF(C205&lt;&gt;"","DRG-"&amp;TEXT(200,"000"),"")</f>
        <v/>
      </c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7">
        <v>4</v>
      </c>
      <c r="M205" s="30" t="str">
        <f t="shared" si="0"/>
        <v>✘ Pending</v>
      </c>
      <c r="N205" s="30">
        <f t="shared" si="1"/>
        <v>0</v>
      </c>
      <c r="O205" s="31"/>
      <c r="P205" s="32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1"/>
      <c r="AC205" s="32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1"/>
      <c r="AP205" s="32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1"/>
      <c r="BC205" s="32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1"/>
      <c r="BP205" s="32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1"/>
      <c r="CC205" s="32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1"/>
      <c r="CP205" s="32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1"/>
      <c r="DC205" s="32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1"/>
      <c r="DP205" s="32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1"/>
      <c r="EC205" s="32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1"/>
      <c r="EP205" s="32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1"/>
      <c r="FC205" s="32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4">
        <f t="shared" ref="FO205:FV205" si="198">IFERROR(R205*1,0)+IFERROR(AE205*1,0)+IFERROR(AR205*1,0)+IFERROR(BE205*1,0)+IFERROR(BR205*1,0)+IFERROR(CE205*1,0)+IFERROR(CR205*1,0)+IFERROR(DE205*1,0)+IFERROR(DR205*1,0)+IFERROR(EE205*1,0)+IFERROR(ER205*1,0)+IFERROR(FE205*1,0)</f>
        <v>0</v>
      </c>
      <c r="FP205" s="34">
        <f t="shared" si="198"/>
        <v>0</v>
      </c>
      <c r="FQ205" s="34">
        <f t="shared" si="198"/>
        <v>0</v>
      </c>
      <c r="FR205" s="34">
        <f t="shared" si="198"/>
        <v>0</v>
      </c>
      <c r="FS205" s="34">
        <f t="shared" si="198"/>
        <v>0</v>
      </c>
      <c r="FT205" s="34">
        <f t="shared" si="198"/>
        <v>0</v>
      </c>
      <c r="FU205" s="34">
        <f t="shared" si="198"/>
        <v>0</v>
      </c>
      <c r="FV205" s="34">
        <f t="shared" si="198"/>
        <v>0</v>
      </c>
      <c r="FW205" s="28"/>
      <c r="FX205" s="29">
        <f t="shared" si="3"/>
        <v>0</v>
      </c>
    </row>
    <row r="206" spans="1:180" ht="18" customHeight="1" x14ac:dyDescent="0.25">
      <c r="A206" s="3" t="str">
        <f>IF(C206&lt;&gt;"","DRG-"&amp;TEXT(201,"000"),"")</f>
        <v/>
      </c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38">
        <v>4</v>
      </c>
      <c r="M206" s="23" t="str">
        <f t="shared" si="0"/>
        <v>✘ Pending</v>
      </c>
      <c r="N206" s="23">
        <f t="shared" si="1"/>
        <v>0</v>
      </c>
      <c r="O206" s="25"/>
      <c r="P206" s="26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  <c r="AB206" s="25"/>
      <c r="AC206" s="26"/>
      <c r="AD206" s="24"/>
      <c r="AE206" s="24"/>
      <c r="AF206" s="24"/>
      <c r="AG206" s="24"/>
      <c r="AH206" s="24"/>
      <c r="AI206" s="24"/>
      <c r="AJ206" s="24"/>
      <c r="AK206" s="24"/>
      <c r="AL206" s="24"/>
      <c r="AM206" s="24"/>
      <c r="AN206" s="24"/>
      <c r="AO206" s="25"/>
      <c r="AP206" s="26"/>
      <c r="AQ206" s="24"/>
      <c r="AR206" s="24"/>
      <c r="AS206" s="24"/>
      <c r="AT206" s="24"/>
      <c r="AU206" s="24"/>
      <c r="AV206" s="24"/>
      <c r="AW206" s="24"/>
      <c r="AX206" s="24"/>
      <c r="AY206" s="24"/>
      <c r="AZ206" s="24"/>
      <c r="BA206" s="24"/>
      <c r="BB206" s="25"/>
      <c r="BC206" s="26"/>
      <c r="BD206" s="24"/>
      <c r="BE206" s="24"/>
      <c r="BF206" s="24"/>
      <c r="BG206" s="24"/>
      <c r="BH206" s="24"/>
      <c r="BI206" s="24"/>
      <c r="BJ206" s="24"/>
      <c r="BK206" s="24"/>
      <c r="BL206" s="24"/>
      <c r="BM206" s="24"/>
      <c r="BN206" s="24"/>
      <c r="BO206" s="25"/>
      <c r="BP206" s="26"/>
      <c r="BQ206" s="24"/>
      <c r="BR206" s="24"/>
      <c r="BS206" s="24"/>
      <c r="BT206" s="24"/>
      <c r="BU206" s="24"/>
      <c r="BV206" s="24"/>
      <c r="BW206" s="24"/>
      <c r="BX206" s="24"/>
      <c r="BY206" s="24"/>
      <c r="BZ206" s="24"/>
      <c r="CA206" s="24"/>
      <c r="CB206" s="25"/>
      <c r="CC206" s="26"/>
      <c r="CD206" s="24"/>
      <c r="CE206" s="24"/>
      <c r="CF206" s="24"/>
      <c r="CG206" s="24"/>
      <c r="CH206" s="24"/>
      <c r="CI206" s="24"/>
      <c r="CJ206" s="24"/>
      <c r="CK206" s="24"/>
      <c r="CL206" s="24"/>
      <c r="CM206" s="24"/>
      <c r="CN206" s="24"/>
      <c r="CO206" s="25"/>
      <c r="CP206" s="26"/>
      <c r="CQ206" s="24"/>
      <c r="CR206" s="24"/>
      <c r="CS206" s="24"/>
      <c r="CT206" s="24"/>
      <c r="CU206" s="24"/>
      <c r="CV206" s="24"/>
      <c r="CW206" s="24"/>
      <c r="CX206" s="24"/>
      <c r="CY206" s="24"/>
      <c r="CZ206" s="24"/>
      <c r="DA206" s="24"/>
      <c r="DB206" s="25"/>
      <c r="DC206" s="26"/>
      <c r="DD206" s="24"/>
      <c r="DE206" s="24"/>
      <c r="DF206" s="24"/>
      <c r="DG206" s="24"/>
      <c r="DH206" s="24"/>
      <c r="DI206" s="24"/>
      <c r="DJ206" s="24"/>
      <c r="DK206" s="24"/>
      <c r="DL206" s="24"/>
      <c r="DM206" s="24"/>
      <c r="DN206" s="24"/>
      <c r="DO206" s="25"/>
      <c r="DP206" s="26"/>
      <c r="DQ206" s="24"/>
      <c r="DR206" s="24"/>
      <c r="DS206" s="24"/>
      <c r="DT206" s="24"/>
      <c r="DU206" s="24"/>
      <c r="DV206" s="24"/>
      <c r="DW206" s="24"/>
      <c r="DX206" s="24"/>
      <c r="DY206" s="24"/>
      <c r="DZ206" s="24"/>
      <c r="EA206" s="24"/>
      <c r="EB206" s="25"/>
      <c r="EC206" s="26"/>
      <c r="ED206" s="24"/>
      <c r="EE206" s="24"/>
      <c r="EF206" s="24"/>
      <c r="EG206" s="24"/>
      <c r="EH206" s="24"/>
      <c r="EI206" s="24"/>
      <c r="EJ206" s="24"/>
      <c r="EK206" s="24"/>
      <c r="EL206" s="24"/>
      <c r="EM206" s="24"/>
      <c r="EN206" s="24"/>
      <c r="EO206" s="25"/>
      <c r="EP206" s="26"/>
      <c r="EQ206" s="24"/>
      <c r="ER206" s="24"/>
      <c r="ES206" s="24"/>
      <c r="ET206" s="24"/>
      <c r="EU206" s="24"/>
      <c r="EV206" s="24"/>
      <c r="EW206" s="24"/>
      <c r="EX206" s="24"/>
      <c r="EY206" s="24"/>
      <c r="EZ206" s="24"/>
      <c r="FA206" s="24"/>
      <c r="FB206" s="25"/>
      <c r="FC206" s="26"/>
      <c r="FD206" s="24"/>
      <c r="FE206" s="24"/>
      <c r="FF206" s="24"/>
      <c r="FG206" s="24"/>
      <c r="FH206" s="24"/>
      <c r="FI206" s="24"/>
      <c r="FJ206" s="24"/>
      <c r="FK206" s="24"/>
      <c r="FL206" s="24"/>
      <c r="FM206" s="24"/>
      <c r="FN206" s="24"/>
      <c r="FO206" s="27">
        <f t="shared" ref="FO206:FV206" si="199">IFERROR(R206*1,0)+IFERROR(AE206*1,0)+IFERROR(AR206*1,0)+IFERROR(BE206*1,0)+IFERROR(BR206*1,0)+IFERROR(CE206*1,0)+IFERROR(CR206*1,0)+IFERROR(DE206*1,0)+IFERROR(DR206*1,0)+IFERROR(EE206*1,0)+IFERROR(ER206*1,0)+IFERROR(FE206*1,0)</f>
        <v>0</v>
      </c>
      <c r="FP206" s="27">
        <f t="shared" si="199"/>
        <v>0</v>
      </c>
      <c r="FQ206" s="27">
        <f t="shared" si="199"/>
        <v>0</v>
      </c>
      <c r="FR206" s="27">
        <f t="shared" si="199"/>
        <v>0</v>
      </c>
      <c r="FS206" s="27">
        <f t="shared" si="199"/>
        <v>0</v>
      </c>
      <c r="FT206" s="27">
        <f t="shared" si="199"/>
        <v>0</v>
      </c>
      <c r="FU206" s="27">
        <f t="shared" si="199"/>
        <v>0</v>
      </c>
      <c r="FV206" s="27">
        <f t="shared" si="199"/>
        <v>0</v>
      </c>
      <c r="FW206" s="28"/>
      <c r="FX206" s="29">
        <f t="shared" si="3"/>
        <v>0</v>
      </c>
    </row>
    <row r="207" spans="1:180" ht="18" customHeight="1" x14ac:dyDescent="0.25">
      <c r="A207" s="3" t="str">
        <f>IF(C207&lt;&gt;"","DRG-"&amp;TEXT(202,"000"),"")</f>
        <v/>
      </c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7">
        <v>4</v>
      </c>
      <c r="M207" s="30" t="str">
        <f t="shared" si="0"/>
        <v>✘ Pending</v>
      </c>
      <c r="N207" s="30">
        <f t="shared" si="1"/>
        <v>0</v>
      </c>
      <c r="O207" s="31"/>
      <c r="P207" s="32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1"/>
      <c r="AC207" s="32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/>
      <c r="AN207" s="33"/>
      <c r="AO207" s="31"/>
      <c r="AP207" s="32"/>
      <c r="AQ207" s="33"/>
      <c r="AR207" s="33"/>
      <c r="AS207" s="33"/>
      <c r="AT207" s="33"/>
      <c r="AU207" s="33"/>
      <c r="AV207" s="33"/>
      <c r="AW207" s="33"/>
      <c r="AX207" s="33"/>
      <c r="AY207" s="33"/>
      <c r="AZ207" s="33"/>
      <c r="BA207" s="33"/>
      <c r="BB207" s="31"/>
      <c r="BC207" s="32"/>
      <c r="BD207" s="33"/>
      <c r="BE207" s="33"/>
      <c r="BF207" s="33"/>
      <c r="BG207" s="33"/>
      <c r="BH207" s="33"/>
      <c r="BI207" s="33"/>
      <c r="BJ207" s="33"/>
      <c r="BK207" s="33"/>
      <c r="BL207" s="33"/>
      <c r="BM207" s="33"/>
      <c r="BN207" s="33"/>
      <c r="BO207" s="31"/>
      <c r="BP207" s="32"/>
      <c r="BQ207" s="33"/>
      <c r="BR207" s="33"/>
      <c r="BS207" s="33"/>
      <c r="BT207" s="33"/>
      <c r="BU207" s="33"/>
      <c r="BV207" s="33"/>
      <c r="BW207" s="33"/>
      <c r="BX207" s="33"/>
      <c r="BY207" s="33"/>
      <c r="BZ207" s="33"/>
      <c r="CA207" s="33"/>
      <c r="CB207" s="31"/>
      <c r="CC207" s="32"/>
      <c r="CD207" s="33"/>
      <c r="CE207" s="33"/>
      <c r="CF207" s="33"/>
      <c r="CG207" s="33"/>
      <c r="CH207" s="33"/>
      <c r="CI207" s="33"/>
      <c r="CJ207" s="33"/>
      <c r="CK207" s="33"/>
      <c r="CL207" s="33"/>
      <c r="CM207" s="33"/>
      <c r="CN207" s="33"/>
      <c r="CO207" s="31"/>
      <c r="CP207" s="32"/>
      <c r="CQ207" s="33"/>
      <c r="CR207" s="33"/>
      <c r="CS207" s="33"/>
      <c r="CT207" s="33"/>
      <c r="CU207" s="33"/>
      <c r="CV207" s="33"/>
      <c r="CW207" s="33"/>
      <c r="CX207" s="33"/>
      <c r="CY207" s="33"/>
      <c r="CZ207" s="33"/>
      <c r="DA207" s="33"/>
      <c r="DB207" s="31"/>
      <c r="DC207" s="32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1"/>
      <c r="DP207" s="32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1"/>
      <c r="EC207" s="32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1"/>
      <c r="EP207" s="32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1"/>
      <c r="FC207" s="32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4">
        <f t="shared" ref="FO207:FV207" si="200">IFERROR(R207*1,0)+IFERROR(AE207*1,0)+IFERROR(AR207*1,0)+IFERROR(BE207*1,0)+IFERROR(BR207*1,0)+IFERROR(CE207*1,0)+IFERROR(CR207*1,0)+IFERROR(DE207*1,0)+IFERROR(DR207*1,0)+IFERROR(EE207*1,0)+IFERROR(ER207*1,0)+IFERROR(FE207*1,0)</f>
        <v>0</v>
      </c>
      <c r="FP207" s="34">
        <f t="shared" si="200"/>
        <v>0</v>
      </c>
      <c r="FQ207" s="34">
        <f t="shared" si="200"/>
        <v>0</v>
      </c>
      <c r="FR207" s="34">
        <f t="shared" si="200"/>
        <v>0</v>
      </c>
      <c r="FS207" s="34">
        <f t="shared" si="200"/>
        <v>0</v>
      </c>
      <c r="FT207" s="34">
        <f t="shared" si="200"/>
        <v>0</v>
      </c>
      <c r="FU207" s="34">
        <f t="shared" si="200"/>
        <v>0</v>
      </c>
      <c r="FV207" s="34">
        <f t="shared" si="200"/>
        <v>0</v>
      </c>
      <c r="FW207" s="28"/>
      <c r="FX207" s="29">
        <f t="shared" si="3"/>
        <v>0</v>
      </c>
    </row>
    <row r="208" spans="1:180" ht="18" customHeight="1" x14ac:dyDescent="0.25">
      <c r="A208" s="3" t="str">
        <f>IF(C208&lt;&gt;"","DRG-"&amp;TEXT(203,"000"),"")</f>
        <v/>
      </c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38">
        <v>4</v>
      </c>
      <c r="M208" s="23" t="str">
        <f t="shared" si="0"/>
        <v>✘ Pending</v>
      </c>
      <c r="N208" s="23">
        <f t="shared" si="1"/>
        <v>0</v>
      </c>
      <c r="O208" s="25"/>
      <c r="P208" s="26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  <c r="AB208" s="25"/>
      <c r="AC208" s="26"/>
      <c r="AD208" s="24"/>
      <c r="AE208" s="24"/>
      <c r="AF208" s="24"/>
      <c r="AG208" s="24"/>
      <c r="AH208" s="24"/>
      <c r="AI208" s="24"/>
      <c r="AJ208" s="24"/>
      <c r="AK208" s="24"/>
      <c r="AL208" s="24"/>
      <c r="AM208" s="24"/>
      <c r="AN208" s="24"/>
      <c r="AO208" s="25"/>
      <c r="AP208" s="26"/>
      <c r="AQ208" s="24"/>
      <c r="AR208" s="24"/>
      <c r="AS208" s="24"/>
      <c r="AT208" s="24"/>
      <c r="AU208" s="24"/>
      <c r="AV208" s="24"/>
      <c r="AW208" s="24"/>
      <c r="AX208" s="24"/>
      <c r="AY208" s="24"/>
      <c r="AZ208" s="24"/>
      <c r="BA208" s="24"/>
      <c r="BB208" s="25"/>
      <c r="BC208" s="26"/>
      <c r="BD208" s="24"/>
      <c r="BE208" s="24"/>
      <c r="BF208" s="24"/>
      <c r="BG208" s="24"/>
      <c r="BH208" s="24"/>
      <c r="BI208" s="24"/>
      <c r="BJ208" s="24"/>
      <c r="BK208" s="24"/>
      <c r="BL208" s="24"/>
      <c r="BM208" s="24"/>
      <c r="BN208" s="24"/>
      <c r="BO208" s="25"/>
      <c r="BP208" s="26"/>
      <c r="BQ208" s="24"/>
      <c r="BR208" s="24"/>
      <c r="BS208" s="24"/>
      <c r="BT208" s="24"/>
      <c r="BU208" s="24"/>
      <c r="BV208" s="24"/>
      <c r="BW208" s="24"/>
      <c r="BX208" s="24"/>
      <c r="BY208" s="24"/>
      <c r="BZ208" s="24"/>
      <c r="CA208" s="24"/>
      <c r="CB208" s="25"/>
      <c r="CC208" s="26"/>
      <c r="CD208" s="24"/>
      <c r="CE208" s="24"/>
      <c r="CF208" s="24"/>
      <c r="CG208" s="24"/>
      <c r="CH208" s="24"/>
      <c r="CI208" s="24"/>
      <c r="CJ208" s="24"/>
      <c r="CK208" s="24"/>
      <c r="CL208" s="24"/>
      <c r="CM208" s="24"/>
      <c r="CN208" s="24"/>
      <c r="CO208" s="25"/>
      <c r="CP208" s="26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5"/>
      <c r="DC208" s="26"/>
      <c r="DD208" s="24"/>
      <c r="DE208" s="24"/>
      <c r="DF208" s="24"/>
      <c r="DG208" s="24"/>
      <c r="DH208" s="24"/>
      <c r="DI208" s="24"/>
      <c r="DJ208" s="24"/>
      <c r="DK208" s="24"/>
      <c r="DL208" s="24"/>
      <c r="DM208" s="24"/>
      <c r="DN208" s="24"/>
      <c r="DO208" s="25"/>
      <c r="DP208" s="26"/>
      <c r="DQ208" s="24"/>
      <c r="DR208" s="24"/>
      <c r="DS208" s="24"/>
      <c r="DT208" s="24"/>
      <c r="DU208" s="24"/>
      <c r="DV208" s="24"/>
      <c r="DW208" s="24"/>
      <c r="DX208" s="24"/>
      <c r="DY208" s="24"/>
      <c r="DZ208" s="24"/>
      <c r="EA208" s="24"/>
      <c r="EB208" s="25"/>
      <c r="EC208" s="26"/>
      <c r="ED208" s="24"/>
      <c r="EE208" s="24"/>
      <c r="EF208" s="24"/>
      <c r="EG208" s="24"/>
      <c r="EH208" s="24"/>
      <c r="EI208" s="24"/>
      <c r="EJ208" s="24"/>
      <c r="EK208" s="24"/>
      <c r="EL208" s="24"/>
      <c r="EM208" s="24"/>
      <c r="EN208" s="24"/>
      <c r="EO208" s="25"/>
      <c r="EP208" s="26"/>
      <c r="EQ208" s="24"/>
      <c r="ER208" s="24"/>
      <c r="ES208" s="24"/>
      <c r="ET208" s="24"/>
      <c r="EU208" s="24"/>
      <c r="EV208" s="24"/>
      <c r="EW208" s="24"/>
      <c r="EX208" s="24"/>
      <c r="EY208" s="24"/>
      <c r="EZ208" s="24"/>
      <c r="FA208" s="24"/>
      <c r="FB208" s="25"/>
      <c r="FC208" s="26"/>
      <c r="FD208" s="24"/>
      <c r="FE208" s="24"/>
      <c r="FF208" s="24"/>
      <c r="FG208" s="24"/>
      <c r="FH208" s="24"/>
      <c r="FI208" s="24"/>
      <c r="FJ208" s="24"/>
      <c r="FK208" s="24"/>
      <c r="FL208" s="24"/>
      <c r="FM208" s="24"/>
      <c r="FN208" s="24"/>
      <c r="FO208" s="27">
        <f t="shared" ref="FO208:FV208" si="201">IFERROR(R208*1,0)+IFERROR(AE208*1,0)+IFERROR(AR208*1,0)+IFERROR(BE208*1,0)+IFERROR(BR208*1,0)+IFERROR(CE208*1,0)+IFERROR(CR208*1,0)+IFERROR(DE208*1,0)+IFERROR(DR208*1,0)+IFERROR(EE208*1,0)+IFERROR(ER208*1,0)+IFERROR(FE208*1,0)</f>
        <v>0</v>
      </c>
      <c r="FP208" s="27">
        <f t="shared" si="201"/>
        <v>0</v>
      </c>
      <c r="FQ208" s="27">
        <f t="shared" si="201"/>
        <v>0</v>
      </c>
      <c r="FR208" s="27">
        <f t="shared" si="201"/>
        <v>0</v>
      </c>
      <c r="FS208" s="27">
        <f t="shared" si="201"/>
        <v>0</v>
      </c>
      <c r="FT208" s="27">
        <f t="shared" si="201"/>
        <v>0</v>
      </c>
      <c r="FU208" s="27">
        <f t="shared" si="201"/>
        <v>0</v>
      </c>
      <c r="FV208" s="27">
        <f t="shared" si="201"/>
        <v>0</v>
      </c>
      <c r="FW208" s="28"/>
      <c r="FX208" s="29">
        <f t="shared" si="3"/>
        <v>0</v>
      </c>
    </row>
    <row r="209" spans="1:180" ht="18" customHeight="1" x14ac:dyDescent="0.25">
      <c r="A209" s="3" t="str">
        <f>IF(C209&lt;&gt;"","DRG-"&amp;TEXT(204,"000"),"")</f>
        <v/>
      </c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7">
        <v>4</v>
      </c>
      <c r="M209" s="30" t="str">
        <f t="shared" si="0"/>
        <v>✘ Pending</v>
      </c>
      <c r="N209" s="30">
        <f t="shared" si="1"/>
        <v>0</v>
      </c>
      <c r="O209" s="31"/>
      <c r="P209" s="32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1"/>
      <c r="AC209" s="32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1"/>
      <c r="AP209" s="32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1"/>
      <c r="BC209" s="32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1"/>
      <c r="BP209" s="32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1"/>
      <c r="CC209" s="32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1"/>
      <c r="CP209" s="32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1"/>
      <c r="DC209" s="32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1"/>
      <c r="DP209" s="32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1"/>
      <c r="EC209" s="32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1"/>
      <c r="EP209" s="32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1"/>
      <c r="FC209" s="32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4">
        <f t="shared" ref="FO209:FV209" si="202">IFERROR(R209*1,0)+IFERROR(AE209*1,0)+IFERROR(AR209*1,0)+IFERROR(BE209*1,0)+IFERROR(BR209*1,0)+IFERROR(CE209*1,0)+IFERROR(CR209*1,0)+IFERROR(DE209*1,0)+IFERROR(DR209*1,0)+IFERROR(EE209*1,0)+IFERROR(ER209*1,0)+IFERROR(FE209*1,0)</f>
        <v>0</v>
      </c>
      <c r="FP209" s="34">
        <f t="shared" si="202"/>
        <v>0</v>
      </c>
      <c r="FQ209" s="34">
        <f t="shared" si="202"/>
        <v>0</v>
      </c>
      <c r="FR209" s="34">
        <f t="shared" si="202"/>
        <v>0</v>
      </c>
      <c r="FS209" s="34">
        <f t="shared" si="202"/>
        <v>0</v>
      </c>
      <c r="FT209" s="34">
        <f t="shared" si="202"/>
        <v>0</v>
      </c>
      <c r="FU209" s="34">
        <f t="shared" si="202"/>
        <v>0</v>
      </c>
      <c r="FV209" s="34">
        <f t="shared" si="202"/>
        <v>0</v>
      </c>
      <c r="FW209" s="28"/>
      <c r="FX209" s="29">
        <f t="shared" si="3"/>
        <v>0</v>
      </c>
    </row>
    <row r="210" spans="1:180" ht="18" customHeight="1" x14ac:dyDescent="0.25">
      <c r="A210" s="3" t="str">
        <f>IF(C210&lt;&gt;"","DRG-"&amp;TEXT(205,"000"),"")</f>
        <v/>
      </c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38">
        <v>4</v>
      </c>
      <c r="M210" s="23" t="str">
        <f t="shared" si="0"/>
        <v>✘ Pending</v>
      </c>
      <c r="N210" s="23">
        <f t="shared" si="1"/>
        <v>0</v>
      </c>
      <c r="O210" s="25"/>
      <c r="P210" s="26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  <c r="AB210" s="25"/>
      <c r="AC210" s="26"/>
      <c r="AD210" s="24"/>
      <c r="AE210" s="24"/>
      <c r="AF210" s="24"/>
      <c r="AG210" s="24"/>
      <c r="AH210" s="24"/>
      <c r="AI210" s="24"/>
      <c r="AJ210" s="24"/>
      <c r="AK210" s="24"/>
      <c r="AL210" s="24"/>
      <c r="AM210" s="24"/>
      <c r="AN210" s="24"/>
      <c r="AO210" s="25"/>
      <c r="AP210" s="26"/>
      <c r="AQ210" s="24"/>
      <c r="AR210" s="24"/>
      <c r="AS210" s="24"/>
      <c r="AT210" s="24"/>
      <c r="AU210" s="24"/>
      <c r="AV210" s="24"/>
      <c r="AW210" s="24"/>
      <c r="AX210" s="24"/>
      <c r="AY210" s="24"/>
      <c r="AZ210" s="24"/>
      <c r="BA210" s="24"/>
      <c r="BB210" s="25"/>
      <c r="BC210" s="26"/>
      <c r="BD210" s="24"/>
      <c r="BE210" s="24"/>
      <c r="BF210" s="24"/>
      <c r="BG210" s="24"/>
      <c r="BH210" s="24"/>
      <c r="BI210" s="24"/>
      <c r="BJ210" s="24"/>
      <c r="BK210" s="24"/>
      <c r="BL210" s="24"/>
      <c r="BM210" s="24"/>
      <c r="BN210" s="24"/>
      <c r="BO210" s="25"/>
      <c r="BP210" s="26"/>
      <c r="BQ210" s="24"/>
      <c r="BR210" s="24"/>
      <c r="BS210" s="24"/>
      <c r="BT210" s="24"/>
      <c r="BU210" s="24"/>
      <c r="BV210" s="24"/>
      <c r="BW210" s="24"/>
      <c r="BX210" s="24"/>
      <c r="BY210" s="24"/>
      <c r="BZ210" s="24"/>
      <c r="CA210" s="24"/>
      <c r="CB210" s="25"/>
      <c r="CC210" s="26"/>
      <c r="CD210" s="24"/>
      <c r="CE210" s="24"/>
      <c r="CF210" s="24"/>
      <c r="CG210" s="24"/>
      <c r="CH210" s="24"/>
      <c r="CI210" s="24"/>
      <c r="CJ210" s="24"/>
      <c r="CK210" s="24"/>
      <c r="CL210" s="24"/>
      <c r="CM210" s="24"/>
      <c r="CN210" s="24"/>
      <c r="CO210" s="25"/>
      <c r="CP210" s="26"/>
      <c r="CQ210" s="24"/>
      <c r="CR210" s="24"/>
      <c r="CS210" s="24"/>
      <c r="CT210" s="24"/>
      <c r="CU210" s="24"/>
      <c r="CV210" s="24"/>
      <c r="CW210" s="24"/>
      <c r="CX210" s="24"/>
      <c r="CY210" s="24"/>
      <c r="CZ210" s="24"/>
      <c r="DA210" s="24"/>
      <c r="DB210" s="25"/>
      <c r="DC210" s="26"/>
      <c r="DD210" s="24"/>
      <c r="DE210" s="24"/>
      <c r="DF210" s="24"/>
      <c r="DG210" s="24"/>
      <c r="DH210" s="24"/>
      <c r="DI210" s="24"/>
      <c r="DJ210" s="24"/>
      <c r="DK210" s="24"/>
      <c r="DL210" s="24"/>
      <c r="DM210" s="24"/>
      <c r="DN210" s="24"/>
      <c r="DO210" s="25"/>
      <c r="DP210" s="26"/>
      <c r="DQ210" s="24"/>
      <c r="DR210" s="24"/>
      <c r="DS210" s="24"/>
      <c r="DT210" s="24"/>
      <c r="DU210" s="24"/>
      <c r="DV210" s="24"/>
      <c r="DW210" s="24"/>
      <c r="DX210" s="24"/>
      <c r="DY210" s="24"/>
      <c r="DZ210" s="24"/>
      <c r="EA210" s="24"/>
      <c r="EB210" s="25"/>
      <c r="EC210" s="26"/>
      <c r="ED210" s="24"/>
      <c r="EE210" s="24"/>
      <c r="EF210" s="24"/>
      <c r="EG210" s="24"/>
      <c r="EH210" s="24"/>
      <c r="EI210" s="24"/>
      <c r="EJ210" s="24"/>
      <c r="EK210" s="24"/>
      <c r="EL210" s="24"/>
      <c r="EM210" s="24"/>
      <c r="EN210" s="24"/>
      <c r="EO210" s="25"/>
      <c r="EP210" s="26"/>
      <c r="EQ210" s="24"/>
      <c r="ER210" s="24"/>
      <c r="ES210" s="24"/>
      <c r="ET210" s="24"/>
      <c r="EU210" s="24"/>
      <c r="EV210" s="24"/>
      <c r="EW210" s="24"/>
      <c r="EX210" s="24"/>
      <c r="EY210" s="24"/>
      <c r="EZ210" s="24"/>
      <c r="FA210" s="24"/>
      <c r="FB210" s="25"/>
      <c r="FC210" s="26"/>
      <c r="FD210" s="24"/>
      <c r="FE210" s="24"/>
      <c r="FF210" s="24"/>
      <c r="FG210" s="24"/>
      <c r="FH210" s="24"/>
      <c r="FI210" s="24"/>
      <c r="FJ210" s="24"/>
      <c r="FK210" s="24"/>
      <c r="FL210" s="24"/>
      <c r="FM210" s="24"/>
      <c r="FN210" s="24"/>
      <c r="FO210" s="27">
        <f t="shared" ref="FO210:FV210" si="203">IFERROR(R210*1,0)+IFERROR(AE210*1,0)+IFERROR(AR210*1,0)+IFERROR(BE210*1,0)+IFERROR(BR210*1,0)+IFERROR(CE210*1,0)+IFERROR(CR210*1,0)+IFERROR(DE210*1,0)+IFERROR(DR210*1,0)+IFERROR(EE210*1,0)+IFERROR(ER210*1,0)+IFERROR(FE210*1,0)</f>
        <v>0</v>
      </c>
      <c r="FP210" s="27">
        <f t="shared" si="203"/>
        <v>0</v>
      </c>
      <c r="FQ210" s="27">
        <f t="shared" si="203"/>
        <v>0</v>
      </c>
      <c r="FR210" s="27">
        <f t="shared" si="203"/>
        <v>0</v>
      </c>
      <c r="FS210" s="27">
        <f t="shared" si="203"/>
        <v>0</v>
      </c>
      <c r="FT210" s="27">
        <f t="shared" si="203"/>
        <v>0</v>
      </c>
      <c r="FU210" s="27">
        <f t="shared" si="203"/>
        <v>0</v>
      </c>
      <c r="FV210" s="27">
        <f t="shared" si="203"/>
        <v>0</v>
      </c>
      <c r="FW210" s="28"/>
      <c r="FX210" s="29">
        <f t="shared" si="3"/>
        <v>0</v>
      </c>
    </row>
    <row r="211" spans="1:180" ht="18" customHeight="1" x14ac:dyDescent="0.25">
      <c r="A211" s="3" t="str">
        <f>IF(C211&lt;&gt;"","DRG-"&amp;TEXT(206,"000"),"")</f>
        <v/>
      </c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7">
        <v>4</v>
      </c>
      <c r="M211" s="30" t="str">
        <f t="shared" si="0"/>
        <v>✘ Pending</v>
      </c>
      <c r="N211" s="30">
        <f t="shared" si="1"/>
        <v>0</v>
      </c>
      <c r="O211" s="31"/>
      <c r="P211" s="32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1"/>
      <c r="AC211" s="32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1"/>
      <c r="AP211" s="32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1"/>
      <c r="BC211" s="32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1"/>
      <c r="BP211" s="32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1"/>
      <c r="CC211" s="32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1"/>
      <c r="CP211" s="32"/>
      <c r="CQ211" s="33"/>
      <c r="CR211" s="33"/>
      <c r="CS211" s="33"/>
      <c r="CT211" s="33"/>
      <c r="CU211" s="33"/>
      <c r="CV211" s="33"/>
      <c r="CW211" s="33"/>
      <c r="CX211" s="33"/>
      <c r="CY211" s="33"/>
      <c r="CZ211" s="33"/>
      <c r="DA211" s="33"/>
      <c r="DB211" s="31"/>
      <c r="DC211" s="32"/>
      <c r="DD211" s="33"/>
      <c r="DE211" s="33"/>
      <c r="DF211" s="33"/>
      <c r="DG211" s="33"/>
      <c r="DH211" s="33"/>
      <c r="DI211" s="33"/>
      <c r="DJ211" s="33"/>
      <c r="DK211" s="33"/>
      <c r="DL211" s="33"/>
      <c r="DM211" s="33"/>
      <c r="DN211" s="33"/>
      <c r="DO211" s="31"/>
      <c r="DP211" s="32"/>
      <c r="DQ211" s="33"/>
      <c r="DR211" s="33"/>
      <c r="DS211" s="33"/>
      <c r="DT211" s="33"/>
      <c r="DU211" s="33"/>
      <c r="DV211" s="33"/>
      <c r="DW211" s="33"/>
      <c r="DX211" s="33"/>
      <c r="DY211" s="33"/>
      <c r="DZ211" s="33"/>
      <c r="EA211" s="33"/>
      <c r="EB211" s="31"/>
      <c r="EC211" s="32"/>
      <c r="ED211" s="33"/>
      <c r="EE211" s="33"/>
      <c r="EF211" s="33"/>
      <c r="EG211" s="33"/>
      <c r="EH211" s="33"/>
      <c r="EI211" s="33"/>
      <c r="EJ211" s="33"/>
      <c r="EK211" s="33"/>
      <c r="EL211" s="33"/>
      <c r="EM211" s="33"/>
      <c r="EN211" s="33"/>
      <c r="EO211" s="31"/>
      <c r="EP211" s="32"/>
      <c r="EQ211" s="33"/>
      <c r="ER211" s="33"/>
      <c r="ES211" s="33"/>
      <c r="ET211" s="33"/>
      <c r="EU211" s="33"/>
      <c r="EV211" s="33"/>
      <c r="EW211" s="33"/>
      <c r="EX211" s="33"/>
      <c r="EY211" s="33"/>
      <c r="EZ211" s="33"/>
      <c r="FA211" s="33"/>
      <c r="FB211" s="31"/>
      <c r="FC211" s="32"/>
      <c r="FD211" s="33"/>
      <c r="FE211" s="33"/>
      <c r="FF211" s="33"/>
      <c r="FG211" s="33"/>
      <c r="FH211" s="33"/>
      <c r="FI211" s="33"/>
      <c r="FJ211" s="33"/>
      <c r="FK211" s="33"/>
      <c r="FL211" s="33"/>
      <c r="FM211" s="33"/>
      <c r="FN211" s="33"/>
      <c r="FO211" s="34">
        <f t="shared" ref="FO211:FV211" si="204">IFERROR(R211*1,0)+IFERROR(AE211*1,0)+IFERROR(AR211*1,0)+IFERROR(BE211*1,0)+IFERROR(BR211*1,0)+IFERROR(CE211*1,0)+IFERROR(CR211*1,0)+IFERROR(DE211*1,0)+IFERROR(DR211*1,0)+IFERROR(EE211*1,0)+IFERROR(ER211*1,0)+IFERROR(FE211*1,0)</f>
        <v>0</v>
      </c>
      <c r="FP211" s="34">
        <f t="shared" si="204"/>
        <v>0</v>
      </c>
      <c r="FQ211" s="34">
        <f t="shared" si="204"/>
        <v>0</v>
      </c>
      <c r="FR211" s="34">
        <f t="shared" si="204"/>
        <v>0</v>
      </c>
      <c r="FS211" s="34">
        <f t="shared" si="204"/>
        <v>0</v>
      </c>
      <c r="FT211" s="34">
        <f t="shared" si="204"/>
        <v>0</v>
      </c>
      <c r="FU211" s="34">
        <f t="shared" si="204"/>
        <v>0</v>
      </c>
      <c r="FV211" s="34">
        <f t="shared" si="204"/>
        <v>0</v>
      </c>
      <c r="FW211" s="28"/>
      <c r="FX211" s="29">
        <f t="shared" si="3"/>
        <v>0</v>
      </c>
    </row>
    <row r="212" spans="1:180" ht="18" customHeight="1" x14ac:dyDescent="0.25">
      <c r="A212" s="3" t="str">
        <f>IF(C212&lt;&gt;"","DRG-"&amp;TEXT(207,"000"),"")</f>
        <v/>
      </c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38">
        <v>4</v>
      </c>
      <c r="M212" s="23" t="str">
        <f t="shared" si="0"/>
        <v>✘ Pending</v>
      </c>
      <c r="N212" s="23">
        <f t="shared" si="1"/>
        <v>0</v>
      </c>
      <c r="O212" s="25"/>
      <c r="P212" s="26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  <c r="AB212" s="25"/>
      <c r="AC212" s="26"/>
      <c r="AD212" s="24"/>
      <c r="AE212" s="24"/>
      <c r="AF212" s="24"/>
      <c r="AG212" s="24"/>
      <c r="AH212" s="24"/>
      <c r="AI212" s="24"/>
      <c r="AJ212" s="24"/>
      <c r="AK212" s="24"/>
      <c r="AL212" s="24"/>
      <c r="AM212" s="24"/>
      <c r="AN212" s="24"/>
      <c r="AO212" s="25"/>
      <c r="AP212" s="26"/>
      <c r="AQ212" s="24"/>
      <c r="AR212" s="24"/>
      <c r="AS212" s="24"/>
      <c r="AT212" s="24"/>
      <c r="AU212" s="24"/>
      <c r="AV212" s="24"/>
      <c r="AW212" s="24"/>
      <c r="AX212" s="24"/>
      <c r="AY212" s="24"/>
      <c r="AZ212" s="24"/>
      <c r="BA212" s="24"/>
      <c r="BB212" s="25"/>
      <c r="BC212" s="26"/>
      <c r="BD212" s="24"/>
      <c r="BE212" s="24"/>
      <c r="BF212" s="24"/>
      <c r="BG212" s="24"/>
      <c r="BH212" s="24"/>
      <c r="BI212" s="24"/>
      <c r="BJ212" s="24"/>
      <c r="BK212" s="24"/>
      <c r="BL212" s="24"/>
      <c r="BM212" s="24"/>
      <c r="BN212" s="24"/>
      <c r="BO212" s="25"/>
      <c r="BP212" s="26"/>
      <c r="BQ212" s="24"/>
      <c r="BR212" s="24"/>
      <c r="BS212" s="24"/>
      <c r="BT212" s="24"/>
      <c r="BU212" s="24"/>
      <c r="BV212" s="24"/>
      <c r="BW212" s="24"/>
      <c r="BX212" s="24"/>
      <c r="BY212" s="24"/>
      <c r="BZ212" s="24"/>
      <c r="CA212" s="24"/>
      <c r="CB212" s="25"/>
      <c r="CC212" s="26"/>
      <c r="CD212" s="24"/>
      <c r="CE212" s="24"/>
      <c r="CF212" s="24"/>
      <c r="CG212" s="24"/>
      <c r="CH212" s="24"/>
      <c r="CI212" s="24"/>
      <c r="CJ212" s="24"/>
      <c r="CK212" s="24"/>
      <c r="CL212" s="24"/>
      <c r="CM212" s="24"/>
      <c r="CN212" s="24"/>
      <c r="CO212" s="25"/>
      <c r="CP212" s="26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5"/>
      <c r="DC212" s="26"/>
      <c r="DD212" s="24"/>
      <c r="DE212" s="24"/>
      <c r="DF212" s="24"/>
      <c r="DG212" s="24"/>
      <c r="DH212" s="24"/>
      <c r="DI212" s="24"/>
      <c r="DJ212" s="24"/>
      <c r="DK212" s="24"/>
      <c r="DL212" s="24"/>
      <c r="DM212" s="24"/>
      <c r="DN212" s="24"/>
      <c r="DO212" s="25"/>
      <c r="DP212" s="26"/>
      <c r="DQ212" s="24"/>
      <c r="DR212" s="24"/>
      <c r="DS212" s="24"/>
      <c r="DT212" s="24"/>
      <c r="DU212" s="24"/>
      <c r="DV212" s="24"/>
      <c r="DW212" s="24"/>
      <c r="DX212" s="24"/>
      <c r="DY212" s="24"/>
      <c r="DZ212" s="24"/>
      <c r="EA212" s="24"/>
      <c r="EB212" s="25"/>
      <c r="EC212" s="26"/>
      <c r="ED212" s="24"/>
      <c r="EE212" s="24"/>
      <c r="EF212" s="24"/>
      <c r="EG212" s="24"/>
      <c r="EH212" s="24"/>
      <c r="EI212" s="24"/>
      <c r="EJ212" s="24"/>
      <c r="EK212" s="24"/>
      <c r="EL212" s="24"/>
      <c r="EM212" s="24"/>
      <c r="EN212" s="24"/>
      <c r="EO212" s="25"/>
      <c r="EP212" s="26"/>
      <c r="EQ212" s="24"/>
      <c r="ER212" s="24"/>
      <c r="ES212" s="24"/>
      <c r="ET212" s="24"/>
      <c r="EU212" s="24"/>
      <c r="EV212" s="24"/>
      <c r="EW212" s="24"/>
      <c r="EX212" s="24"/>
      <c r="EY212" s="24"/>
      <c r="EZ212" s="24"/>
      <c r="FA212" s="24"/>
      <c r="FB212" s="25"/>
      <c r="FC212" s="26"/>
      <c r="FD212" s="24"/>
      <c r="FE212" s="24"/>
      <c r="FF212" s="24"/>
      <c r="FG212" s="24"/>
      <c r="FH212" s="24"/>
      <c r="FI212" s="24"/>
      <c r="FJ212" s="24"/>
      <c r="FK212" s="24"/>
      <c r="FL212" s="24"/>
      <c r="FM212" s="24"/>
      <c r="FN212" s="24"/>
      <c r="FO212" s="27">
        <f t="shared" ref="FO212:FV212" si="205">IFERROR(R212*1,0)+IFERROR(AE212*1,0)+IFERROR(AR212*1,0)+IFERROR(BE212*1,0)+IFERROR(BR212*1,0)+IFERROR(CE212*1,0)+IFERROR(CR212*1,0)+IFERROR(DE212*1,0)+IFERROR(DR212*1,0)+IFERROR(EE212*1,0)+IFERROR(ER212*1,0)+IFERROR(FE212*1,0)</f>
        <v>0</v>
      </c>
      <c r="FP212" s="27">
        <f t="shared" si="205"/>
        <v>0</v>
      </c>
      <c r="FQ212" s="27">
        <f t="shared" si="205"/>
        <v>0</v>
      </c>
      <c r="FR212" s="27">
        <f t="shared" si="205"/>
        <v>0</v>
      </c>
      <c r="FS212" s="27">
        <f t="shared" si="205"/>
        <v>0</v>
      </c>
      <c r="FT212" s="27">
        <f t="shared" si="205"/>
        <v>0</v>
      </c>
      <c r="FU212" s="27">
        <f t="shared" si="205"/>
        <v>0</v>
      </c>
      <c r="FV212" s="27">
        <f t="shared" si="205"/>
        <v>0</v>
      </c>
      <c r="FW212" s="28"/>
      <c r="FX212" s="29">
        <f t="shared" si="3"/>
        <v>0</v>
      </c>
    </row>
    <row r="213" spans="1:180" ht="18" customHeight="1" x14ac:dyDescent="0.25">
      <c r="A213" s="3" t="str">
        <f>IF(C213&lt;&gt;"","DRG-"&amp;TEXT(208,"000"),"")</f>
        <v/>
      </c>
      <c r="B213" s="33"/>
      <c r="C213" s="33"/>
      <c r="D213" s="33"/>
      <c r="E213" s="33"/>
      <c r="F213" s="33"/>
      <c r="G213" s="33"/>
      <c r="H213" s="33"/>
      <c r="I213" s="33"/>
      <c r="J213" s="33"/>
      <c r="K213" s="33"/>
      <c r="L213" s="37">
        <v>4</v>
      </c>
      <c r="M213" s="30" t="str">
        <f t="shared" si="0"/>
        <v>✘ Pending</v>
      </c>
      <c r="N213" s="30">
        <f t="shared" si="1"/>
        <v>0</v>
      </c>
      <c r="O213" s="31"/>
      <c r="P213" s="32"/>
      <c r="Q213" s="33"/>
      <c r="R213" s="33"/>
      <c r="S213" s="33"/>
      <c r="T213" s="33"/>
      <c r="U213" s="33"/>
      <c r="V213" s="33"/>
      <c r="W213" s="33"/>
      <c r="X213" s="33"/>
      <c r="Y213" s="33"/>
      <c r="Z213" s="33"/>
      <c r="AA213" s="33"/>
      <c r="AB213" s="31"/>
      <c r="AC213" s="32"/>
      <c r="AD213" s="33"/>
      <c r="AE213" s="33"/>
      <c r="AF213" s="33"/>
      <c r="AG213" s="33"/>
      <c r="AH213" s="33"/>
      <c r="AI213" s="33"/>
      <c r="AJ213" s="33"/>
      <c r="AK213" s="33"/>
      <c r="AL213" s="33"/>
      <c r="AM213" s="33"/>
      <c r="AN213" s="33"/>
      <c r="AO213" s="31"/>
      <c r="AP213" s="32"/>
      <c r="AQ213" s="33"/>
      <c r="AR213" s="33"/>
      <c r="AS213" s="33"/>
      <c r="AT213" s="33"/>
      <c r="AU213" s="33"/>
      <c r="AV213" s="33"/>
      <c r="AW213" s="33"/>
      <c r="AX213" s="33"/>
      <c r="AY213" s="33"/>
      <c r="AZ213" s="33"/>
      <c r="BA213" s="33"/>
      <c r="BB213" s="31"/>
      <c r="BC213" s="32"/>
      <c r="BD213" s="33"/>
      <c r="BE213" s="33"/>
      <c r="BF213" s="33"/>
      <c r="BG213" s="33"/>
      <c r="BH213" s="33"/>
      <c r="BI213" s="33"/>
      <c r="BJ213" s="33"/>
      <c r="BK213" s="33"/>
      <c r="BL213" s="33"/>
      <c r="BM213" s="33"/>
      <c r="BN213" s="33"/>
      <c r="BO213" s="31"/>
      <c r="BP213" s="32"/>
      <c r="BQ213" s="33"/>
      <c r="BR213" s="33"/>
      <c r="BS213" s="33"/>
      <c r="BT213" s="33"/>
      <c r="BU213" s="33"/>
      <c r="BV213" s="33"/>
      <c r="BW213" s="33"/>
      <c r="BX213" s="33"/>
      <c r="BY213" s="33"/>
      <c r="BZ213" s="33"/>
      <c r="CA213" s="33"/>
      <c r="CB213" s="31"/>
      <c r="CC213" s="32"/>
      <c r="CD213" s="33"/>
      <c r="CE213" s="33"/>
      <c r="CF213" s="33"/>
      <c r="CG213" s="33"/>
      <c r="CH213" s="33"/>
      <c r="CI213" s="33"/>
      <c r="CJ213" s="33"/>
      <c r="CK213" s="33"/>
      <c r="CL213" s="33"/>
      <c r="CM213" s="33"/>
      <c r="CN213" s="33"/>
      <c r="CO213" s="31"/>
      <c r="CP213" s="32"/>
      <c r="CQ213" s="33"/>
      <c r="CR213" s="33"/>
      <c r="CS213" s="33"/>
      <c r="CT213" s="33"/>
      <c r="CU213" s="33"/>
      <c r="CV213" s="33"/>
      <c r="CW213" s="33"/>
      <c r="CX213" s="33"/>
      <c r="CY213" s="33"/>
      <c r="CZ213" s="33"/>
      <c r="DA213" s="33"/>
      <c r="DB213" s="31"/>
      <c r="DC213" s="32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1"/>
      <c r="DP213" s="32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1"/>
      <c r="EC213" s="32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1"/>
      <c r="EP213" s="32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1"/>
      <c r="FC213" s="32"/>
      <c r="FD213" s="33"/>
      <c r="FE213" s="33"/>
      <c r="FF213" s="33"/>
      <c r="FG213" s="33"/>
      <c r="FH213" s="33"/>
      <c r="FI213" s="33"/>
      <c r="FJ213" s="33"/>
      <c r="FK213" s="33"/>
      <c r="FL213" s="33"/>
      <c r="FM213" s="33"/>
      <c r="FN213" s="33"/>
      <c r="FO213" s="34">
        <f t="shared" ref="FO213:FV213" si="206">IFERROR(R213*1,0)+IFERROR(AE213*1,0)+IFERROR(AR213*1,0)+IFERROR(BE213*1,0)+IFERROR(BR213*1,0)+IFERROR(CE213*1,0)+IFERROR(CR213*1,0)+IFERROR(DE213*1,0)+IFERROR(DR213*1,0)+IFERROR(EE213*1,0)+IFERROR(ER213*1,0)+IFERROR(FE213*1,0)</f>
        <v>0</v>
      </c>
      <c r="FP213" s="34">
        <f t="shared" si="206"/>
        <v>0</v>
      </c>
      <c r="FQ213" s="34">
        <f t="shared" si="206"/>
        <v>0</v>
      </c>
      <c r="FR213" s="34">
        <f t="shared" si="206"/>
        <v>0</v>
      </c>
      <c r="FS213" s="34">
        <f t="shared" si="206"/>
        <v>0</v>
      </c>
      <c r="FT213" s="34">
        <f t="shared" si="206"/>
        <v>0</v>
      </c>
      <c r="FU213" s="34">
        <f t="shared" si="206"/>
        <v>0</v>
      </c>
      <c r="FV213" s="34">
        <f t="shared" si="206"/>
        <v>0</v>
      </c>
      <c r="FW213" s="28"/>
      <c r="FX213" s="29">
        <f t="shared" si="3"/>
        <v>0</v>
      </c>
    </row>
    <row r="214" spans="1:180" ht="18" customHeight="1" x14ac:dyDescent="0.25">
      <c r="A214" s="3" t="str">
        <f>IF(C214&lt;&gt;"","DRG-"&amp;TEXT(209,"000"),"")</f>
        <v/>
      </c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38">
        <v>4</v>
      </c>
      <c r="M214" s="23" t="str">
        <f t="shared" si="0"/>
        <v>✘ Pending</v>
      </c>
      <c r="N214" s="23">
        <f t="shared" si="1"/>
        <v>0</v>
      </c>
      <c r="O214" s="25"/>
      <c r="P214" s="26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  <c r="AB214" s="25"/>
      <c r="AC214" s="26"/>
      <c r="AD214" s="24"/>
      <c r="AE214" s="24"/>
      <c r="AF214" s="24"/>
      <c r="AG214" s="24"/>
      <c r="AH214" s="24"/>
      <c r="AI214" s="24"/>
      <c r="AJ214" s="24"/>
      <c r="AK214" s="24"/>
      <c r="AL214" s="24"/>
      <c r="AM214" s="24"/>
      <c r="AN214" s="24"/>
      <c r="AO214" s="25"/>
      <c r="AP214" s="26"/>
      <c r="AQ214" s="24"/>
      <c r="AR214" s="24"/>
      <c r="AS214" s="24"/>
      <c r="AT214" s="24"/>
      <c r="AU214" s="24"/>
      <c r="AV214" s="24"/>
      <c r="AW214" s="24"/>
      <c r="AX214" s="24"/>
      <c r="AY214" s="24"/>
      <c r="AZ214" s="24"/>
      <c r="BA214" s="24"/>
      <c r="BB214" s="25"/>
      <c r="BC214" s="26"/>
      <c r="BD214" s="24"/>
      <c r="BE214" s="24"/>
      <c r="BF214" s="24"/>
      <c r="BG214" s="24"/>
      <c r="BH214" s="24"/>
      <c r="BI214" s="24"/>
      <c r="BJ214" s="24"/>
      <c r="BK214" s="24"/>
      <c r="BL214" s="24"/>
      <c r="BM214" s="24"/>
      <c r="BN214" s="24"/>
      <c r="BO214" s="25"/>
      <c r="BP214" s="26"/>
      <c r="BQ214" s="24"/>
      <c r="BR214" s="24"/>
      <c r="BS214" s="24"/>
      <c r="BT214" s="24"/>
      <c r="BU214" s="24"/>
      <c r="BV214" s="24"/>
      <c r="BW214" s="24"/>
      <c r="BX214" s="24"/>
      <c r="BY214" s="24"/>
      <c r="BZ214" s="24"/>
      <c r="CA214" s="24"/>
      <c r="CB214" s="25"/>
      <c r="CC214" s="26"/>
      <c r="CD214" s="24"/>
      <c r="CE214" s="24"/>
      <c r="CF214" s="24"/>
      <c r="CG214" s="24"/>
      <c r="CH214" s="24"/>
      <c r="CI214" s="24"/>
      <c r="CJ214" s="24"/>
      <c r="CK214" s="24"/>
      <c r="CL214" s="24"/>
      <c r="CM214" s="24"/>
      <c r="CN214" s="24"/>
      <c r="CO214" s="25"/>
      <c r="CP214" s="26"/>
      <c r="CQ214" s="24"/>
      <c r="CR214" s="24"/>
      <c r="CS214" s="24"/>
      <c r="CT214" s="24"/>
      <c r="CU214" s="24"/>
      <c r="CV214" s="24"/>
      <c r="CW214" s="24"/>
      <c r="CX214" s="24"/>
      <c r="CY214" s="24"/>
      <c r="CZ214" s="24"/>
      <c r="DA214" s="24"/>
      <c r="DB214" s="25"/>
      <c r="DC214" s="26"/>
      <c r="DD214" s="24"/>
      <c r="DE214" s="24"/>
      <c r="DF214" s="24"/>
      <c r="DG214" s="24"/>
      <c r="DH214" s="24"/>
      <c r="DI214" s="24"/>
      <c r="DJ214" s="24"/>
      <c r="DK214" s="24"/>
      <c r="DL214" s="24"/>
      <c r="DM214" s="24"/>
      <c r="DN214" s="24"/>
      <c r="DO214" s="25"/>
      <c r="DP214" s="26"/>
      <c r="DQ214" s="24"/>
      <c r="DR214" s="24"/>
      <c r="DS214" s="24"/>
      <c r="DT214" s="24"/>
      <c r="DU214" s="24"/>
      <c r="DV214" s="24"/>
      <c r="DW214" s="24"/>
      <c r="DX214" s="24"/>
      <c r="DY214" s="24"/>
      <c r="DZ214" s="24"/>
      <c r="EA214" s="24"/>
      <c r="EB214" s="25"/>
      <c r="EC214" s="26"/>
      <c r="ED214" s="24"/>
      <c r="EE214" s="24"/>
      <c r="EF214" s="24"/>
      <c r="EG214" s="24"/>
      <c r="EH214" s="24"/>
      <c r="EI214" s="24"/>
      <c r="EJ214" s="24"/>
      <c r="EK214" s="24"/>
      <c r="EL214" s="24"/>
      <c r="EM214" s="24"/>
      <c r="EN214" s="24"/>
      <c r="EO214" s="25"/>
      <c r="EP214" s="26"/>
      <c r="EQ214" s="24"/>
      <c r="ER214" s="24"/>
      <c r="ES214" s="24"/>
      <c r="ET214" s="24"/>
      <c r="EU214" s="24"/>
      <c r="EV214" s="24"/>
      <c r="EW214" s="24"/>
      <c r="EX214" s="24"/>
      <c r="EY214" s="24"/>
      <c r="EZ214" s="24"/>
      <c r="FA214" s="24"/>
      <c r="FB214" s="25"/>
      <c r="FC214" s="26"/>
      <c r="FD214" s="24"/>
      <c r="FE214" s="24"/>
      <c r="FF214" s="24"/>
      <c r="FG214" s="24"/>
      <c r="FH214" s="24"/>
      <c r="FI214" s="24"/>
      <c r="FJ214" s="24"/>
      <c r="FK214" s="24"/>
      <c r="FL214" s="24"/>
      <c r="FM214" s="24"/>
      <c r="FN214" s="24"/>
      <c r="FO214" s="27">
        <f t="shared" ref="FO214:FV214" si="207">IFERROR(R214*1,0)+IFERROR(AE214*1,0)+IFERROR(AR214*1,0)+IFERROR(BE214*1,0)+IFERROR(BR214*1,0)+IFERROR(CE214*1,0)+IFERROR(CR214*1,0)+IFERROR(DE214*1,0)+IFERROR(DR214*1,0)+IFERROR(EE214*1,0)+IFERROR(ER214*1,0)+IFERROR(FE214*1,0)</f>
        <v>0</v>
      </c>
      <c r="FP214" s="27">
        <f t="shared" si="207"/>
        <v>0</v>
      </c>
      <c r="FQ214" s="27">
        <f t="shared" si="207"/>
        <v>0</v>
      </c>
      <c r="FR214" s="27">
        <f t="shared" si="207"/>
        <v>0</v>
      </c>
      <c r="FS214" s="27">
        <f t="shared" si="207"/>
        <v>0</v>
      </c>
      <c r="FT214" s="27">
        <f t="shared" si="207"/>
        <v>0</v>
      </c>
      <c r="FU214" s="27">
        <f t="shared" si="207"/>
        <v>0</v>
      </c>
      <c r="FV214" s="27">
        <f t="shared" si="207"/>
        <v>0</v>
      </c>
      <c r="FW214" s="28"/>
      <c r="FX214" s="29">
        <f t="shared" si="3"/>
        <v>0</v>
      </c>
    </row>
    <row r="215" spans="1:180" ht="18" customHeight="1" x14ac:dyDescent="0.25">
      <c r="A215" s="3" t="str">
        <f>IF(C215&lt;&gt;"","DRG-"&amp;TEXT(210,"000"),"")</f>
        <v/>
      </c>
      <c r="B215" s="33"/>
      <c r="C215" s="33"/>
      <c r="D215" s="33"/>
      <c r="E215" s="33"/>
      <c r="F215" s="33"/>
      <c r="G215" s="33"/>
      <c r="H215" s="33"/>
      <c r="I215" s="33"/>
      <c r="J215" s="33"/>
      <c r="K215" s="33"/>
      <c r="L215" s="37">
        <v>4</v>
      </c>
      <c r="M215" s="30" t="str">
        <f t="shared" si="0"/>
        <v>✘ Pending</v>
      </c>
      <c r="N215" s="30">
        <f t="shared" si="1"/>
        <v>0</v>
      </c>
      <c r="O215" s="31"/>
      <c r="P215" s="32"/>
      <c r="Q215" s="33"/>
      <c r="R215" s="33"/>
      <c r="S215" s="33"/>
      <c r="T215" s="33"/>
      <c r="U215" s="33"/>
      <c r="V215" s="33"/>
      <c r="W215" s="33"/>
      <c r="X215" s="33"/>
      <c r="Y215" s="33"/>
      <c r="Z215" s="33"/>
      <c r="AA215" s="33"/>
      <c r="AB215" s="31"/>
      <c r="AC215" s="32"/>
      <c r="AD215" s="33"/>
      <c r="AE215" s="33"/>
      <c r="AF215" s="33"/>
      <c r="AG215" s="33"/>
      <c r="AH215" s="33"/>
      <c r="AI215" s="33"/>
      <c r="AJ215" s="33"/>
      <c r="AK215" s="33"/>
      <c r="AL215" s="33"/>
      <c r="AM215" s="33"/>
      <c r="AN215" s="33"/>
      <c r="AO215" s="31"/>
      <c r="AP215" s="32"/>
      <c r="AQ215" s="33"/>
      <c r="AR215" s="33"/>
      <c r="AS215" s="33"/>
      <c r="AT215" s="33"/>
      <c r="AU215" s="33"/>
      <c r="AV215" s="33"/>
      <c r="AW215" s="33"/>
      <c r="AX215" s="33"/>
      <c r="AY215" s="33"/>
      <c r="AZ215" s="33"/>
      <c r="BA215" s="33"/>
      <c r="BB215" s="31"/>
      <c r="BC215" s="32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1"/>
      <c r="BP215" s="32"/>
      <c r="BQ215" s="33"/>
      <c r="BR215" s="33"/>
      <c r="BS215" s="33"/>
      <c r="BT215" s="33"/>
      <c r="BU215" s="33"/>
      <c r="BV215" s="33"/>
      <c r="BW215" s="33"/>
      <c r="BX215" s="33"/>
      <c r="BY215" s="33"/>
      <c r="BZ215" s="33"/>
      <c r="CA215" s="33"/>
      <c r="CB215" s="31"/>
      <c r="CC215" s="32"/>
      <c r="CD215" s="33"/>
      <c r="CE215" s="33"/>
      <c r="CF215" s="33"/>
      <c r="CG215" s="33"/>
      <c r="CH215" s="33"/>
      <c r="CI215" s="33"/>
      <c r="CJ215" s="33"/>
      <c r="CK215" s="33"/>
      <c r="CL215" s="33"/>
      <c r="CM215" s="33"/>
      <c r="CN215" s="33"/>
      <c r="CO215" s="31"/>
      <c r="CP215" s="32"/>
      <c r="CQ215" s="33"/>
      <c r="CR215" s="33"/>
      <c r="CS215" s="33"/>
      <c r="CT215" s="33"/>
      <c r="CU215" s="33"/>
      <c r="CV215" s="33"/>
      <c r="CW215" s="33"/>
      <c r="CX215" s="33"/>
      <c r="CY215" s="33"/>
      <c r="CZ215" s="33"/>
      <c r="DA215" s="33"/>
      <c r="DB215" s="31"/>
      <c r="DC215" s="32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1"/>
      <c r="DP215" s="32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1"/>
      <c r="EC215" s="32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1"/>
      <c r="EP215" s="32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1"/>
      <c r="FC215" s="32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4">
        <f t="shared" ref="FO215:FV215" si="208">IFERROR(R215*1,0)+IFERROR(AE215*1,0)+IFERROR(AR215*1,0)+IFERROR(BE215*1,0)+IFERROR(BR215*1,0)+IFERROR(CE215*1,0)+IFERROR(CR215*1,0)+IFERROR(DE215*1,0)+IFERROR(DR215*1,0)+IFERROR(EE215*1,0)+IFERROR(ER215*1,0)+IFERROR(FE215*1,0)</f>
        <v>0</v>
      </c>
      <c r="FP215" s="34">
        <f t="shared" si="208"/>
        <v>0</v>
      </c>
      <c r="FQ215" s="34">
        <f t="shared" si="208"/>
        <v>0</v>
      </c>
      <c r="FR215" s="34">
        <f t="shared" si="208"/>
        <v>0</v>
      </c>
      <c r="FS215" s="34">
        <f t="shared" si="208"/>
        <v>0</v>
      </c>
      <c r="FT215" s="34">
        <f t="shared" si="208"/>
        <v>0</v>
      </c>
      <c r="FU215" s="34">
        <f t="shared" si="208"/>
        <v>0</v>
      </c>
      <c r="FV215" s="34">
        <f t="shared" si="208"/>
        <v>0</v>
      </c>
      <c r="FW215" s="28"/>
      <c r="FX215" s="29">
        <f t="shared" si="3"/>
        <v>0</v>
      </c>
    </row>
    <row r="216" spans="1:180" ht="18" customHeight="1" x14ac:dyDescent="0.25">
      <c r="A216" s="3" t="str">
        <f>IF(C216&lt;&gt;"","DRG-"&amp;TEXT(211,"000"),"")</f>
        <v/>
      </c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38">
        <v>4</v>
      </c>
      <c r="M216" s="23" t="str">
        <f t="shared" si="0"/>
        <v>✘ Pending</v>
      </c>
      <c r="N216" s="23">
        <f t="shared" si="1"/>
        <v>0</v>
      </c>
      <c r="O216" s="25"/>
      <c r="P216" s="26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  <c r="AB216" s="25"/>
      <c r="AC216" s="26"/>
      <c r="AD216" s="24"/>
      <c r="AE216" s="24"/>
      <c r="AF216" s="24"/>
      <c r="AG216" s="24"/>
      <c r="AH216" s="24"/>
      <c r="AI216" s="24"/>
      <c r="AJ216" s="24"/>
      <c r="AK216" s="24"/>
      <c r="AL216" s="24"/>
      <c r="AM216" s="24"/>
      <c r="AN216" s="24"/>
      <c r="AO216" s="25"/>
      <c r="AP216" s="26"/>
      <c r="AQ216" s="24"/>
      <c r="AR216" s="24"/>
      <c r="AS216" s="24"/>
      <c r="AT216" s="24"/>
      <c r="AU216" s="24"/>
      <c r="AV216" s="24"/>
      <c r="AW216" s="24"/>
      <c r="AX216" s="24"/>
      <c r="AY216" s="24"/>
      <c r="AZ216" s="24"/>
      <c r="BA216" s="24"/>
      <c r="BB216" s="25"/>
      <c r="BC216" s="26"/>
      <c r="BD216" s="24"/>
      <c r="BE216" s="24"/>
      <c r="BF216" s="24"/>
      <c r="BG216" s="24"/>
      <c r="BH216" s="24"/>
      <c r="BI216" s="24"/>
      <c r="BJ216" s="24"/>
      <c r="BK216" s="24"/>
      <c r="BL216" s="24"/>
      <c r="BM216" s="24"/>
      <c r="BN216" s="24"/>
      <c r="BO216" s="25"/>
      <c r="BP216" s="26"/>
      <c r="BQ216" s="24"/>
      <c r="BR216" s="24"/>
      <c r="BS216" s="24"/>
      <c r="BT216" s="24"/>
      <c r="BU216" s="24"/>
      <c r="BV216" s="24"/>
      <c r="BW216" s="24"/>
      <c r="BX216" s="24"/>
      <c r="BY216" s="24"/>
      <c r="BZ216" s="24"/>
      <c r="CA216" s="24"/>
      <c r="CB216" s="25"/>
      <c r="CC216" s="26"/>
      <c r="CD216" s="24"/>
      <c r="CE216" s="24"/>
      <c r="CF216" s="24"/>
      <c r="CG216" s="24"/>
      <c r="CH216" s="24"/>
      <c r="CI216" s="24"/>
      <c r="CJ216" s="24"/>
      <c r="CK216" s="24"/>
      <c r="CL216" s="24"/>
      <c r="CM216" s="24"/>
      <c r="CN216" s="24"/>
      <c r="CO216" s="25"/>
      <c r="CP216" s="26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5"/>
      <c r="DC216" s="26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5"/>
      <c r="DP216" s="26"/>
      <c r="DQ216" s="24"/>
      <c r="DR216" s="24"/>
      <c r="DS216" s="24"/>
      <c r="DT216" s="24"/>
      <c r="DU216" s="24"/>
      <c r="DV216" s="24"/>
      <c r="DW216" s="24"/>
      <c r="DX216" s="24"/>
      <c r="DY216" s="24"/>
      <c r="DZ216" s="24"/>
      <c r="EA216" s="24"/>
      <c r="EB216" s="25"/>
      <c r="EC216" s="26"/>
      <c r="ED216" s="24"/>
      <c r="EE216" s="24"/>
      <c r="EF216" s="24"/>
      <c r="EG216" s="24"/>
      <c r="EH216" s="24"/>
      <c r="EI216" s="24"/>
      <c r="EJ216" s="24"/>
      <c r="EK216" s="24"/>
      <c r="EL216" s="24"/>
      <c r="EM216" s="24"/>
      <c r="EN216" s="24"/>
      <c r="EO216" s="25"/>
      <c r="EP216" s="26"/>
      <c r="EQ216" s="24"/>
      <c r="ER216" s="24"/>
      <c r="ES216" s="24"/>
      <c r="ET216" s="24"/>
      <c r="EU216" s="24"/>
      <c r="EV216" s="24"/>
      <c r="EW216" s="24"/>
      <c r="EX216" s="24"/>
      <c r="EY216" s="24"/>
      <c r="EZ216" s="24"/>
      <c r="FA216" s="24"/>
      <c r="FB216" s="25"/>
      <c r="FC216" s="26"/>
      <c r="FD216" s="24"/>
      <c r="FE216" s="24"/>
      <c r="FF216" s="24"/>
      <c r="FG216" s="24"/>
      <c r="FH216" s="24"/>
      <c r="FI216" s="24"/>
      <c r="FJ216" s="24"/>
      <c r="FK216" s="24"/>
      <c r="FL216" s="24"/>
      <c r="FM216" s="24"/>
      <c r="FN216" s="24"/>
      <c r="FO216" s="27">
        <f t="shared" ref="FO216:FV216" si="209">IFERROR(R216*1,0)+IFERROR(AE216*1,0)+IFERROR(AR216*1,0)+IFERROR(BE216*1,0)+IFERROR(BR216*1,0)+IFERROR(CE216*1,0)+IFERROR(CR216*1,0)+IFERROR(DE216*1,0)+IFERROR(DR216*1,0)+IFERROR(EE216*1,0)+IFERROR(ER216*1,0)+IFERROR(FE216*1,0)</f>
        <v>0</v>
      </c>
      <c r="FP216" s="27">
        <f t="shared" si="209"/>
        <v>0</v>
      </c>
      <c r="FQ216" s="27">
        <f t="shared" si="209"/>
        <v>0</v>
      </c>
      <c r="FR216" s="27">
        <f t="shared" si="209"/>
        <v>0</v>
      </c>
      <c r="FS216" s="27">
        <f t="shared" si="209"/>
        <v>0</v>
      </c>
      <c r="FT216" s="27">
        <f t="shared" si="209"/>
        <v>0</v>
      </c>
      <c r="FU216" s="27">
        <f t="shared" si="209"/>
        <v>0</v>
      </c>
      <c r="FV216" s="27">
        <f t="shared" si="209"/>
        <v>0</v>
      </c>
      <c r="FW216" s="28"/>
      <c r="FX216" s="29">
        <f t="shared" si="3"/>
        <v>0</v>
      </c>
    </row>
    <row r="217" spans="1:180" ht="18" customHeight="1" x14ac:dyDescent="0.25">
      <c r="A217" s="3" t="str">
        <f>IF(C217&lt;&gt;"","DRG-"&amp;TEXT(212,"000"),"")</f>
        <v/>
      </c>
      <c r="B217" s="33"/>
      <c r="C217" s="33"/>
      <c r="D217" s="33"/>
      <c r="E217" s="33"/>
      <c r="F217" s="33"/>
      <c r="G217" s="33"/>
      <c r="H217" s="33"/>
      <c r="I217" s="33"/>
      <c r="J217" s="33"/>
      <c r="K217" s="33"/>
      <c r="L217" s="37">
        <v>4</v>
      </c>
      <c r="M217" s="30" t="str">
        <f t="shared" si="0"/>
        <v>✘ Pending</v>
      </c>
      <c r="N217" s="30">
        <f t="shared" si="1"/>
        <v>0</v>
      </c>
      <c r="O217" s="31"/>
      <c r="P217" s="32"/>
      <c r="Q217" s="33"/>
      <c r="R217" s="33"/>
      <c r="S217" s="33"/>
      <c r="T217" s="33"/>
      <c r="U217" s="33"/>
      <c r="V217" s="33"/>
      <c r="W217" s="33"/>
      <c r="X217" s="33"/>
      <c r="Y217" s="33"/>
      <c r="Z217" s="33"/>
      <c r="AA217" s="33"/>
      <c r="AB217" s="31"/>
      <c r="AC217" s="32"/>
      <c r="AD217" s="33"/>
      <c r="AE217" s="33"/>
      <c r="AF217" s="33"/>
      <c r="AG217" s="33"/>
      <c r="AH217" s="33"/>
      <c r="AI217" s="33"/>
      <c r="AJ217" s="33"/>
      <c r="AK217" s="33"/>
      <c r="AL217" s="33"/>
      <c r="AM217" s="33"/>
      <c r="AN217" s="33"/>
      <c r="AO217" s="31"/>
      <c r="AP217" s="32"/>
      <c r="AQ217" s="33"/>
      <c r="AR217" s="33"/>
      <c r="AS217" s="33"/>
      <c r="AT217" s="33"/>
      <c r="AU217" s="33"/>
      <c r="AV217" s="33"/>
      <c r="AW217" s="33"/>
      <c r="AX217" s="33"/>
      <c r="AY217" s="33"/>
      <c r="AZ217" s="33"/>
      <c r="BA217" s="33"/>
      <c r="BB217" s="31"/>
      <c r="BC217" s="32"/>
      <c r="BD217" s="33"/>
      <c r="BE217" s="33"/>
      <c r="BF217" s="33"/>
      <c r="BG217" s="33"/>
      <c r="BH217" s="33"/>
      <c r="BI217" s="33"/>
      <c r="BJ217" s="33"/>
      <c r="BK217" s="33"/>
      <c r="BL217" s="33"/>
      <c r="BM217" s="33"/>
      <c r="BN217" s="33"/>
      <c r="BO217" s="31"/>
      <c r="BP217" s="32"/>
      <c r="BQ217" s="33"/>
      <c r="BR217" s="33"/>
      <c r="BS217" s="33"/>
      <c r="BT217" s="33"/>
      <c r="BU217" s="33"/>
      <c r="BV217" s="33"/>
      <c r="BW217" s="33"/>
      <c r="BX217" s="33"/>
      <c r="BY217" s="33"/>
      <c r="BZ217" s="33"/>
      <c r="CA217" s="33"/>
      <c r="CB217" s="31"/>
      <c r="CC217" s="32"/>
      <c r="CD217" s="33"/>
      <c r="CE217" s="33"/>
      <c r="CF217" s="33"/>
      <c r="CG217" s="33"/>
      <c r="CH217" s="33"/>
      <c r="CI217" s="33"/>
      <c r="CJ217" s="33"/>
      <c r="CK217" s="33"/>
      <c r="CL217" s="33"/>
      <c r="CM217" s="33"/>
      <c r="CN217" s="33"/>
      <c r="CO217" s="31"/>
      <c r="CP217" s="32"/>
      <c r="CQ217" s="33"/>
      <c r="CR217" s="33"/>
      <c r="CS217" s="33"/>
      <c r="CT217" s="33"/>
      <c r="CU217" s="33"/>
      <c r="CV217" s="33"/>
      <c r="CW217" s="33"/>
      <c r="CX217" s="33"/>
      <c r="CY217" s="33"/>
      <c r="CZ217" s="33"/>
      <c r="DA217" s="33"/>
      <c r="DB217" s="31"/>
      <c r="DC217" s="32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1"/>
      <c r="DP217" s="32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1"/>
      <c r="EC217" s="32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1"/>
      <c r="EP217" s="32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1"/>
      <c r="FC217" s="32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4">
        <f t="shared" ref="FO217:FV217" si="210">IFERROR(R217*1,0)+IFERROR(AE217*1,0)+IFERROR(AR217*1,0)+IFERROR(BE217*1,0)+IFERROR(BR217*1,0)+IFERROR(CE217*1,0)+IFERROR(CR217*1,0)+IFERROR(DE217*1,0)+IFERROR(DR217*1,0)+IFERROR(EE217*1,0)+IFERROR(ER217*1,0)+IFERROR(FE217*1,0)</f>
        <v>0</v>
      </c>
      <c r="FP217" s="34">
        <f t="shared" si="210"/>
        <v>0</v>
      </c>
      <c r="FQ217" s="34">
        <f t="shared" si="210"/>
        <v>0</v>
      </c>
      <c r="FR217" s="34">
        <f t="shared" si="210"/>
        <v>0</v>
      </c>
      <c r="FS217" s="34">
        <f t="shared" si="210"/>
        <v>0</v>
      </c>
      <c r="FT217" s="34">
        <f t="shared" si="210"/>
        <v>0</v>
      </c>
      <c r="FU217" s="34">
        <f t="shared" si="210"/>
        <v>0</v>
      </c>
      <c r="FV217" s="34">
        <f t="shared" si="210"/>
        <v>0</v>
      </c>
      <c r="FW217" s="28"/>
      <c r="FX217" s="29">
        <f t="shared" si="3"/>
        <v>0</v>
      </c>
    </row>
    <row r="218" spans="1:180" ht="18" customHeight="1" x14ac:dyDescent="0.25">
      <c r="A218" s="3" t="str">
        <f>IF(C218&lt;&gt;"","DRG-"&amp;TEXT(213,"000"),"")</f>
        <v/>
      </c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38">
        <v>4</v>
      </c>
      <c r="M218" s="23" t="str">
        <f t="shared" si="0"/>
        <v>✘ Pending</v>
      </c>
      <c r="N218" s="23">
        <f t="shared" si="1"/>
        <v>0</v>
      </c>
      <c r="O218" s="25"/>
      <c r="P218" s="26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5"/>
      <c r="AC218" s="26"/>
      <c r="AD218" s="24"/>
      <c r="AE218" s="24"/>
      <c r="AF218" s="24"/>
      <c r="AG218" s="24"/>
      <c r="AH218" s="24"/>
      <c r="AI218" s="24"/>
      <c r="AJ218" s="24"/>
      <c r="AK218" s="24"/>
      <c r="AL218" s="24"/>
      <c r="AM218" s="24"/>
      <c r="AN218" s="24"/>
      <c r="AO218" s="25"/>
      <c r="AP218" s="26"/>
      <c r="AQ218" s="24"/>
      <c r="AR218" s="24"/>
      <c r="AS218" s="24"/>
      <c r="AT218" s="24"/>
      <c r="AU218" s="24"/>
      <c r="AV218" s="24"/>
      <c r="AW218" s="24"/>
      <c r="AX218" s="24"/>
      <c r="AY218" s="24"/>
      <c r="AZ218" s="24"/>
      <c r="BA218" s="24"/>
      <c r="BB218" s="25"/>
      <c r="BC218" s="26"/>
      <c r="BD218" s="24"/>
      <c r="BE218" s="24"/>
      <c r="BF218" s="24"/>
      <c r="BG218" s="24"/>
      <c r="BH218" s="24"/>
      <c r="BI218" s="24"/>
      <c r="BJ218" s="24"/>
      <c r="BK218" s="24"/>
      <c r="BL218" s="24"/>
      <c r="BM218" s="24"/>
      <c r="BN218" s="24"/>
      <c r="BO218" s="25"/>
      <c r="BP218" s="26"/>
      <c r="BQ218" s="24"/>
      <c r="BR218" s="24"/>
      <c r="BS218" s="24"/>
      <c r="BT218" s="24"/>
      <c r="BU218" s="24"/>
      <c r="BV218" s="24"/>
      <c r="BW218" s="24"/>
      <c r="BX218" s="24"/>
      <c r="BY218" s="24"/>
      <c r="BZ218" s="24"/>
      <c r="CA218" s="24"/>
      <c r="CB218" s="25"/>
      <c r="CC218" s="26"/>
      <c r="CD218" s="24"/>
      <c r="CE218" s="24"/>
      <c r="CF218" s="24"/>
      <c r="CG218" s="24"/>
      <c r="CH218" s="24"/>
      <c r="CI218" s="24"/>
      <c r="CJ218" s="24"/>
      <c r="CK218" s="24"/>
      <c r="CL218" s="24"/>
      <c r="CM218" s="24"/>
      <c r="CN218" s="24"/>
      <c r="CO218" s="25"/>
      <c r="CP218" s="26"/>
      <c r="CQ218" s="24"/>
      <c r="CR218" s="24"/>
      <c r="CS218" s="24"/>
      <c r="CT218" s="24"/>
      <c r="CU218" s="24"/>
      <c r="CV218" s="24"/>
      <c r="CW218" s="24"/>
      <c r="CX218" s="24"/>
      <c r="CY218" s="24"/>
      <c r="CZ218" s="24"/>
      <c r="DA218" s="24"/>
      <c r="DB218" s="25"/>
      <c r="DC218" s="26"/>
      <c r="DD218" s="24"/>
      <c r="DE218" s="24"/>
      <c r="DF218" s="24"/>
      <c r="DG218" s="24"/>
      <c r="DH218" s="24"/>
      <c r="DI218" s="24"/>
      <c r="DJ218" s="24"/>
      <c r="DK218" s="24"/>
      <c r="DL218" s="24"/>
      <c r="DM218" s="24"/>
      <c r="DN218" s="24"/>
      <c r="DO218" s="25"/>
      <c r="DP218" s="26"/>
      <c r="DQ218" s="24"/>
      <c r="DR218" s="24"/>
      <c r="DS218" s="24"/>
      <c r="DT218" s="24"/>
      <c r="DU218" s="24"/>
      <c r="DV218" s="24"/>
      <c r="DW218" s="24"/>
      <c r="DX218" s="24"/>
      <c r="DY218" s="24"/>
      <c r="DZ218" s="24"/>
      <c r="EA218" s="24"/>
      <c r="EB218" s="25"/>
      <c r="EC218" s="26"/>
      <c r="ED218" s="24"/>
      <c r="EE218" s="24"/>
      <c r="EF218" s="24"/>
      <c r="EG218" s="24"/>
      <c r="EH218" s="24"/>
      <c r="EI218" s="24"/>
      <c r="EJ218" s="24"/>
      <c r="EK218" s="24"/>
      <c r="EL218" s="24"/>
      <c r="EM218" s="24"/>
      <c r="EN218" s="24"/>
      <c r="EO218" s="25"/>
      <c r="EP218" s="26"/>
      <c r="EQ218" s="24"/>
      <c r="ER218" s="24"/>
      <c r="ES218" s="24"/>
      <c r="ET218" s="24"/>
      <c r="EU218" s="24"/>
      <c r="EV218" s="24"/>
      <c r="EW218" s="24"/>
      <c r="EX218" s="24"/>
      <c r="EY218" s="24"/>
      <c r="EZ218" s="24"/>
      <c r="FA218" s="24"/>
      <c r="FB218" s="25"/>
      <c r="FC218" s="26"/>
      <c r="FD218" s="24"/>
      <c r="FE218" s="24"/>
      <c r="FF218" s="24"/>
      <c r="FG218" s="24"/>
      <c r="FH218" s="24"/>
      <c r="FI218" s="24"/>
      <c r="FJ218" s="24"/>
      <c r="FK218" s="24"/>
      <c r="FL218" s="24"/>
      <c r="FM218" s="24"/>
      <c r="FN218" s="24"/>
      <c r="FO218" s="27">
        <f t="shared" ref="FO218:FV218" si="211">IFERROR(R218*1,0)+IFERROR(AE218*1,0)+IFERROR(AR218*1,0)+IFERROR(BE218*1,0)+IFERROR(BR218*1,0)+IFERROR(CE218*1,0)+IFERROR(CR218*1,0)+IFERROR(DE218*1,0)+IFERROR(DR218*1,0)+IFERROR(EE218*1,0)+IFERROR(ER218*1,0)+IFERROR(FE218*1,0)</f>
        <v>0</v>
      </c>
      <c r="FP218" s="27">
        <f t="shared" si="211"/>
        <v>0</v>
      </c>
      <c r="FQ218" s="27">
        <f t="shared" si="211"/>
        <v>0</v>
      </c>
      <c r="FR218" s="27">
        <f t="shared" si="211"/>
        <v>0</v>
      </c>
      <c r="FS218" s="27">
        <f t="shared" si="211"/>
        <v>0</v>
      </c>
      <c r="FT218" s="27">
        <f t="shared" si="211"/>
        <v>0</v>
      </c>
      <c r="FU218" s="27">
        <f t="shared" si="211"/>
        <v>0</v>
      </c>
      <c r="FV218" s="27">
        <f t="shared" si="211"/>
        <v>0</v>
      </c>
      <c r="FW218" s="28"/>
      <c r="FX218" s="29">
        <f t="shared" si="3"/>
        <v>0</v>
      </c>
    </row>
    <row r="219" spans="1:180" ht="18" customHeight="1" x14ac:dyDescent="0.25">
      <c r="A219" s="3" t="str">
        <f>IF(C219&lt;&gt;"","DRG-"&amp;TEXT(214,"000"),"")</f>
        <v/>
      </c>
      <c r="B219" s="33"/>
      <c r="C219" s="33"/>
      <c r="D219" s="33"/>
      <c r="E219" s="33"/>
      <c r="F219" s="33"/>
      <c r="G219" s="33"/>
      <c r="H219" s="33"/>
      <c r="I219" s="33"/>
      <c r="J219" s="33"/>
      <c r="K219" s="33"/>
      <c r="L219" s="37">
        <v>4</v>
      </c>
      <c r="M219" s="30" t="str">
        <f t="shared" si="0"/>
        <v>✘ Pending</v>
      </c>
      <c r="N219" s="30">
        <f t="shared" si="1"/>
        <v>0</v>
      </c>
      <c r="O219" s="31"/>
      <c r="P219" s="32"/>
      <c r="Q219" s="33"/>
      <c r="R219" s="33"/>
      <c r="S219" s="33"/>
      <c r="T219" s="33"/>
      <c r="U219" s="33"/>
      <c r="V219" s="33"/>
      <c r="W219" s="33"/>
      <c r="X219" s="33"/>
      <c r="Y219" s="33"/>
      <c r="Z219" s="33"/>
      <c r="AA219" s="33"/>
      <c r="AB219" s="31"/>
      <c r="AC219" s="32"/>
      <c r="AD219" s="33"/>
      <c r="AE219" s="33"/>
      <c r="AF219" s="33"/>
      <c r="AG219" s="33"/>
      <c r="AH219" s="33"/>
      <c r="AI219" s="33"/>
      <c r="AJ219" s="33"/>
      <c r="AK219" s="33"/>
      <c r="AL219" s="33"/>
      <c r="AM219" s="33"/>
      <c r="AN219" s="33"/>
      <c r="AO219" s="31"/>
      <c r="AP219" s="32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1"/>
      <c r="BC219" s="32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1"/>
      <c r="BP219" s="32"/>
      <c r="BQ219" s="33"/>
      <c r="BR219" s="33"/>
      <c r="BS219" s="33"/>
      <c r="BT219" s="33"/>
      <c r="BU219" s="33"/>
      <c r="BV219" s="33"/>
      <c r="BW219" s="33"/>
      <c r="BX219" s="33"/>
      <c r="BY219" s="33"/>
      <c r="BZ219" s="33"/>
      <c r="CA219" s="33"/>
      <c r="CB219" s="31"/>
      <c r="CC219" s="32"/>
      <c r="CD219" s="33"/>
      <c r="CE219" s="33"/>
      <c r="CF219" s="33"/>
      <c r="CG219" s="33"/>
      <c r="CH219" s="33"/>
      <c r="CI219" s="33"/>
      <c r="CJ219" s="33"/>
      <c r="CK219" s="33"/>
      <c r="CL219" s="33"/>
      <c r="CM219" s="33"/>
      <c r="CN219" s="33"/>
      <c r="CO219" s="31"/>
      <c r="CP219" s="32"/>
      <c r="CQ219" s="33"/>
      <c r="CR219" s="33"/>
      <c r="CS219" s="33"/>
      <c r="CT219" s="33"/>
      <c r="CU219" s="33"/>
      <c r="CV219" s="33"/>
      <c r="CW219" s="33"/>
      <c r="CX219" s="33"/>
      <c r="CY219" s="33"/>
      <c r="CZ219" s="33"/>
      <c r="DA219" s="33"/>
      <c r="DB219" s="31"/>
      <c r="DC219" s="32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1"/>
      <c r="DP219" s="32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1"/>
      <c r="EC219" s="32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1"/>
      <c r="EP219" s="32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1"/>
      <c r="FC219" s="32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4">
        <f t="shared" ref="FO219:FV219" si="212">IFERROR(R219*1,0)+IFERROR(AE219*1,0)+IFERROR(AR219*1,0)+IFERROR(BE219*1,0)+IFERROR(BR219*1,0)+IFERROR(CE219*1,0)+IFERROR(CR219*1,0)+IFERROR(DE219*1,0)+IFERROR(DR219*1,0)+IFERROR(EE219*1,0)+IFERROR(ER219*1,0)+IFERROR(FE219*1,0)</f>
        <v>0</v>
      </c>
      <c r="FP219" s="34">
        <f t="shared" si="212"/>
        <v>0</v>
      </c>
      <c r="FQ219" s="34">
        <f t="shared" si="212"/>
        <v>0</v>
      </c>
      <c r="FR219" s="34">
        <f t="shared" si="212"/>
        <v>0</v>
      </c>
      <c r="FS219" s="34">
        <f t="shared" si="212"/>
        <v>0</v>
      </c>
      <c r="FT219" s="34">
        <f t="shared" si="212"/>
        <v>0</v>
      </c>
      <c r="FU219" s="34">
        <f t="shared" si="212"/>
        <v>0</v>
      </c>
      <c r="FV219" s="34">
        <f t="shared" si="212"/>
        <v>0</v>
      </c>
      <c r="FW219" s="28"/>
      <c r="FX219" s="29">
        <f t="shared" si="3"/>
        <v>0</v>
      </c>
    </row>
    <row r="220" spans="1:180" ht="18" customHeight="1" x14ac:dyDescent="0.25">
      <c r="A220" s="3" t="str">
        <f>IF(C220&lt;&gt;"","DRG-"&amp;TEXT(215,"000"),"")</f>
        <v/>
      </c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38">
        <v>4</v>
      </c>
      <c r="M220" s="23" t="str">
        <f t="shared" si="0"/>
        <v>✘ Pending</v>
      </c>
      <c r="N220" s="23">
        <f t="shared" si="1"/>
        <v>0</v>
      </c>
      <c r="O220" s="25"/>
      <c r="P220" s="26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  <c r="AB220" s="25"/>
      <c r="AC220" s="26"/>
      <c r="AD220" s="24"/>
      <c r="AE220" s="24"/>
      <c r="AF220" s="24"/>
      <c r="AG220" s="24"/>
      <c r="AH220" s="24"/>
      <c r="AI220" s="24"/>
      <c r="AJ220" s="24"/>
      <c r="AK220" s="24"/>
      <c r="AL220" s="24"/>
      <c r="AM220" s="24"/>
      <c r="AN220" s="24"/>
      <c r="AO220" s="25"/>
      <c r="AP220" s="26"/>
      <c r="AQ220" s="24"/>
      <c r="AR220" s="24"/>
      <c r="AS220" s="24"/>
      <c r="AT220" s="24"/>
      <c r="AU220" s="24"/>
      <c r="AV220" s="24"/>
      <c r="AW220" s="24"/>
      <c r="AX220" s="24"/>
      <c r="AY220" s="24"/>
      <c r="AZ220" s="24"/>
      <c r="BA220" s="24"/>
      <c r="BB220" s="25"/>
      <c r="BC220" s="26"/>
      <c r="BD220" s="24"/>
      <c r="BE220" s="24"/>
      <c r="BF220" s="24"/>
      <c r="BG220" s="24"/>
      <c r="BH220" s="24"/>
      <c r="BI220" s="24"/>
      <c r="BJ220" s="24"/>
      <c r="BK220" s="24"/>
      <c r="BL220" s="24"/>
      <c r="BM220" s="24"/>
      <c r="BN220" s="24"/>
      <c r="BO220" s="25"/>
      <c r="BP220" s="26"/>
      <c r="BQ220" s="24"/>
      <c r="BR220" s="24"/>
      <c r="BS220" s="24"/>
      <c r="BT220" s="24"/>
      <c r="BU220" s="24"/>
      <c r="BV220" s="24"/>
      <c r="BW220" s="24"/>
      <c r="BX220" s="24"/>
      <c r="BY220" s="24"/>
      <c r="BZ220" s="24"/>
      <c r="CA220" s="24"/>
      <c r="CB220" s="25"/>
      <c r="CC220" s="26"/>
      <c r="CD220" s="24"/>
      <c r="CE220" s="24"/>
      <c r="CF220" s="24"/>
      <c r="CG220" s="24"/>
      <c r="CH220" s="24"/>
      <c r="CI220" s="24"/>
      <c r="CJ220" s="24"/>
      <c r="CK220" s="24"/>
      <c r="CL220" s="24"/>
      <c r="CM220" s="24"/>
      <c r="CN220" s="24"/>
      <c r="CO220" s="25"/>
      <c r="CP220" s="26"/>
      <c r="CQ220" s="24"/>
      <c r="CR220" s="24"/>
      <c r="CS220" s="24"/>
      <c r="CT220" s="24"/>
      <c r="CU220" s="24"/>
      <c r="CV220" s="24"/>
      <c r="CW220" s="24"/>
      <c r="CX220" s="24"/>
      <c r="CY220" s="24"/>
      <c r="CZ220" s="24"/>
      <c r="DA220" s="24"/>
      <c r="DB220" s="25"/>
      <c r="DC220" s="26"/>
      <c r="DD220" s="24"/>
      <c r="DE220" s="24"/>
      <c r="DF220" s="24"/>
      <c r="DG220" s="24"/>
      <c r="DH220" s="24"/>
      <c r="DI220" s="24"/>
      <c r="DJ220" s="24"/>
      <c r="DK220" s="24"/>
      <c r="DL220" s="24"/>
      <c r="DM220" s="24"/>
      <c r="DN220" s="24"/>
      <c r="DO220" s="25"/>
      <c r="DP220" s="26"/>
      <c r="DQ220" s="24"/>
      <c r="DR220" s="24"/>
      <c r="DS220" s="24"/>
      <c r="DT220" s="24"/>
      <c r="DU220" s="24"/>
      <c r="DV220" s="24"/>
      <c r="DW220" s="24"/>
      <c r="DX220" s="24"/>
      <c r="DY220" s="24"/>
      <c r="DZ220" s="24"/>
      <c r="EA220" s="24"/>
      <c r="EB220" s="25"/>
      <c r="EC220" s="26"/>
      <c r="ED220" s="24"/>
      <c r="EE220" s="24"/>
      <c r="EF220" s="24"/>
      <c r="EG220" s="24"/>
      <c r="EH220" s="24"/>
      <c r="EI220" s="24"/>
      <c r="EJ220" s="24"/>
      <c r="EK220" s="24"/>
      <c r="EL220" s="24"/>
      <c r="EM220" s="24"/>
      <c r="EN220" s="24"/>
      <c r="EO220" s="25"/>
      <c r="EP220" s="26"/>
      <c r="EQ220" s="24"/>
      <c r="ER220" s="24"/>
      <c r="ES220" s="24"/>
      <c r="ET220" s="24"/>
      <c r="EU220" s="24"/>
      <c r="EV220" s="24"/>
      <c r="EW220" s="24"/>
      <c r="EX220" s="24"/>
      <c r="EY220" s="24"/>
      <c r="EZ220" s="24"/>
      <c r="FA220" s="24"/>
      <c r="FB220" s="25"/>
      <c r="FC220" s="26"/>
      <c r="FD220" s="24"/>
      <c r="FE220" s="24"/>
      <c r="FF220" s="24"/>
      <c r="FG220" s="24"/>
      <c r="FH220" s="24"/>
      <c r="FI220" s="24"/>
      <c r="FJ220" s="24"/>
      <c r="FK220" s="24"/>
      <c r="FL220" s="24"/>
      <c r="FM220" s="24"/>
      <c r="FN220" s="24"/>
      <c r="FO220" s="27">
        <f t="shared" ref="FO220:FV220" si="213">IFERROR(R220*1,0)+IFERROR(AE220*1,0)+IFERROR(AR220*1,0)+IFERROR(BE220*1,0)+IFERROR(BR220*1,0)+IFERROR(CE220*1,0)+IFERROR(CR220*1,0)+IFERROR(DE220*1,0)+IFERROR(DR220*1,0)+IFERROR(EE220*1,0)+IFERROR(ER220*1,0)+IFERROR(FE220*1,0)</f>
        <v>0</v>
      </c>
      <c r="FP220" s="27">
        <f t="shared" si="213"/>
        <v>0</v>
      </c>
      <c r="FQ220" s="27">
        <f t="shared" si="213"/>
        <v>0</v>
      </c>
      <c r="FR220" s="27">
        <f t="shared" si="213"/>
        <v>0</v>
      </c>
      <c r="FS220" s="27">
        <f t="shared" si="213"/>
        <v>0</v>
      </c>
      <c r="FT220" s="27">
        <f t="shared" si="213"/>
        <v>0</v>
      </c>
      <c r="FU220" s="27">
        <f t="shared" si="213"/>
        <v>0</v>
      </c>
      <c r="FV220" s="27">
        <f t="shared" si="213"/>
        <v>0</v>
      </c>
      <c r="FW220" s="28"/>
      <c r="FX220" s="29">
        <f t="shared" si="3"/>
        <v>0</v>
      </c>
    </row>
    <row r="221" spans="1:180" ht="18" customHeight="1" x14ac:dyDescent="0.25">
      <c r="A221" s="3" t="str">
        <f>IF(C221&lt;&gt;"","DRG-"&amp;TEXT(216,"000"),"")</f>
        <v/>
      </c>
      <c r="B221" s="33"/>
      <c r="C221" s="33"/>
      <c r="D221" s="33"/>
      <c r="E221" s="33"/>
      <c r="F221" s="33"/>
      <c r="G221" s="33"/>
      <c r="H221" s="33"/>
      <c r="I221" s="33"/>
      <c r="J221" s="33"/>
      <c r="K221" s="33"/>
      <c r="L221" s="37">
        <v>4</v>
      </c>
      <c r="M221" s="30" t="str">
        <f t="shared" si="0"/>
        <v>✘ Pending</v>
      </c>
      <c r="N221" s="30">
        <f t="shared" si="1"/>
        <v>0</v>
      </c>
      <c r="O221" s="31"/>
      <c r="P221" s="32"/>
      <c r="Q221" s="33"/>
      <c r="R221" s="33"/>
      <c r="S221" s="33"/>
      <c r="T221" s="33"/>
      <c r="U221" s="33"/>
      <c r="V221" s="33"/>
      <c r="W221" s="33"/>
      <c r="X221" s="33"/>
      <c r="Y221" s="33"/>
      <c r="Z221" s="33"/>
      <c r="AA221" s="33"/>
      <c r="AB221" s="31"/>
      <c r="AC221" s="32"/>
      <c r="AD221" s="33"/>
      <c r="AE221" s="33"/>
      <c r="AF221" s="33"/>
      <c r="AG221" s="33"/>
      <c r="AH221" s="33"/>
      <c r="AI221" s="33"/>
      <c r="AJ221" s="33"/>
      <c r="AK221" s="33"/>
      <c r="AL221" s="33"/>
      <c r="AM221" s="33"/>
      <c r="AN221" s="33"/>
      <c r="AO221" s="31"/>
      <c r="AP221" s="32"/>
      <c r="AQ221" s="33"/>
      <c r="AR221" s="33"/>
      <c r="AS221" s="33"/>
      <c r="AT221" s="33"/>
      <c r="AU221" s="33"/>
      <c r="AV221" s="33"/>
      <c r="AW221" s="33"/>
      <c r="AX221" s="33"/>
      <c r="AY221" s="33"/>
      <c r="AZ221" s="33"/>
      <c r="BA221" s="33"/>
      <c r="BB221" s="31"/>
      <c r="BC221" s="32"/>
      <c r="BD221" s="33"/>
      <c r="BE221" s="33"/>
      <c r="BF221" s="33"/>
      <c r="BG221" s="33"/>
      <c r="BH221" s="33"/>
      <c r="BI221" s="33"/>
      <c r="BJ221" s="33"/>
      <c r="BK221" s="33"/>
      <c r="BL221" s="33"/>
      <c r="BM221" s="33"/>
      <c r="BN221" s="33"/>
      <c r="BO221" s="31"/>
      <c r="BP221" s="32"/>
      <c r="BQ221" s="33"/>
      <c r="BR221" s="33"/>
      <c r="BS221" s="33"/>
      <c r="BT221" s="33"/>
      <c r="BU221" s="33"/>
      <c r="BV221" s="33"/>
      <c r="BW221" s="33"/>
      <c r="BX221" s="33"/>
      <c r="BY221" s="33"/>
      <c r="BZ221" s="33"/>
      <c r="CA221" s="33"/>
      <c r="CB221" s="31"/>
      <c r="CC221" s="32"/>
      <c r="CD221" s="33"/>
      <c r="CE221" s="33"/>
      <c r="CF221" s="33"/>
      <c r="CG221" s="33"/>
      <c r="CH221" s="33"/>
      <c r="CI221" s="33"/>
      <c r="CJ221" s="33"/>
      <c r="CK221" s="33"/>
      <c r="CL221" s="33"/>
      <c r="CM221" s="33"/>
      <c r="CN221" s="33"/>
      <c r="CO221" s="31"/>
      <c r="CP221" s="32"/>
      <c r="CQ221" s="33"/>
      <c r="CR221" s="33"/>
      <c r="CS221" s="33"/>
      <c r="CT221" s="33"/>
      <c r="CU221" s="33"/>
      <c r="CV221" s="33"/>
      <c r="CW221" s="33"/>
      <c r="CX221" s="33"/>
      <c r="CY221" s="33"/>
      <c r="CZ221" s="33"/>
      <c r="DA221" s="33"/>
      <c r="DB221" s="31"/>
      <c r="DC221" s="32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1"/>
      <c r="DP221" s="32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1"/>
      <c r="EC221" s="32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1"/>
      <c r="EP221" s="32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1"/>
      <c r="FC221" s="32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4">
        <f t="shared" ref="FO221:FV221" si="214">IFERROR(R221*1,0)+IFERROR(AE221*1,0)+IFERROR(AR221*1,0)+IFERROR(BE221*1,0)+IFERROR(BR221*1,0)+IFERROR(CE221*1,0)+IFERROR(CR221*1,0)+IFERROR(DE221*1,0)+IFERROR(DR221*1,0)+IFERROR(EE221*1,0)+IFERROR(ER221*1,0)+IFERROR(FE221*1,0)</f>
        <v>0</v>
      </c>
      <c r="FP221" s="34">
        <f t="shared" si="214"/>
        <v>0</v>
      </c>
      <c r="FQ221" s="34">
        <f t="shared" si="214"/>
        <v>0</v>
      </c>
      <c r="FR221" s="34">
        <f t="shared" si="214"/>
        <v>0</v>
      </c>
      <c r="FS221" s="34">
        <f t="shared" si="214"/>
        <v>0</v>
      </c>
      <c r="FT221" s="34">
        <f t="shared" si="214"/>
        <v>0</v>
      </c>
      <c r="FU221" s="34">
        <f t="shared" si="214"/>
        <v>0</v>
      </c>
      <c r="FV221" s="34">
        <f t="shared" si="214"/>
        <v>0</v>
      </c>
      <c r="FW221" s="28"/>
      <c r="FX221" s="29">
        <f t="shared" si="3"/>
        <v>0</v>
      </c>
    </row>
    <row r="222" spans="1:180" ht="18" customHeight="1" x14ac:dyDescent="0.25">
      <c r="A222" s="3" t="str">
        <f>IF(C222&lt;&gt;"","DRG-"&amp;TEXT(217,"000"),"")</f>
        <v/>
      </c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38">
        <v>4</v>
      </c>
      <c r="M222" s="23" t="str">
        <f t="shared" si="0"/>
        <v>✘ Pending</v>
      </c>
      <c r="N222" s="23">
        <f t="shared" si="1"/>
        <v>0</v>
      </c>
      <c r="O222" s="25"/>
      <c r="P222" s="26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  <c r="AB222" s="25"/>
      <c r="AC222" s="26"/>
      <c r="AD222" s="24"/>
      <c r="AE222" s="24"/>
      <c r="AF222" s="24"/>
      <c r="AG222" s="24"/>
      <c r="AH222" s="24"/>
      <c r="AI222" s="24"/>
      <c r="AJ222" s="24"/>
      <c r="AK222" s="24"/>
      <c r="AL222" s="24"/>
      <c r="AM222" s="24"/>
      <c r="AN222" s="24"/>
      <c r="AO222" s="25"/>
      <c r="AP222" s="26"/>
      <c r="AQ222" s="24"/>
      <c r="AR222" s="24"/>
      <c r="AS222" s="24"/>
      <c r="AT222" s="24"/>
      <c r="AU222" s="24"/>
      <c r="AV222" s="24"/>
      <c r="AW222" s="24"/>
      <c r="AX222" s="24"/>
      <c r="AY222" s="24"/>
      <c r="AZ222" s="24"/>
      <c r="BA222" s="24"/>
      <c r="BB222" s="25"/>
      <c r="BC222" s="26"/>
      <c r="BD222" s="24"/>
      <c r="BE222" s="24"/>
      <c r="BF222" s="24"/>
      <c r="BG222" s="24"/>
      <c r="BH222" s="24"/>
      <c r="BI222" s="24"/>
      <c r="BJ222" s="24"/>
      <c r="BK222" s="24"/>
      <c r="BL222" s="24"/>
      <c r="BM222" s="24"/>
      <c r="BN222" s="24"/>
      <c r="BO222" s="25"/>
      <c r="BP222" s="26"/>
      <c r="BQ222" s="24"/>
      <c r="BR222" s="24"/>
      <c r="BS222" s="24"/>
      <c r="BT222" s="24"/>
      <c r="BU222" s="24"/>
      <c r="BV222" s="24"/>
      <c r="BW222" s="24"/>
      <c r="BX222" s="24"/>
      <c r="BY222" s="24"/>
      <c r="BZ222" s="24"/>
      <c r="CA222" s="24"/>
      <c r="CB222" s="25"/>
      <c r="CC222" s="26"/>
      <c r="CD222" s="24"/>
      <c r="CE222" s="24"/>
      <c r="CF222" s="24"/>
      <c r="CG222" s="24"/>
      <c r="CH222" s="24"/>
      <c r="CI222" s="24"/>
      <c r="CJ222" s="24"/>
      <c r="CK222" s="24"/>
      <c r="CL222" s="24"/>
      <c r="CM222" s="24"/>
      <c r="CN222" s="24"/>
      <c r="CO222" s="25"/>
      <c r="CP222" s="26"/>
      <c r="CQ222" s="24"/>
      <c r="CR222" s="24"/>
      <c r="CS222" s="24"/>
      <c r="CT222" s="24"/>
      <c r="CU222" s="24"/>
      <c r="CV222" s="24"/>
      <c r="CW222" s="24"/>
      <c r="CX222" s="24"/>
      <c r="CY222" s="24"/>
      <c r="CZ222" s="24"/>
      <c r="DA222" s="24"/>
      <c r="DB222" s="25"/>
      <c r="DC222" s="26"/>
      <c r="DD222" s="24"/>
      <c r="DE222" s="24"/>
      <c r="DF222" s="24"/>
      <c r="DG222" s="24"/>
      <c r="DH222" s="24"/>
      <c r="DI222" s="24"/>
      <c r="DJ222" s="24"/>
      <c r="DK222" s="24"/>
      <c r="DL222" s="24"/>
      <c r="DM222" s="24"/>
      <c r="DN222" s="24"/>
      <c r="DO222" s="25"/>
      <c r="DP222" s="26"/>
      <c r="DQ222" s="24"/>
      <c r="DR222" s="24"/>
      <c r="DS222" s="24"/>
      <c r="DT222" s="24"/>
      <c r="DU222" s="24"/>
      <c r="DV222" s="24"/>
      <c r="DW222" s="24"/>
      <c r="DX222" s="24"/>
      <c r="DY222" s="24"/>
      <c r="DZ222" s="24"/>
      <c r="EA222" s="24"/>
      <c r="EB222" s="25"/>
      <c r="EC222" s="26"/>
      <c r="ED222" s="24"/>
      <c r="EE222" s="24"/>
      <c r="EF222" s="24"/>
      <c r="EG222" s="24"/>
      <c r="EH222" s="24"/>
      <c r="EI222" s="24"/>
      <c r="EJ222" s="24"/>
      <c r="EK222" s="24"/>
      <c r="EL222" s="24"/>
      <c r="EM222" s="24"/>
      <c r="EN222" s="24"/>
      <c r="EO222" s="25"/>
      <c r="EP222" s="26"/>
      <c r="EQ222" s="24"/>
      <c r="ER222" s="24"/>
      <c r="ES222" s="24"/>
      <c r="ET222" s="24"/>
      <c r="EU222" s="24"/>
      <c r="EV222" s="24"/>
      <c r="EW222" s="24"/>
      <c r="EX222" s="24"/>
      <c r="EY222" s="24"/>
      <c r="EZ222" s="24"/>
      <c r="FA222" s="24"/>
      <c r="FB222" s="25"/>
      <c r="FC222" s="26"/>
      <c r="FD222" s="24"/>
      <c r="FE222" s="24"/>
      <c r="FF222" s="24"/>
      <c r="FG222" s="24"/>
      <c r="FH222" s="24"/>
      <c r="FI222" s="24"/>
      <c r="FJ222" s="24"/>
      <c r="FK222" s="24"/>
      <c r="FL222" s="24"/>
      <c r="FM222" s="24"/>
      <c r="FN222" s="24"/>
      <c r="FO222" s="27">
        <f t="shared" ref="FO222:FV222" si="215">IFERROR(R222*1,0)+IFERROR(AE222*1,0)+IFERROR(AR222*1,0)+IFERROR(BE222*1,0)+IFERROR(BR222*1,0)+IFERROR(CE222*1,0)+IFERROR(CR222*1,0)+IFERROR(DE222*1,0)+IFERROR(DR222*1,0)+IFERROR(EE222*1,0)+IFERROR(ER222*1,0)+IFERROR(FE222*1,0)</f>
        <v>0</v>
      </c>
      <c r="FP222" s="27">
        <f t="shared" si="215"/>
        <v>0</v>
      </c>
      <c r="FQ222" s="27">
        <f t="shared" si="215"/>
        <v>0</v>
      </c>
      <c r="FR222" s="27">
        <f t="shared" si="215"/>
        <v>0</v>
      </c>
      <c r="FS222" s="27">
        <f t="shared" si="215"/>
        <v>0</v>
      </c>
      <c r="FT222" s="27">
        <f t="shared" si="215"/>
        <v>0</v>
      </c>
      <c r="FU222" s="27">
        <f t="shared" si="215"/>
        <v>0</v>
      </c>
      <c r="FV222" s="27">
        <f t="shared" si="215"/>
        <v>0</v>
      </c>
      <c r="FW222" s="28"/>
      <c r="FX222" s="29">
        <f t="shared" si="3"/>
        <v>0</v>
      </c>
    </row>
    <row r="223" spans="1:180" ht="18" customHeight="1" x14ac:dyDescent="0.25">
      <c r="A223" s="3" t="str">
        <f>IF(C223&lt;&gt;"","DRG-"&amp;TEXT(218,"000"),"")</f>
        <v/>
      </c>
      <c r="B223" s="33"/>
      <c r="C223" s="33"/>
      <c r="D223" s="33"/>
      <c r="E223" s="33"/>
      <c r="F223" s="33"/>
      <c r="G223" s="33"/>
      <c r="H223" s="33"/>
      <c r="I223" s="33"/>
      <c r="J223" s="33"/>
      <c r="K223" s="33"/>
      <c r="L223" s="37">
        <v>4</v>
      </c>
      <c r="M223" s="30" t="str">
        <f t="shared" si="0"/>
        <v>✘ Pending</v>
      </c>
      <c r="N223" s="30">
        <f t="shared" si="1"/>
        <v>0</v>
      </c>
      <c r="O223" s="31"/>
      <c r="P223" s="32"/>
      <c r="Q223" s="33"/>
      <c r="R223" s="33"/>
      <c r="S223" s="33"/>
      <c r="T223" s="33"/>
      <c r="U223" s="33"/>
      <c r="V223" s="33"/>
      <c r="W223" s="33"/>
      <c r="X223" s="33"/>
      <c r="Y223" s="33"/>
      <c r="Z223" s="33"/>
      <c r="AA223" s="33"/>
      <c r="AB223" s="31"/>
      <c r="AC223" s="32"/>
      <c r="AD223" s="33"/>
      <c r="AE223" s="33"/>
      <c r="AF223" s="33"/>
      <c r="AG223" s="33"/>
      <c r="AH223" s="33"/>
      <c r="AI223" s="33"/>
      <c r="AJ223" s="33"/>
      <c r="AK223" s="33"/>
      <c r="AL223" s="33"/>
      <c r="AM223" s="33"/>
      <c r="AN223" s="33"/>
      <c r="AO223" s="31"/>
      <c r="AP223" s="32"/>
      <c r="AQ223" s="33"/>
      <c r="AR223" s="33"/>
      <c r="AS223" s="33"/>
      <c r="AT223" s="33"/>
      <c r="AU223" s="33"/>
      <c r="AV223" s="33"/>
      <c r="AW223" s="33"/>
      <c r="AX223" s="33"/>
      <c r="AY223" s="33"/>
      <c r="AZ223" s="33"/>
      <c r="BA223" s="33"/>
      <c r="BB223" s="31"/>
      <c r="BC223" s="32"/>
      <c r="BD223" s="33"/>
      <c r="BE223" s="33"/>
      <c r="BF223" s="33"/>
      <c r="BG223" s="33"/>
      <c r="BH223" s="33"/>
      <c r="BI223" s="33"/>
      <c r="BJ223" s="33"/>
      <c r="BK223" s="33"/>
      <c r="BL223" s="33"/>
      <c r="BM223" s="33"/>
      <c r="BN223" s="33"/>
      <c r="BO223" s="31"/>
      <c r="BP223" s="32"/>
      <c r="BQ223" s="33"/>
      <c r="BR223" s="33"/>
      <c r="BS223" s="33"/>
      <c r="BT223" s="33"/>
      <c r="BU223" s="33"/>
      <c r="BV223" s="33"/>
      <c r="BW223" s="33"/>
      <c r="BX223" s="33"/>
      <c r="BY223" s="33"/>
      <c r="BZ223" s="33"/>
      <c r="CA223" s="33"/>
      <c r="CB223" s="31"/>
      <c r="CC223" s="32"/>
      <c r="CD223" s="33"/>
      <c r="CE223" s="33"/>
      <c r="CF223" s="33"/>
      <c r="CG223" s="33"/>
      <c r="CH223" s="33"/>
      <c r="CI223" s="33"/>
      <c r="CJ223" s="33"/>
      <c r="CK223" s="33"/>
      <c r="CL223" s="33"/>
      <c r="CM223" s="33"/>
      <c r="CN223" s="33"/>
      <c r="CO223" s="31"/>
      <c r="CP223" s="32"/>
      <c r="CQ223" s="33"/>
      <c r="CR223" s="33"/>
      <c r="CS223" s="33"/>
      <c r="CT223" s="33"/>
      <c r="CU223" s="33"/>
      <c r="CV223" s="33"/>
      <c r="CW223" s="33"/>
      <c r="CX223" s="33"/>
      <c r="CY223" s="33"/>
      <c r="CZ223" s="33"/>
      <c r="DA223" s="33"/>
      <c r="DB223" s="31"/>
      <c r="DC223" s="32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1"/>
      <c r="DP223" s="32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1"/>
      <c r="EC223" s="32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1"/>
      <c r="EP223" s="32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1"/>
      <c r="FC223" s="32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4">
        <f t="shared" ref="FO223:FV223" si="216">IFERROR(R223*1,0)+IFERROR(AE223*1,0)+IFERROR(AR223*1,0)+IFERROR(BE223*1,0)+IFERROR(BR223*1,0)+IFERROR(CE223*1,0)+IFERROR(CR223*1,0)+IFERROR(DE223*1,0)+IFERROR(DR223*1,0)+IFERROR(EE223*1,0)+IFERROR(ER223*1,0)+IFERROR(FE223*1,0)</f>
        <v>0</v>
      </c>
      <c r="FP223" s="34">
        <f t="shared" si="216"/>
        <v>0</v>
      </c>
      <c r="FQ223" s="34">
        <f t="shared" si="216"/>
        <v>0</v>
      </c>
      <c r="FR223" s="34">
        <f t="shared" si="216"/>
        <v>0</v>
      </c>
      <c r="FS223" s="34">
        <f t="shared" si="216"/>
        <v>0</v>
      </c>
      <c r="FT223" s="34">
        <f t="shared" si="216"/>
        <v>0</v>
      </c>
      <c r="FU223" s="34">
        <f t="shared" si="216"/>
        <v>0</v>
      </c>
      <c r="FV223" s="34">
        <f t="shared" si="216"/>
        <v>0</v>
      </c>
      <c r="FW223" s="28"/>
      <c r="FX223" s="29">
        <f t="shared" si="3"/>
        <v>0</v>
      </c>
    </row>
    <row r="224" spans="1:180" ht="18" customHeight="1" x14ac:dyDescent="0.25">
      <c r="A224" s="3" t="str">
        <f>IF(C224&lt;&gt;"","DRG-"&amp;TEXT(219,"000"),"")</f>
        <v/>
      </c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38">
        <v>4</v>
      </c>
      <c r="M224" s="23" t="str">
        <f t="shared" si="0"/>
        <v>✘ Pending</v>
      </c>
      <c r="N224" s="23">
        <f t="shared" si="1"/>
        <v>0</v>
      </c>
      <c r="O224" s="25"/>
      <c r="P224" s="26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  <c r="AB224" s="25"/>
      <c r="AC224" s="26"/>
      <c r="AD224" s="24"/>
      <c r="AE224" s="24"/>
      <c r="AF224" s="24"/>
      <c r="AG224" s="24"/>
      <c r="AH224" s="24"/>
      <c r="AI224" s="24"/>
      <c r="AJ224" s="24"/>
      <c r="AK224" s="24"/>
      <c r="AL224" s="24"/>
      <c r="AM224" s="24"/>
      <c r="AN224" s="24"/>
      <c r="AO224" s="25"/>
      <c r="AP224" s="26"/>
      <c r="AQ224" s="24"/>
      <c r="AR224" s="24"/>
      <c r="AS224" s="24"/>
      <c r="AT224" s="24"/>
      <c r="AU224" s="24"/>
      <c r="AV224" s="24"/>
      <c r="AW224" s="24"/>
      <c r="AX224" s="24"/>
      <c r="AY224" s="24"/>
      <c r="AZ224" s="24"/>
      <c r="BA224" s="24"/>
      <c r="BB224" s="25"/>
      <c r="BC224" s="26"/>
      <c r="BD224" s="24"/>
      <c r="BE224" s="24"/>
      <c r="BF224" s="24"/>
      <c r="BG224" s="24"/>
      <c r="BH224" s="24"/>
      <c r="BI224" s="24"/>
      <c r="BJ224" s="24"/>
      <c r="BK224" s="24"/>
      <c r="BL224" s="24"/>
      <c r="BM224" s="24"/>
      <c r="BN224" s="24"/>
      <c r="BO224" s="25"/>
      <c r="BP224" s="26"/>
      <c r="BQ224" s="24"/>
      <c r="BR224" s="24"/>
      <c r="BS224" s="24"/>
      <c r="BT224" s="24"/>
      <c r="BU224" s="24"/>
      <c r="BV224" s="24"/>
      <c r="BW224" s="24"/>
      <c r="BX224" s="24"/>
      <c r="BY224" s="24"/>
      <c r="BZ224" s="24"/>
      <c r="CA224" s="24"/>
      <c r="CB224" s="25"/>
      <c r="CC224" s="26"/>
      <c r="CD224" s="24"/>
      <c r="CE224" s="24"/>
      <c r="CF224" s="24"/>
      <c r="CG224" s="24"/>
      <c r="CH224" s="24"/>
      <c r="CI224" s="24"/>
      <c r="CJ224" s="24"/>
      <c r="CK224" s="24"/>
      <c r="CL224" s="24"/>
      <c r="CM224" s="24"/>
      <c r="CN224" s="24"/>
      <c r="CO224" s="25"/>
      <c r="CP224" s="26"/>
      <c r="CQ224" s="24"/>
      <c r="CR224" s="24"/>
      <c r="CS224" s="24"/>
      <c r="CT224" s="24"/>
      <c r="CU224" s="24"/>
      <c r="CV224" s="24"/>
      <c r="CW224" s="24"/>
      <c r="CX224" s="24"/>
      <c r="CY224" s="24"/>
      <c r="CZ224" s="24"/>
      <c r="DA224" s="24"/>
      <c r="DB224" s="25"/>
      <c r="DC224" s="26"/>
      <c r="DD224" s="24"/>
      <c r="DE224" s="24"/>
      <c r="DF224" s="24"/>
      <c r="DG224" s="24"/>
      <c r="DH224" s="24"/>
      <c r="DI224" s="24"/>
      <c r="DJ224" s="24"/>
      <c r="DK224" s="24"/>
      <c r="DL224" s="24"/>
      <c r="DM224" s="24"/>
      <c r="DN224" s="24"/>
      <c r="DO224" s="25"/>
      <c r="DP224" s="26"/>
      <c r="DQ224" s="24"/>
      <c r="DR224" s="24"/>
      <c r="DS224" s="24"/>
      <c r="DT224" s="24"/>
      <c r="DU224" s="24"/>
      <c r="DV224" s="24"/>
      <c r="DW224" s="24"/>
      <c r="DX224" s="24"/>
      <c r="DY224" s="24"/>
      <c r="DZ224" s="24"/>
      <c r="EA224" s="24"/>
      <c r="EB224" s="25"/>
      <c r="EC224" s="26"/>
      <c r="ED224" s="24"/>
      <c r="EE224" s="24"/>
      <c r="EF224" s="24"/>
      <c r="EG224" s="24"/>
      <c r="EH224" s="24"/>
      <c r="EI224" s="24"/>
      <c r="EJ224" s="24"/>
      <c r="EK224" s="24"/>
      <c r="EL224" s="24"/>
      <c r="EM224" s="24"/>
      <c r="EN224" s="24"/>
      <c r="EO224" s="25"/>
      <c r="EP224" s="26"/>
      <c r="EQ224" s="24"/>
      <c r="ER224" s="24"/>
      <c r="ES224" s="24"/>
      <c r="ET224" s="24"/>
      <c r="EU224" s="24"/>
      <c r="EV224" s="24"/>
      <c r="EW224" s="24"/>
      <c r="EX224" s="24"/>
      <c r="EY224" s="24"/>
      <c r="EZ224" s="24"/>
      <c r="FA224" s="24"/>
      <c r="FB224" s="25"/>
      <c r="FC224" s="26"/>
      <c r="FD224" s="24"/>
      <c r="FE224" s="24"/>
      <c r="FF224" s="24"/>
      <c r="FG224" s="24"/>
      <c r="FH224" s="24"/>
      <c r="FI224" s="24"/>
      <c r="FJ224" s="24"/>
      <c r="FK224" s="24"/>
      <c r="FL224" s="24"/>
      <c r="FM224" s="24"/>
      <c r="FN224" s="24"/>
      <c r="FO224" s="27">
        <f t="shared" ref="FO224:FV224" si="217">IFERROR(R224*1,0)+IFERROR(AE224*1,0)+IFERROR(AR224*1,0)+IFERROR(BE224*1,0)+IFERROR(BR224*1,0)+IFERROR(CE224*1,0)+IFERROR(CR224*1,0)+IFERROR(DE224*1,0)+IFERROR(DR224*1,0)+IFERROR(EE224*1,0)+IFERROR(ER224*1,0)+IFERROR(FE224*1,0)</f>
        <v>0</v>
      </c>
      <c r="FP224" s="27">
        <f t="shared" si="217"/>
        <v>0</v>
      </c>
      <c r="FQ224" s="27">
        <f t="shared" si="217"/>
        <v>0</v>
      </c>
      <c r="FR224" s="27">
        <f t="shared" si="217"/>
        <v>0</v>
      </c>
      <c r="FS224" s="27">
        <f t="shared" si="217"/>
        <v>0</v>
      </c>
      <c r="FT224" s="27">
        <f t="shared" si="217"/>
        <v>0</v>
      </c>
      <c r="FU224" s="27">
        <f t="shared" si="217"/>
        <v>0</v>
      </c>
      <c r="FV224" s="27">
        <f t="shared" si="217"/>
        <v>0</v>
      </c>
      <c r="FW224" s="28"/>
      <c r="FX224" s="29">
        <f t="shared" si="3"/>
        <v>0</v>
      </c>
    </row>
    <row r="225" spans="1:180" ht="18" customHeight="1" x14ac:dyDescent="0.25">
      <c r="A225" s="3" t="str">
        <f>IF(C225&lt;&gt;"","DRG-"&amp;TEXT(220,"000"),"")</f>
        <v/>
      </c>
      <c r="B225" s="33"/>
      <c r="C225" s="33"/>
      <c r="D225" s="33"/>
      <c r="E225" s="33"/>
      <c r="F225" s="33"/>
      <c r="G225" s="33"/>
      <c r="H225" s="33"/>
      <c r="I225" s="33"/>
      <c r="J225" s="33"/>
      <c r="K225" s="33"/>
      <c r="L225" s="37">
        <v>4</v>
      </c>
      <c r="M225" s="30" t="str">
        <f t="shared" si="0"/>
        <v>✘ Pending</v>
      </c>
      <c r="N225" s="30">
        <f t="shared" si="1"/>
        <v>0</v>
      </c>
      <c r="O225" s="31"/>
      <c r="P225" s="32"/>
      <c r="Q225" s="33"/>
      <c r="R225" s="33"/>
      <c r="S225" s="33"/>
      <c r="T225" s="33"/>
      <c r="U225" s="33"/>
      <c r="V225" s="33"/>
      <c r="W225" s="33"/>
      <c r="X225" s="33"/>
      <c r="Y225" s="33"/>
      <c r="Z225" s="33"/>
      <c r="AA225" s="33"/>
      <c r="AB225" s="31"/>
      <c r="AC225" s="32"/>
      <c r="AD225" s="33"/>
      <c r="AE225" s="33"/>
      <c r="AF225" s="33"/>
      <c r="AG225" s="33"/>
      <c r="AH225" s="33"/>
      <c r="AI225" s="33"/>
      <c r="AJ225" s="33"/>
      <c r="AK225" s="33"/>
      <c r="AL225" s="33"/>
      <c r="AM225" s="33"/>
      <c r="AN225" s="33"/>
      <c r="AO225" s="31"/>
      <c r="AP225" s="32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1"/>
      <c r="BC225" s="32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1"/>
      <c r="BP225" s="32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1"/>
      <c r="CC225" s="32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1"/>
      <c r="CP225" s="32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1"/>
      <c r="DC225" s="32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1"/>
      <c r="DP225" s="32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1"/>
      <c r="EC225" s="32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1"/>
      <c r="EP225" s="32"/>
      <c r="EQ225" s="33"/>
      <c r="ER225" s="33"/>
      <c r="ES225" s="33"/>
      <c r="ET225" s="33"/>
      <c r="EU225" s="33"/>
      <c r="EV225" s="33"/>
      <c r="EW225" s="33"/>
      <c r="EX225" s="33"/>
      <c r="EY225" s="33"/>
      <c r="EZ225" s="33"/>
      <c r="FA225" s="33"/>
      <c r="FB225" s="31"/>
      <c r="FC225" s="32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4">
        <f t="shared" ref="FO225:FV225" si="218">IFERROR(R225*1,0)+IFERROR(AE225*1,0)+IFERROR(AR225*1,0)+IFERROR(BE225*1,0)+IFERROR(BR225*1,0)+IFERROR(CE225*1,0)+IFERROR(CR225*1,0)+IFERROR(DE225*1,0)+IFERROR(DR225*1,0)+IFERROR(EE225*1,0)+IFERROR(ER225*1,0)+IFERROR(FE225*1,0)</f>
        <v>0</v>
      </c>
      <c r="FP225" s="34">
        <f t="shared" si="218"/>
        <v>0</v>
      </c>
      <c r="FQ225" s="34">
        <f t="shared" si="218"/>
        <v>0</v>
      </c>
      <c r="FR225" s="34">
        <f t="shared" si="218"/>
        <v>0</v>
      </c>
      <c r="FS225" s="34">
        <f t="shared" si="218"/>
        <v>0</v>
      </c>
      <c r="FT225" s="34">
        <f t="shared" si="218"/>
        <v>0</v>
      </c>
      <c r="FU225" s="34">
        <f t="shared" si="218"/>
        <v>0</v>
      </c>
      <c r="FV225" s="34">
        <f t="shared" si="218"/>
        <v>0</v>
      </c>
      <c r="FW225" s="28"/>
      <c r="FX225" s="29">
        <f t="shared" si="3"/>
        <v>0</v>
      </c>
    </row>
    <row r="226" spans="1:180" ht="18" customHeight="1" x14ac:dyDescent="0.25">
      <c r="A226" s="3" t="str">
        <f>IF(C226&lt;&gt;"","DRG-"&amp;TEXT(221,"000"),"")</f>
        <v/>
      </c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38">
        <v>4</v>
      </c>
      <c r="M226" s="23" t="str">
        <f t="shared" si="0"/>
        <v>✘ Pending</v>
      </c>
      <c r="N226" s="23">
        <f t="shared" si="1"/>
        <v>0</v>
      </c>
      <c r="O226" s="25"/>
      <c r="P226" s="26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  <c r="AB226" s="25"/>
      <c r="AC226" s="26"/>
      <c r="AD226" s="24"/>
      <c r="AE226" s="24"/>
      <c r="AF226" s="24"/>
      <c r="AG226" s="24"/>
      <c r="AH226" s="24"/>
      <c r="AI226" s="24"/>
      <c r="AJ226" s="24"/>
      <c r="AK226" s="24"/>
      <c r="AL226" s="24"/>
      <c r="AM226" s="24"/>
      <c r="AN226" s="24"/>
      <c r="AO226" s="25"/>
      <c r="AP226" s="26"/>
      <c r="AQ226" s="24"/>
      <c r="AR226" s="24"/>
      <c r="AS226" s="24"/>
      <c r="AT226" s="24"/>
      <c r="AU226" s="24"/>
      <c r="AV226" s="24"/>
      <c r="AW226" s="24"/>
      <c r="AX226" s="24"/>
      <c r="AY226" s="24"/>
      <c r="AZ226" s="24"/>
      <c r="BA226" s="24"/>
      <c r="BB226" s="25"/>
      <c r="BC226" s="26"/>
      <c r="BD226" s="24"/>
      <c r="BE226" s="24"/>
      <c r="BF226" s="24"/>
      <c r="BG226" s="24"/>
      <c r="BH226" s="24"/>
      <c r="BI226" s="24"/>
      <c r="BJ226" s="24"/>
      <c r="BK226" s="24"/>
      <c r="BL226" s="24"/>
      <c r="BM226" s="24"/>
      <c r="BN226" s="24"/>
      <c r="BO226" s="25"/>
      <c r="BP226" s="26"/>
      <c r="BQ226" s="24"/>
      <c r="BR226" s="24"/>
      <c r="BS226" s="24"/>
      <c r="BT226" s="24"/>
      <c r="BU226" s="24"/>
      <c r="BV226" s="24"/>
      <c r="BW226" s="24"/>
      <c r="BX226" s="24"/>
      <c r="BY226" s="24"/>
      <c r="BZ226" s="24"/>
      <c r="CA226" s="24"/>
      <c r="CB226" s="25"/>
      <c r="CC226" s="26"/>
      <c r="CD226" s="24"/>
      <c r="CE226" s="24"/>
      <c r="CF226" s="24"/>
      <c r="CG226" s="24"/>
      <c r="CH226" s="24"/>
      <c r="CI226" s="24"/>
      <c r="CJ226" s="24"/>
      <c r="CK226" s="24"/>
      <c r="CL226" s="24"/>
      <c r="CM226" s="24"/>
      <c r="CN226" s="24"/>
      <c r="CO226" s="25"/>
      <c r="CP226" s="26"/>
      <c r="CQ226" s="24"/>
      <c r="CR226" s="24"/>
      <c r="CS226" s="24"/>
      <c r="CT226" s="24"/>
      <c r="CU226" s="24"/>
      <c r="CV226" s="24"/>
      <c r="CW226" s="24"/>
      <c r="CX226" s="24"/>
      <c r="CY226" s="24"/>
      <c r="CZ226" s="24"/>
      <c r="DA226" s="24"/>
      <c r="DB226" s="25"/>
      <c r="DC226" s="26"/>
      <c r="DD226" s="24"/>
      <c r="DE226" s="24"/>
      <c r="DF226" s="24"/>
      <c r="DG226" s="24"/>
      <c r="DH226" s="24"/>
      <c r="DI226" s="24"/>
      <c r="DJ226" s="24"/>
      <c r="DK226" s="24"/>
      <c r="DL226" s="24"/>
      <c r="DM226" s="24"/>
      <c r="DN226" s="24"/>
      <c r="DO226" s="25"/>
      <c r="DP226" s="26"/>
      <c r="DQ226" s="24"/>
      <c r="DR226" s="24"/>
      <c r="DS226" s="24"/>
      <c r="DT226" s="24"/>
      <c r="DU226" s="24"/>
      <c r="DV226" s="24"/>
      <c r="DW226" s="24"/>
      <c r="DX226" s="24"/>
      <c r="DY226" s="24"/>
      <c r="DZ226" s="24"/>
      <c r="EA226" s="24"/>
      <c r="EB226" s="25"/>
      <c r="EC226" s="26"/>
      <c r="ED226" s="24"/>
      <c r="EE226" s="24"/>
      <c r="EF226" s="24"/>
      <c r="EG226" s="24"/>
      <c r="EH226" s="24"/>
      <c r="EI226" s="24"/>
      <c r="EJ226" s="24"/>
      <c r="EK226" s="24"/>
      <c r="EL226" s="24"/>
      <c r="EM226" s="24"/>
      <c r="EN226" s="24"/>
      <c r="EO226" s="25"/>
      <c r="EP226" s="26"/>
      <c r="EQ226" s="24"/>
      <c r="ER226" s="24"/>
      <c r="ES226" s="24"/>
      <c r="ET226" s="24"/>
      <c r="EU226" s="24"/>
      <c r="EV226" s="24"/>
      <c r="EW226" s="24"/>
      <c r="EX226" s="24"/>
      <c r="EY226" s="24"/>
      <c r="EZ226" s="24"/>
      <c r="FA226" s="24"/>
      <c r="FB226" s="25"/>
      <c r="FC226" s="26"/>
      <c r="FD226" s="24"/>
      <c r="FE226" s="24"/>
      <c r="FF226" s="24"/>
      <c r="FG226" s="24"/>
      <c r="FH226" s="24"/>
      <c r="FI226" s="24"/>
      <c r="FJ226" s="24"/>
      <c r="FK226" s="24"/>
      <c r="FL226" s="24"/>
      <c r="FM226" s="24"/>
      <c r="FN226" s="24"/>
      <c r="FO226" s="27">
        <f t="shared" ref="FO226:FV226" si="219">IFERROR(R226*1,0)+IFERROR(AE226*1,0)+IFERROR(AR226*1,0)+IFERROR(BE226*1,0)+IFERROR(BR226*1,0)+IFERROR(CE226*1,0)+IFERROR(CR226*1,0)+IFERROR(DE226*1,0)+IFERROR(DR226*1,0)+IFERROR(EE226*1,0)+IFERROR(ER226*1,0)+IFERROR(FE226*1,0)</f>
        <v>0</v>
      </c>
      <c r="FP226" s="27">
        <f t="shared" si="219"/>
        <v>0</v>
      </c>
      <c r="FQ226" s="27">
        <f t="shared" si="219"/>
        <v>0</v>
      </c>
      <c r="FR226" s="27">
        <f t="shared" si="219"/>
        <v>0</v>
      </c>
      <c r="FS226" s="27">
        <f t="shared" si="219"/>
        <v>0</v>
      </c>
      <c r="FT226" s="27">
        <f t="shared" si="219"/>
        <v>0</v>
      </c>
      <c r="FU226" s="27">
        <f t="shared" si="219"/>
        <v>0</v>
      </c>
      <c r="FV226" s="27">
        <f t="shared" si="219"/>
        <v>0</v>
      </c>
      <c r="FW226" s="28"/>
      <c r="FX226" s="29">
        <f t="shared" si="3"/>
        <v>0</v>
      </c>
    </row>
    <row r="227" spans="1:180" ht="18" customHeight="1" x14ac:dyDescent="0.25">
      <c r="A227" s="3" t="str">
        <f>IF(C227&lt;&gt;"","DRG-"&amp;TEXT(222,"000"),"")</f>
        <v/>
      </c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7">
        <v>4</v>
      </c>
      <c r="M227" s="30" t="str">
        <f t="shared" si="0"/>
        <v>✘ Pending</v>
      </c>
      <c r="N227" s="30">
        <f t="shared" si="1"/>
        <v>0</v>
      </c>
      <c r="O227" s="31"/>
      <c r="P227" s="32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1"/>
      <c r="AC227" s="32"/>
      <c r="AD227" s="33"/>
      <c r="AE227" s="33"/>
      <c r="AF227" s="33"/>
      <c r="AG227" s="33"/>
      <c r="AH227" s="33"/>
      <c r="AI227" s="33"/>
      <c r="AJ227" s="33"/>
      <c r="AK227" s="33"/>
      <c r="AL227" s="33"/>
      <c r="AM227" s="33"/>
      <c r="AN227" s="33"/>
      <c r="AO227" s="31"/>
      <c r="AP227" s="32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1"/>
      <c r="BC227" s="32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1"/>
      <c r="BP227" s="32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1"/>
      <c r="CC227" s="32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1"/>
      <c r="CP227" s="32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1"/>
      <c r="DC227" s="32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1"/>
      <c r="DP227" s="32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1"/>
      <c r="EC227" s="32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1"/>
      <c r="EP227" s="32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1"/>
      <c r="FC227" s="32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4">
        <f t="shared" ref="FO227:FV227" si="220">IFERROR(R227*1,0)+IFERROR(AE227*1,0)+IFERROR(AR227*1,0)+IFERROR(BE227*1,0)+IFERROR(BR227*1,0)+IFERROR(CE227*1,0)+IFERROR(CR227*1,0)+IFERROR(DE227*1,0)+IFERROR(DR227*1,0)+IFERROR(EE227*1,0)+IFERROR(ER227*1,0)+IFERROR(FE227*1,0)</f>
        <v>0</v>
      </c>
      <c r="FP227" s="34">
        <f t="shared" si="220"/>
        <v>0</v>
      </c>
      <c r="FQ227" s="34">
        <f t="shared" si="220"/>
        <v>0</v>
      </c>
      <c r="FR227" s="34">
        <f t="shared" si="220"/>
        <v>0</v>
      </c>
      <c r="FS227" s="34">
        <f t="shared" si="220"/>
        <v>0</v>
      </c>
      <c r="FT227" s="34">
        <f t="shared" si="220"/>
        <v>0</v>
      </c>
      <c r="FU227" s="34">
        <f t="shared" si="220"/>
        <v>0</v>
      </c>
      <c r="FV227" s="34">
        <f t="shared" si="220"/>
        <v>0</v>
      </c>
      <c r="FW227" s="28"/>
      <c r="FX227" s="29">
        <f t="shared" si="3"/>
        <v>0</v>
      </c>
    </row>
    <row r="228" spans="1:180" ht="18" customHeight="1" x14ac:dyDescent="0.25">
      <c r="A228" s="3" t="str">
        <f>IF(C228&lt;&gt;"","DRG-"&amp;TEXT(223,"000"),"")</f>
        <v/>
      </c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38">
        <v>4</v>
      </c>
      <c r="M228" s="23" t="str">
        <f t="shared" si="0"/>
        <v>✘ Pending</v>
      </c>
      <c r="N228" s="23">
        <f t="shared" si="1"/>
        <v>0</v>
      </c>
      <c r="O228" s="25"/>
      <c r="P228" s="26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  <c r="AB228" s="25"/>
      <c r="AC228" s="26"/>
      <c r="AD228" s="24"/>
      <c r="AE228" s="24"/>
      <c r="AF228" s="24"/>
      <c r="AG228" s="24"/>
      <c r="AH228" s="24"/>
      <c r="AI228" s="24"/>
      <c r="AJ228" s="24"/>
      <c r="AK228" s="24"/>
      <c r="AL228" s="24"/>
      <c r="AM228" s="24"/>
      <c r="AN228" s="24"/>
      <c r="AO228" s="25"/>
      <c r="AP228" s="26"/>
      <c r="AQ228" s="24"/>
      <c r="AR228" s="24"/>
      <c r="AS228" s="24"/>
      <c r="AT228" s="24"/>
      <c r="AU228" s="24"/>
      <c r="AV228" s="24"/>
      <c r="AW228" s="24"/>
      <c r="AX228" s="24"/>
      <c r="AY228" s="24"/>
      <c r="AZ228" s="24"/>
      <c r="BA228" s="24"/>
      <c r="BB228" s="25"/>
      <c r="BC228" s="26"/>
      <c r="BD228" s="24"/>
      <c r="BE228" s="24"/>
      <c r="BF228" s="24"/>
      <c r="BG228" s="24"/>
      <c r="BH228" s="24"/>
      <c r="BI228" s="24"/>
      <c r="BJ228" s="24"/>
      <c r="BK228" s="24"/>
      <c r="BL228" s="24"/>
      <c r="BM228" s="24"/>
      <c r="BN228" s="24"/>
      <c r="BO228" s="25"/>
      <c r="BP228" s="26"/>
      <c r="BQ228" s="24"/>
      <c r="BR228" s="24"/>
      <c r="BS228" s="24"/>
      <c r="BT228" s="24"/>
      <c r="BU228" s="24"/>
      <c r="BV228" s="24"/>
      <c r="BW228" s="24"/>
      <c r="BX228" s="24"/>
      <c r="BY228" s="24"/>
      <c r="BZ228" s="24"/>
      <c r="CA228" s="24"/>
      <c r="CB228" s="25"/>
      <c r="CC228" s="26"/>
      <c r="CD228" s="24"/>
      <c r="CE228" s="24"/>
      <c r="CF228" s="24"/>
      <c r="CG228" s="24"/>
      <c r="CH228" s="24"/>
      <c r="CI228" s="24"/>
      <c r="CJ228" s="24"/>
      <c r="CK228" s="24"/>
      <c r="CL228" s="24"/>
      <c r="CM228" s="24"/>
      <c r="CN228" s="24"/>
      <c r="CO228" s="25"/>
      <c r="CP228" s="26"/>
      <c r="CQ228" s="24"/>
      <c r="CR228" s="24"/>
      <c r="CS228" s="24"/>
      <c r="CT228" s="24"/>
      <c r="CU228" s="24"/>
      <c r="CV228" s="24"/>
      <c r="CW228" s="24"/>
      <c r="CX228" s="24"/>
      <c r="CY228" s="24"/>
      <c r="CZ228" s="24"/>
      <c r="DA228" s="24"/>
      <c r="DB228" s="25"/>
      <c r="DC228" s="26"/>
      <c r="DD228" s="24"/>
      <c r="DE228" s="24"/>
      <c r="DF228" s="24"/>
      <c r="DG228" s="24"/>
      <c r="DH228" s="24"/>
      <c r="DI228" s="24"/>
      <c r="DJ228" s="24"/>
      <c r="DK228" s="24"/>
      <c r="DL228" s="24"/>
      <c r="DM228" s="24"/>
      <c r="DN228" s="24"/>
      <c r="DO228" s="25"/>
      <c r="DP228" s="26"/>
      <c r="DQ228" s="24"/>
      <c r="DR228" s="24"/>
      <c r="DS228" s="24"/>
      <c r="DT228" s="24"/>
      <c r="DU228" s="24"/>
      <c r="DV228" s="24"/>
      <c r="DW228" s="24"/>
      <c r="DX228" s="24"/>
      <c r="DY228" s="24"/>
      <c r="DZ228" s="24"/>
      <c r="EA228" s="24"/>
      <c r="EB228" s="25"/>
      <c r="EC228" s="26"/>
      <c r="ED228" s="24"/>
      <c r="EE228" s="24"/>
      <c r="EF228" s="24"/>
      <c r="EG228" s="24"/>
      <c r="EH228" s="24"/>
      <c r="EI228" s="24"/>
      <c r="EJ228" s="24"/>
      <c r="EK228" s="24"/>
      <c r="EL228" s="24"/>
      <c r="EM228" s="24"/>
      <c r="EN228" s="24"/>
      <c r="EO228" s="25"/>
      <c r="EP228" s="26"/>
      <c r="EQ228" s="24"/>
      <c r="ER228" s="24"/>
      <c r="ES228" s="24"/>
      <c r="ET228" s="24"/>
      <c r="EU228" s="24"/>
      <c r="EV228" s="24"/>
      <c r="EW228" s="24"/>
      <c r="EX228" s="24"/>
      <c r="EY228" s="24"/>
      <c r="EZ228" s="24"/>
      <c r="FA228" s="24"/>
      <c r="FB228" s="25"/>
      <c r="FC228" s="26"/>
      <c r="FD228" s="24"/>
      <c r="FE228" s="24"/>
      <c r="FF228" s="24"/>
      <c r="FG228" s="24"/>
      <c r="FH228" s="24"/>
      <c r="FI228" s="24"/>
      <c r="FJ228" s="24"/>
      <c r="FK228" s="24"/>
      <c r="FL228" s="24"/>
      <c r="FM228" s="24"/>
      <c r="FN228" s="24"/>
      <c r="FO228" s="27">
        <f t="shared" ref="FO228:FV228" si="221">IFERROR(R228*1,0)+IFERROR(AE228*1,0)+IFERROR(AR228*1,0)+IFERROR(BE228*1,0)+IFERROR(BR228*1,0)+IFERROR(CE228*1,0)+IFERROR(CR228*1,0)+IFERROR(DE228*1,0)+IFERROR(DR228*1,0)+IFERROR(EE228*1,0)+IFERROR(ER228*1,0)+IFERROR(FE228*1,0)</f>
        <v>0</v>
      </c>
      <c r="FP228" s="27">
        <f t="shared" si="221"/>
        <v>0</v>
      </c>
      <c r="FQ228" s="27">
        <f t="shared" si="221"/>
        <v>0</v>
      </c>
      <c r="FR228" s="27">
        <f t="shared" si="221"/>
        <v>0</v>
      </c>
      <c r="FS228" s="27">
        <f t="shared" si="221"/>
        <v>0</v>
      </c>
      <c r="FT228" s="27">
        <f t="shared" si="221"/>
        <v>0</v>
      </c>
      <c r="FU228" s="27">
        <f t="shared" si="221"/>
        <v>0</v>
      </c>
      <c r="FV228" s="27">
        <f t="shared" si="221"/>
        <v>0</v>
      </c>
      <c r="FW228" s="28"/>
      <c r="FX228" s="29">
        <f t="shared" si="3"/>
        <v>0</v>
      </c>
    </row>
    <row r="229" spans="1:180" ht="18" customHeight="1" x14ac:dyDescent="0.25">
      <c r="A229" s="3" t="str">
        <f>IF(C229&lt;&gt;"","DRG-"&amp;TEXT(224,"000"),"")</f>
        <v/>
      </c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7">
        <v>4</v>
      </c>
      <c r="M229" s="30" t="str">
        <f t="shared" si="0"/>
        <v>✘ Pending</v>
      </c>
      <c r="N229" s="30">
        <f t="shared" si="1"/>
        <v>0</v>
      </c>
      <c r="O229" s="31"/>
      <c r="P229" s="32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1"/>
      <c r="AC229" s="32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1"/>
      <c r="AP229" s="32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1"/>
      <c r="BC229" s="32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1"/>
      <c r="BP229" s="32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1"/>
      <c r="CC229" s="32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1"/>
      <c r="CP229" s="32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1"/>
      <c r="DC229" s="32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1"/>
      <c r="DP229" s="32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1"/>
      <c r="EC229" s="32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1"/>
      <c r="EP229" s="32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1"/>
      <c r="FC229" s="32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4">
        <f t="shared" ref="FO229:FV229" si="222">IFERROR(R229*1,0)+IFERROR(AE229*1,0)+IFERROR(AR229*1,0)+IFERROR(BE229*1,0)+IFERROR(BR229*1,0)+IFERROR(CE229*1,0)+IFERROR(CR229*1,0)+IFERROR(DE229*1,0)+IFERROR(DR229*1,0)+IFERROR(EE229*1,0)+IFERROR(ER229*1,0)+IFERROR(FE229*1,0)</f>
        <v>0</v>
      </c>
      <c r="FP229" s="34">
        <f t="shared" si="222"/>
        <v>0</v>
      </c>
      <c r="FQ229" s="34">
        <f t="shared" si="222"/>
        <v>0</v>
      </c>
      <c r="FR229" s="34">
        <f t="shared" si="222"/>
        <v>0</v>
      </c>
      <c r="FS229" s="34">
        <f t="shared" si="222"/>
        <v>0</v>
      </c>
      <c r="FT229" s="34">
        <f t="shared" si="222"/>
        <v>0</v>
      </c>
      <c r="FU229" s="34">
        <f t="shared" si="222"/>
        <v>0</v>
      </c>
      <c r="FV229" s="34">
        <f t="shared" si="222"/>
        <v>0</v>
      </c>
      <c r="FW229" s="28"/>
      <c r="FX229" s="29">
        <f t="shared" si="3"/>
        <v>0</v>
      </c>
    </row>
    <row r="230" spans="1:180" ht="18" customHeight="1" x14ac:dyDescent="0.25">
      <c r="A230" s="3" t="str">
        <f>IF(C230&lt;&gt;"","DRG-"&amp;TEXT(225,"000"),"")</f>
        <v/>
      </c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38">
        <v>4</v>
      </c>
      <c r="M230" s="23" t="str">
        <f t="shared" si="0"/>
        <v>✘ Pending</v>
      </c>
      <c r="N230" s="23">
        <f t="shared" si="1"/>
        <v>0</v>
      </c>
      <c r="O230" s="25"/>
      <c r="P230" s="26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  <c r="AB230" s="25"/>
      <c r="AC230" s="26"/>
      <c r="AD230" s="24"/>
      <c r="AE230" s="24"/>
      <c r="AF230" s="24"/>
      <c r="AG230" s="24"/>
      <c r="AH230" s="24"/>
      <c r="AI230" s="24"/>
      <c r="AJ230" s="24"/>
      <c r="AK230" s="24"/>
      <c r="AL230" s="24"/>
      <c r="AM230" s="24"/>
      <c r="AN230" s="24"/>
      <c r="AO230" s="25"/>
      <c r="AP230" s="26"/>
      <c r="AQ230" s="24"/>
      <c r="AR230" s="24"/>
      <c r="AS230" s="24"/>
      <c r="AT230" s="24"/>
      <c r="AU230" s="24"/>
      <c r="AV230" s="24"/>
      <c r="AW230" s="24"/>
      <c r="AX230" s="24"/>
      <c r="AY230" s="24"/>
      <c r="AZ230" s="24"/>
      <c r="BA230" s="24"/>
      <c r="BB230" s="25"/>
      <c r="BC230" s="26"/>
      <c r="BD230" s="24"/>
      <c r="BE230" s="24"/>
      <c r="BF230" s="24"/>
      <c r="BG230" s="24"/>
      <c r="BH230" s="24"/>
      <c r="BI230" s="24"/>
      <c r="BJ230" s="24"/>
      <c r="BK230" s="24"/>
      <c r="BL230" s="24"/>
      <c r="BM230" s="24"/>
      <c r="BN230" s="24"/>
      <c r="BO230" s="25"/>
      <c r="BP230" s="26"/>
      <c r="BQ230" s="24"/>
      <c r="BR230" s="24"/>
      <c r="BS230" s="24"/>
      <c r="BT230" s="24"/>
      <c r="BU230" s="24"/>
      <c r="BV230" s="24"/>
      <c r="BW230" s="24"/>
      <c r="BX230" s="24"/>
      <c r="BY230" s="24"/>
      <c r="BZ230" s="24"/>
      <c r="CA230" s="24"/>
      <c r="CB230" s="25"/>
      <c r="CC230" s="26"/>
      <c r="CD230" s="24"/>
      <c r="CE230" s="24"/>
      <c r="CF230" s="24"/>
      <c r="CG230" s="24"/>
      <c r="CH230" s="24"/>
      <c r="CI230" s="24"/>
      <c r="CJ230" s="24"/>
      <c r="CK230" s="24"/>
      <c r="CL230" s="24"/>
      <c r="CM230" s="24"/>
      <c r="CN230" s="24"/>
      <c r="CO230" s="25"/>
      <c r="CP230" s="26"/>
      <c r="CQ230" s="24"/>
      <c r="CR230" s="24"/>
      <c r="CS230" s="24"/>
      <c r="CT230" s="24"/>
      <c r="CU230" s="24"/>
      <c r="CV230" s="24"/>
      <c r="CW230" s="24"/>
      <c r="CX230" s="24"/>
      <c r="CY230" s="24"/>
      <c r="CZ230" s="24"/>
      <c r="DA230" s="24"/>
      <c r="DB230" s="25"/>
      <c r="DC230" s="26"/>
      <c r="DD230" s="24"/>
      <c r="DE230" s="24"/>
      <c r="DF230" s="24"/>
      <c r="DG230" s="24"/>
      <c r="DH230" s="24"/>
      <c r="DI230" s="24"/>
      <c r="DJ230" s="24"/>
      <c r="DK230" s="24"/>
      <c r="DL230" s="24"/>
      <c r="DM230" s="24"/>
      <c r="DN230" s="24"/>
      <c r="DO230" s="25"/>
      <c r="DP230" s="26"/>
      <c r="DQ230" s="24"/>
      <c r="DR230" s="24"/>
      <c r="DS230" s="24"/>
      <c r="DT230" s="24"/>
      <c r="DU230" s="24"/>
      <c r="DV230" s="24"/>
      <c r="DW230" s="24"/>
      <c r="DX230" s="24"/>
      <c r="DY230" s="24"/>
      <c r="DZ230" s="24"/>
      <c r="EA230" s="24"/>
      <c r="EB230" s="25"/>
      <c r="EC230" s="26"/>
      <c r="ED230" s="24"/>
      <c r="EE230" s="24"/>
      <c r="EF230" s="24"/>
      <c r="EG230" s="24"/>
      <c r="EH230" s="24"/>
      <c r="EI230" s="24"/>
      <c r="EJ230" s="24"/>
      <c r="EK230" s="24"/>
      <c r="EL230" s="24"/>
      <c r="EM230" s="24"/>
      <c r="EN230" s="24"/>
      <c r="EO230" s="25"/>
      <c r="EP230" s="26"/>
      <c r="EQ230" s="24"/>
      <c r="ER230" s="24"/>
      <c r="ES230" s="24"/>
      <c r="ET230" s="24"/>
      <c r="EU230" s="24"/>
      <c r="EV230" s="24"/>
      <c r="EW230" s="24"/>
      <c r="EX230" s="24"/>
      <c r="EY230" s="24"/>
      <c r="EZ230" s="24"/>
      <c r="FA230" s="24"/>
      <c r="FB230" s="25"/>
      <c r="FC230" s="26"/>
      <c r="FD230" s="24"/>
      <c r="FE230" s="24"/>
      <c r="FF230" s="24"/>
      <c r="FG230" s="24"/>
      <c r="FH230" s="24"/>
      <c r="FI230" s="24"/>
      <c r="FJ230" s="24"/>
      <c r="FK230" s="24"/>
      <c r="FL230" s="24"/>
      <c r="FM230" s="24"/>
      <c r="FN230" s="24"/>
      <c r="FO230" s="27">
        <f t="shared" ref="FO230:FV230" si="223">IFERROR(R230*1,0)+IFERROR(AE230*1,0)+IFERROR(AR230*1,0)+IFERROR(BE230*1,0)+IFERROR(BR230*1,0)+IFERROR(CE230*1,0)+IFERROR(CR230*1,0)+IFERROR(DE230*1,0)+IFERROR(DR230*1,0)+IFERROR(EE230*1,0)+IFERROR(ER230*1,0)+IFERROR(FE230*1,0)</f>
        <v>0</v>
      </c>
      <c r="FP230" s="27">
        <f t="shared" si="223"/>
        <v>0</v>
      </c>
      <c r="FQ230" s="27">
        <f t="shared" si="223"/>
        <v>0</v>
      </c>
      <c r="FR230" s="27">
        <f t="shared" si="223"/>
        <v>0</v>
      </c>
      <c r="FS230" s="27">
        <f t="shared" si="223"/>
        <v>0</v>
      </c>
      <c r="FT230" s="27">
        <f t="shared" si="223"/>
        <v>0</v>
      </c>
      <c r="FU230" s="27">
        <f t="shared" si="223"/>
        <v>0</v>
      </c>
      <c r="FV230" s="27">
        <f t="shared" si="223"/>
        <v>0</v>
      </c>
      <c r="FW230" s="28"/>
      <c r="FX230" s="29">
        <f t="shared" si="3"/>
        <v>0</v>
      </c>
    </row>
    <row r="231" spans="1:180" ht="18" customHeight="1" x14ac:dyDescent="0.25">
      <c r="A231" s="3" t="str">
        <f>IF(C231&lt;&gt;"","DRG-"&amp;TEXT(226,"000"),"")</f>
        <v/>
      </c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7">
        <v>4</v>
      </c>
      <c r="M231" s="30" t="str">
        <f t="shared" si="0"/>
        <v>✘ Pending</v>
      </c>
      <c r="N231" s="30">
        <f t="shared" si="1"/>
        <v>0</v>
      </c>
      <c r="O231" s="31"/>
      <c r="P231" s="32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1"/>
      <c r="AC231" s="32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1"/>
      <c r="AP231" s="32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1"/>
      <c r="BC231" s="32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1"/>
      <c r="BP231" s="32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1"/>
      <c r="CC231" s="32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1"/>
      <c r="CP231" s="32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1"/>
      <c r="DC231" s="32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1"/>
      <c r="DP231" s="32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1"/>
      <c r="EC231" s="32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1"/>
      <c r="EP231" s="32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1"/>
      <c r="FC231" s="32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4">
        <f t="shared" ref="FO231:FV231" si="224">IFERROR(R231*1,0)+IFERROR(AE231*1,0)+IFERROR(AR231*1,0)+IFERROR(BE231*1,0)+IFERROR(BR231*1,0)+IFERROR(CE231*1,0)+IFERROR(CR231*1,0)+IFERROR(DE231*1,0)+IFERROR(DR231*1,0)+IFERROR(EE231*1,0)+IFERROR(ER231*1,0)+IFERROR(FE231*1,0)</f>
        <v>0</v>
      </c>
      <c r="FP231" s="34">
        <f t="shared" si="224"/>
        <v>0</v>
      </c>
      <c r="FQ231" s="34">
        <f t="shared" si="224"/>
        <v>0</v>
      </c>
      <c r="FR231" s="34">
        <f t="shared" si="224"/>
        <v>0</v>
      </c>
      <c r="FS231" s="34">
        <f t="shared" si="224"/>
        <v>0</v>
      </c>
      <c r="FT231" s="34">
        <f t="shared" si="224"/>
        <v>0</v>
      </c>
      <c r="FU231" s="34">
        <f t="shared" si="224"/>
        <v>0</v>
      </c>
      <c r="FV231" s="34">
        <f t="shared" si="224"/>
        <v>0</v>
      </c>
      <c r="FW231" s="28"/>
      <c r="FX231" s="29">
        <f t="shared" si="3"/>
        <v>0</v>
      </c>
    </row>
    <row r="232" spans="1:180" ht="18" customHeight="1" x14ac:dyDescent="0.25">
      <c r="A232" s="3" t="str">
        <f>IF(C232&lt;&gt;"","DRG-"&amp;TEXT(227,"000"),"")</f>
        <v/>
      </c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38">
        <v>4</v>
      </c>
      <c r="M232" s="23" t="str">
        <f t="shared" si="0"/>
        <v>✘ Pending</v>
      </c>
      <c r="N232" s="23">
        <f t="shared" si="1"/>
        <v>0</v>
      </c>
      <c r="O232" s="25"/>
      <c r="P232" s="26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  <c r="AB232" s="25"/>
      <c r="AC232" s="26"/>
      <c r="AD232" s="24"/>
      <c r="AE232" s="24"/>
      <c r="AF232" s="24"/>
      <c r="AG232" s="24"/>
      <c r="AH232" s="24"/>
      <c r="AI232" s="24"/>
      <c r="AJ232" s="24"/>
      <c r="AK232" s="24"/>
      <c r="AL232" s="24"/>
      <c r="AM232" s="24"/>
      <c r="AN232" s="24"/>
      <c r="AO232" s="25"/>
      <c r="AP232" s="26"/>
      <c r="AQ232" s="24"/>
      <c r="AR232" s="24"/>
      <c r="AS232" s="24"/>
      <c r="AT232" s="24"/>
      <c r="AU232" s="24"/>
      <c r="AV232" s="24"/>
      <c r="AW232" s="24"/>
      <c r="AX232" s="24"/>
      <c r="AY232" s="24"/>
      <c r="AZ232" s="24"/>
      <c r="BA232" s="24"/>
      <c r="BB232" s="25"/>
      <c r="BC232" s="26"/>
      <c r="BD232" s="24"/>
      <c r="BE232" s="24"/>
      <c r="BF232" s="24"/>
      <c r="BG232" s="24"/>
      <c r="BH232" s="24"/>
      <c r="BI232" s="24"/>
      <c r="BJ232" s="24"/>
      <c r="BK232" s="24"/>
      <c r="BL232" s="24"/>
      <c r="BM232" s="24"/>
      <c r="BN232" s="24"/>
      <c r="BO232" s="25"/>
      <c r="BP232" s="26"/>
      <c r="BQ232" s="24"/>
      <c r="BR232" s="24"/>
      <c r="BS232" s="24"/>
      <c r="BT232" s="24"/>
      <c r="BU232" s="24"/>
      <c r="BV232" s="24"/>
      <c r="BW232" s="24"/>
      <c r="BX232" s="24"/>
      <c r="BY232" s="24"/>
      <c r="BZ232" s="24"/>
      <c r="CA232" s="24"/>
      <c r="CB232" s="25"/>
      <c r="CC232" s="26"/>
      <c r="CD232" s="24"/>
      <c r="CE232" s="24"/>
      <c r="CF232" s="24"/>
      <c r="CG232" s="24"/>
      <c r="CH232" s="24"/>
      <c r="CI232" s="24"/>
      <c r="CJ232" s="24"/>
      <c r="CK232" s="24"/>
      <c r="CL232" s="24"/>
      <c r="CM232" s="24"/>
      <c r="CN232" s="24"/>
      <c r="CO232" s="25"/>
      <c r="CP232" s="26"/>
      <c r="CQ232" s="24"/>
      <c r="CR232" s="24"/>
      <c r="CS232" s="24"/>
      <c r="CT232" s="24"/>
      <c r="CU232" s="24"/>
      <c r="CV232" s="24"/>
      <c r="CW232" s="24"/>
      <c r="CX232" s="24"/>
      <c r="CY232" s="24"/>
      <c r="CZ232" s="24"/>
      <c r="DA232" s="24"/>
      <c r="DB232" s="25"/>
      <c r="DC232" s="26"/>
      <c r="DD232" s="24"/>
      <c r="DE232" s="24"/>
      <c r="DF232" s="24"/>
      <c r="DG232" s="24"/>
      <c r="DH232" s="24"/>
      <c r="DI232" s="24"/>
      <c r="DJ232" s="24"/>
      <c r="DK232" s="24"/>
      <c r="DL232" s="24"/>
      <c r="DM232" s="24"/>
      <c r="DN232" s="24"/>
      <c r="DO232" s="25"/>
      <c r="DP232" s="26"/>
      <c r="DQ232" s="24"/>
      <c r="DR232" s="24"/>
      <c r="DS232" s="24"/>
      <c r="DT232" s="24"/>
      <c r="DU232" s="24"/>
      <c r="DV232" s="24"/>
      <c r="DW232" s="24"/>
      <c r="DX232" s="24"/>
      <c r="DY232" s="24"/>
      <c r="DZ232" s="24"/>
      <c r="EA232" s="24"/>
      <c r="EB232" s="25"/>
      <c r="EC232" s="26"/>
      <c r="ED232" s="24"/>
      <c r="EE232" s="24"/>
      <c r="EF232" s="24"/>
      <c r="EG232" s="24"/>
      <c r="EH232" s="24"/>
      <c r="EI232" s="24"/>
      <c r="EJ232" s="24"/>
      <c r="EK232" s="24"/>
      <c r="EL232" s="24"/>
      <c r="EM232" s="24"/>
      <c r="EN232" s="24"/>
      <c r="EO232" s="25"/>
      <c r="EP232" s="26"/>
      <c r="EQ232" s="24"/>
      <c r="ER232" s="24"/>
      <c r="ES232" s="24"/>
      <c r="ET232" s="24"/>
      <c r="EU232" s="24"/>
      <c r="EV232" s="24"/>
      <c r="EW232" s="24"/>
      <c r="EX232" s="24"/>
      <c r="EY232" s="24"/>
      <c r="EZ232" s="24"/>
      <c r="FA232" s="24"/>
      <c r="FB232" s="25"/>
      <c r="FC232" s="26"/>
      <c r="FD232" s="24"/>
      <c r="FE232" s="24"/>
      <c r="FF232" s="24"/>
      <c r="FG232" s="24"/>
      <c r="FH232" s="24"/>
      <c r="FI232" s="24"/>
      <c r="FJ232" s="24"/>
      <c r="FK232" s="24"/>
      <c r="FL232" s="24"/>
      <c r="FM232" s="24"/>
      <c r="FN232" s="24"/>
      <c r="FO232" s="27">
        <f t="shared" ref="FO232:FV232" si="225">IFERROR(R232*1,0)+IFERROR(AE232*1,0)+IFERROR(AR232*1,0)+IFERROR(BE232*1,0)+IFERROR(BR232*1,0)+IFERROR(CE232*1,0)+IFERROR(CR232*1,0)+IFERROR(DE232*1,0)+IFERROR(DR232*1,0)+IFERROR(EE232*1,0)+IFERROR(ER232*1,0)+IFERROR(FE232*1,0)</f>
        <v>0</v>
      </c>
      <c r="FP232" s="27">
        <f t="shared" si="225"/>
        <v>0</v>
      </c>
      <c r="FQ232" s="27">
        <f t="shared" si="225"/>
        <v>0</v>
      </c>
      <c r="FR232" s="27">
        <f t="shared" si="225"/>
        <v>0</v>
      </c>
      <c r="FS232" s="27">
        <f t="shared" si="225"/>
        <v>0</v>
      </c>
      <c r="FT232" s="27">
        <f t="shared" si="225"/>
        <v>0</v>
      </c>
      <c r="FU232" s="27">
        <f t="shared" si="225"/>
        <v>0</v>
      </c>
      <c r="FV232" s="27">
        <f t="shared" si="225"/>
        <v>0</v>
      </c>
      <c r="FW232" s="28"/>
      <c r="FX232" s="29">
        <f t="shared" si="3"/>
        <v>0</v>
      </c>
    </row>
    <row r="233" spans="1:180" ht="18" customHeight="1" x14ac:dyDescent="0.25">
      <c r="A233" s="3" t="str">
        <f>IF(C233&lt;&gt;"","DRG-"&amp;TEXT(228,"000"),"")</f>
        <v/>
      </c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7">
        <v>4</v>
      </c>
      <c r="M233" s="30" t="str">
        <f t="shared" si="0"/>
        <v>✘ Pending</v>
      </c>
      <c r="N233" s="30">
        <f t="shared" si="1"/>
        <v>0</v>
      </c>
      <c r="O233" s="31"/>
      <c r="P233" s="32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1"/>
      <c r="AC233" s="32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1"/>
      <c r="AP233" s="32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1"/>
      <c r="BC233" s="32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1"/>
      <c r="BP233" s="32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1"/>
      <c r="CC233" s="32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1"/>
      <c r="CP233" s="32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1"/>
      <c r="DC233" s="32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1"/>
      <c r="DP233" s="32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1"/>
      <c r="EC233" s="32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1"/>
      <c r="EP233" s="32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1"/>
      <c r="FC233" s="32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4">
        <f t="shared" ref="FO233:FV233" si="226">IFERROR(R233*1,0)+IFERROR(AE233*1,0)+IFERROR(AR233*1,0)+IFERROR(BE233*1,0)+IFERROR(BR233*1,0)+IFERROR(CE233*1,0)+IFERROR(CR233*1,0)+IFERROR(DE233*1,0)+IFERROR(DR233*1,0)+IFERROR(EE233*1,0)+IFERROR(ER233*1,0)+IFERROR(FE233*1,0)</f>
        <v>0</v>
      </c>
      <c r="FP233" s="34">
        <f t="shared" si="226"/>
        <v>0</v>
      </c>
      <c r="FQ233" s="34">
        <f t="shared" si="226"/>
        <v>0</v>
      </c>
      <c r="FR233" s="34">
        <f t="shared" si="226"/>
        <v>0</v>
      </c>
      <c r="FS233" s="34">
        <f t="shared" si="226"/>
        <v>0</v>
      </c>
      <c r="FT233" s="34">
        <f t="shared" si="226"/>
        <v>0</v>
      </c>
      <c r="FU233" s="34">
        <f t="shared" si="226"/>
        <v>0</v>
      </c>
      <c r="FV233" s="34">
        <f t="shared" si="226"/>
        <v>0</v>
      </c>
      <c r="FW233" s="28"/>
      <c r="FX233" s="29">
        <f t="shared" si="3"/>
        <v>0</v>
      </c>
    </row>
    <row r="234" spans="1:180" ht="18" customHeight="1" x14ac:dyDescent="0.25">
      <c r="A234" s="3" t="str">
        <f>IF(C234&lt;&gt;"","DRG-"&amp;TEXT(229,"000"),"")</f>
        <v/>
      </c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38">
        <v>4</v>
      </c>
      <c r="M234" s="23" t="str">
        <f t="shared" si="0"/>
        <v>✘ Pending</v>
      </c>
      <c r="N234" s="23">
        <f t="shared" si="1"/>
        <v>0</v>
      </c>
      <c r="O234" s="25"/>
      <c r="P234" s="26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  <c r="AB234" s="25"/>
      <c r="AC234" s="26"/>
      <c r="AD234" s="24"/>
      <c r="AE234" s="24"/>
      <c r="AF234" s="24"/>
      <c r="AG234" s="24"/>
      <c r="AH234" s="24"/>
      <c r="AI234" s="24"/>
      <c r="AJ234" s="24"/>
      <c r="AK234" s="24"/>
      <c r="AL234" s="24"/>
      <c r="AM234" s="24"/>
      <c r="AN234" s="24"/>
      <c r="AO234" s="25"/>
      <c r="AP234" s="26"/>
      <c r="AQ234" s="24"/>
      <c r="AR234" s="24"/>
      <c r="AS234" s="24"/>
      <c r="AT234" s="24"/>
      <c r="AU234" s="24"/>
      <c r="AV234" s="24"/>
      <c r="AW234" s="24"/>
      <c r="AX234" s="24"/>
      <c r="AY234" s="24"/>
      <c r="AZ234" s="24"/>
      <c r="BA234" s="24"/>
      <c r="BB234" s="25"/>
      <c r="BC234" s="26"/>
      <c r="BD234" s="24"/>
      <c r="BE234" s="24"/>
      <c r="BF234" s="24"/>
      <c r="BG234" s="24"/>
      <c r="BH234" s="24"/>
      <c r="BI234" s="24"/>
      <c r="BJ234" s="24"/>
      <c r="BK234" s="24"/>
      <c r="BL234" s="24"/>
      <c r="BM234" s="24"/>
      <c r="BN234" s="24"/>
      <c r="BO234" s="25"/>
      <c r="BP234" s="26"/>
      <c r="BQ234" s="24"/>
      <c r="BR234" s="24"/>
      <c r="BS234" s="24"/>
      <c r="BT234" s="24"/>
      <c r="BU234" s="24"/>
      <c r="BV234" s="24"/>
      <c r="BW234" s="24"/>
      <c r="BX234" s="24"/>
      <c r="BY234" s="24"/>
      <c r="BZ234" s="24"/>
      <c r="CA234" s="24"/>
      <c r="CB234" s="25"/>
      <c r="CC234" s="26"/>
      <c r="CD234" s="24"/>
      <c r="CE234" s="24"/>
      <c r="CF234" s="24"/>
      <c r="CG234" s="24"/>
      <c r="CH234" s="24"/>
      <c r="CI234" s="24"/>
      <c r="CJ234" s="24"/>
      <c r="CK234" s="24"/>
      <c r="CL234" s="24"/>
      <c r="CM234" s="24"/>
      <c r="CN234" s="24"/>
      <c r="CO234" s="25"/>
      <c r="CP234" s="26"/>
      <c r="CQ234" s="24"/>
      <c r="CR234" s="24"/>
      <c r="CS234" s="24"/>
      <c r="CT234" s="24"/>
      <c r="CU234" s="24"/>
      <c r="CV234" s="24"/>
      <c r="CW234" s="24"/>
      <c r="CX234" s="24"/>
      <c r="CY234" s="24"/>
      <c r="CZ234" s="24"/>
      <c r="DA234" s="24"/>
      <c r="DB234" s="25"/>
      <c r="DC234" s="26"/>
      <c r="DD234" s="24"/>
      <c r="DE234" s="24"/>
      <c r="DF234" s="24"/>
      <c r="DG234" s="24"/>
      <c r="DH234" s="24"/>
      <c r="DI234" s="24"/>
      <c r="DJ234" s="24"/>
      <c r="DK234" s="24"/>
      <c r="DL234" s="24"/>
      <c r="DM234" s="24"/>
      <c r="DN234" s="24"/>
      <c r="DO234" s="25"/>
      <c r="DP234" s="26"/>
      <c r="DQ234" s="24"/>
      <c r="DR234" s="24"/>
      <c r="DS234" s="24"/>
      <c r="DT234" s="24"/>
      <c r="DU234" s="24"/>
      <c r="DV234" s="24"/>
      <c r="DW234" s="24"/>
      <c r="DX234" s="24"/>
      <c r="DY234" s="24"/>
      <c r="DZ234" s="24"/>
      <c r="EA234" s="24"/>
      <c r="EB234" s="25"/>
      <c r="EC234" s="26"/>
      <c r="ED234" s="24"/>
      <c r="EE234" s="24"/>
      <c r="EF234" s="24"/>
      <c r="EG234" s="24"/>
      <c r="EH234" s="24"/>
      <c r="EI234" s="24"/>
      <c r="EJ234" s="24"/>
      <c r="EK234" s="24"/>
      <c r="EL234" s="24"/>
      <c r="EM234" s="24"/>
      <c r="EN234" s="24"/>
      <c r="EO234" s="25"/>
      <c r="EP234" s="26"/>
      <c r="EQ234" s="24"/>
      <c r="ER234" s="24"/>
      <c r="ES234" s="24"/>
      <c r="ET234" s="24"/>
      <c r="EU234" s="24"/>
      <c r="EV234" s="24"/>
      <c r="EW234" s="24"/>
      <c r="EX234" s="24"/>
      <c r="EY234" s="24"/>
      <c r="EZ234" s="24"/>
      <c r="FA234" s="24"/>
      <c r="FB234" s="25"/>
      <c r="FC234" s="26"/>
      <c r="FD234" s="24"/>
      <c r="FE234" s="24"/>
      <c r="FF234" s="24"/>
      <c r="FG234" s="24"/>
      <c r="FH234" s="24"/>
      <c r="FI234" s="24"/>
      <c r="FJ234" s="24"/>
      <c r="FK234" s="24"/>
      <c r="FL234" s="24"/>
      <c r="FM234" s="24"/>
      <c r="FN234" s="24"/>
      <c r="FO234" s="27">
        <f t="shared" ref="FO234:FV234" si="227">IFERROR(R234*1,0)+IFERROR(AE234*1,0)+IFERROR(AR234*1,0)+IFERROR(BE234*1,0)+IFERROR(BR234*1,0)+IFERROR(CE234*1,0)+IFERROR(CR234*1,0)+IFERROR(DE234*1,0)+IFERROR(DR234*1,0)+IFERROR(EE234*1,0)+IFERROR(ER234*1,0)+IFERROR(FE234*1,0)</f>
        <v>0</v>
      </c>
      <c r="FP234" s="27">
        <f t="shared" si="227"/>
        <v>0</v>
      </c>
      <c r="FQ234" s="27">
        <f t="shared" si="227"/>
        <v>0</v>
      </c>
      <c r="FR234" s="27">
        <f t="shared" si="227"/>
        <v>0</v>
      </c>
      <c r="FS234" s="27">
        <f t="shared" si="227"/>
        <v>0</v>
      </c>
      <c r="FT234" s="27">
        <f t="shared" si="227"/>
        <v>0</v>
      </c>
      <c r="FU234" s="27">
        <f t="shared" si="227"/>
        <v>0</v>
      </c>
      <c r="FV234" s="27">
        <f t="shared" si="227"/>
        <v>0</v>
      </c>
      <c r="FW234" s="28"/>
      <c r="FX234" s="29">
        <f t="shared" si="3"/>
        <v>0</v>
      </c>
    </row>
    <row r="235" spans="1:180" ht="18" customHeight="1" x14ac:dyDescent="0.25">
      <c r="A235" s="3" t="str">
        <f>IF(C235&lt;&gt;"","DRG-"&amp;TEXT(230,"000"),"")</f>
        <v/>
      </c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7">
        <v>4</v>
      </c>
      <c r="M235" s="30" t="str">
        <f t="shared" si="0"/>
        <v>✘ Pending</v>
      </c>
      <c r="N235" s="30">
        <f t="shared" si="1"/>
        <v>0</v>
      </c>
      <c r="O235" s="31"/>
      <c r="P235" s="32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1"/>
      <c r="AC235" s="32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1"/>
      <c r="AP235" s="32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1"/>
      <c r="BC235" s="32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1"/>
      <c r="BP235" s="32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1"/>
      <c r="CC235" s="32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1"/>
      <c r="CP235" s="32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1"/>
      <c r="DC235" s="32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1"/>
      <c r="DP235" s="32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1"/>
      <c r="EC235" s="32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1"/>
      <c r="EP235" s="32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1"/>
      <c r="FC235" s="32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4">
        <f t="shared" ref="FO235:FV235" si="228">IFERROR(R235*1,0)+IFERROR(AE235*1,0)+IFERROR(AR235*1,0)+IFERROR(BE235*1,0)+IFERROR(BR235*1,0)+IFERROR(CE235*1,0)+IFERROR(CR235*1,0)+IFERROR(DE235*1,0)+IFERROR(DR235*1,0)+IFERROR(EE235*1,0)+IFERROR(ER235*1,0)+IFERROR(FE235*1,0)</f>
        <v>0</v>
      </c>
      <c r="FP235" s="34">
        <f t="shared" si="228"/>
        <v>0</v>
      </c>
      <c r="FQ235" s="34">
        <f t="shared" si="228"/>
        <v>0</v>
      </c>
      <c r="FR235" s="34">
        <f t="shared" si="228"/>
        <v>0</v>
      </c>
      <c r="FS235" s="34">
        <f t="shared" si="228"/>
        <v>0</v>
      </c>
      <c r="FT235" s="34">
        <f t="shared" si="228"/>
        <v>0</v>
      </c>
      <c r="FU235" s="34">
        <f t="shared" si="228"/>
        <v>0</v>
      </c>
      <c r="FV235" s="34">
        <f t="shared" si="228"/>
        <v>0</v>
      </c>
      <c r="FW235" s="28"/>
      <c r="FX235" s="29">
        <f t="shared" si="3"/>
        <v>0</v>
      </c>
    </row>
    <row r="236" spans="1:180" ht="18" customHeight="1" x14ac:dyDescent="0.25">
      <c r="A236" s="3" t="str">
        <f>IF(C236&lt;&gt;"","DRG-"&amp;TEXT(231,"000"),"")</f>
        <v/>
      </c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38">
        <v>4</v>
      </c>
      <c r="M236" s="23" t="str">
        <f t="shared" si="0"/>
        <v>✘ Pending</v>
      </c>
      <c r="N236" s="23">
        <f t="shared" si="1"/>
        <v>0</v>
      </c>
      <c r="O236" s="25"/>
      <c r="P236" s="26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  <c r="AB236" s="25"/>
      <c r="AC236" s="26"/>
      <c r="AD236" s="24"/>
      <c r="AE236" s="24"/>
      <c r="AF236" s="24"/>
      <c r="AG236" s="24"/>
      <c r="AH236" s="24"/>
      <c r="AI236" s="24"/>
      <c r="AJ236" s="24"/>
      <c r="AK236" s="24"/>
      <c r="AL236" s="24"/>
      <c r="AM236" s="24"/>
      <c r="AN236" s="24"/>
      <c r="AO236" s="25"/>
      <c r="AP236" s="26"/>
      <c r="AQ236" s="24"/>
      <c r="AR236" s="24"/>
      <c r="AS236" s="24"/>
      <c r="AT236" s="24"/>
      <c r="AU236" s="24"/>
      <c r="AV236" s="24"/>
      <c r="AW236" s="24"/>
      <c r="AX236" s="24"/>
      <c r="AY236" s="24"/>
      <c r="AZ236" s="24"/>
      <c r="BA236" s="24"/>
      <c r="BB236" s="25"/>
      <c r="BC236" s="26"/>
      <c r="BD236" s="24"/>
      <c r="BE236" s="24"/>
      <c r="BF236" s="24"/>
      <c r="BG236" s="24"/>
      <c r="BH236" s="24"/>
      <c r="BI236" s="24"/>
      <c r="BJ236" s="24"/>
      <c r="BK236" s="24"/>
      <c r="BL236" s="24"/>
      <c r="BM236" s="24"/>
      <c r="BN236" s="24"/>
      <c r="BO236" s="25"/>
      <c r="BP236" s="26"/>
      <c r="BQ236" s="24"/>
      <c r="BR236" s="24"/>
      <c r="BS236" s="24"/>
      <c r="BT236" s="24"/>
      <c r="BU236" s="24"/>
      <c r="BV236" s="24"/>
      <c r="BW236" s="24"/>
      <c r="BX236" s="24"/>
      <c r="BY236" s="24"/>
      <c r="BZ236" s="24"/>
      <c r="CA236" s="24"/>
      <c r="CB236" s="25"/>
      <c r="CC236" s="26"/>
      <c r="CD236" s="24"/>
      <c r="CE236" s="24"/>
      <c r="CF236" s="24"/>
      <c r="CG236" s="24"/>
      <c r="CH236" s="24"/>
      <c r="CI236" s="24"/>
      <c r="CJ236" s="24"/>
      <c r="CK236" s="24"/>
      <c r="CL236" s="24"/>
      <c r="CM236" s="24"/>
      <c r="CN236" s="24"/>
      <c r="CO236" s="25"/>
      <c r="CP236" s="26"/>
      <c r="CQ236" s="24"/>
      <c r="CR236" s="24"/>
      <c r="CS236" s="24"/>
      <c r="CT236" s="24"/>
      <c r="CU236" s="24"/>
      <c r="CV236" s="24"/>
      <c r="CW236" s="24"/>
      <c r="CX236" s="24"/>
      <c r="CY236" s="24"/>
      <c r="CZ236" s="24"/>
      <c r="DA236" s="24"/>
      <c r="DB236" s="25"/>
      <c r="DC236" s="26"/>
      <c r="DD236" s="24"/>
      <c r="DE236" s="24"/>
      <c r="DF236" s="24"/>
      <c r="DG236" s="24"/>
      <c r="DH236" s="24"/>
      <c r="DI236" s="24"/>
      <c r="DJ236" s="24"/>
      <c r="DK236" s="24"/>
      <c r="DL236" s="24"/>
      <c r="DM236" s="24"/>
      <c r="DN236" s="24"/>
      <c r="DO236" s="25"/>
      <c r="DP236" s="26"/>
      <c r="DQ236" s="24"/>
      <c r="DR236" s="24"/>
      <c r="DS236" s="24"/>
      <c r="DT236" s="24"/>
      <c r="DU236" s="24"/>
      <c r="DV236" s="24"/>
      <c r="DW236" s="24"/>
      <c r="DX236" s="24"/>
      <c r="DY236" s="24"/>
      <c r="DZ236" s="24"/>
      <c r="EA236" s="24"/>
      <c r="EB236" s="25"/>
      <c r="EC236" s="26"/>
      <c r="ED236" s="24"/>
      <c r="EE236" s="24"/>
      <c r="EF236" s="24"/>
      <c r="EG236" s="24"/>
      <c r="EH236" s="24"/>
      <c r="EI236" s="24"/>
      <c r="EJ236" s="24"/>
      <c r="EK236" s="24"/>
      <c r="EL236" s="24"/>
      <c r="EM236" s="24"/>
      <c r="EN236" s="24"/>
      <c r="EO236" s="25"/>
      <c r="EP236" s="26"/>
      <c r="EQ236" s="24"/>
      <c r="ER236" s="24"/>
      <c r="ES236" s="24"/>
      <c r="ET236" s="24"/>
      <c r="EU236" s="24"/>
      <c r="EV236" s="24"/>
      <c r="EW236" s="24"/>
      <c r="EX236" s="24"/>
      <c r="EY236" s="24"/>
      <c r="EZ236" s="24"/>
      <c r="FA236" s="24"/>
      <c r="FB236" s="25"/>
      <c r="FC236" s="26"/>
      <c r="FD236" s="24"/>
      <c r="FE236" s="24"/>
      <c r="FF236" s="24"/>
      <c r="FG236" s="24"/>
      <c r="FH236" s="24"/>
      <c r="FI236" s="24"/>
      <c r="FJ236" s="24"/>
      <c r="FK236" s="24"/>
      <c r="FL236" s="24"/>
      <c r="FM236" s="24"/>
      <c r="FN236" s="24"/>
      <c r="FO236" s="27">
        <f t="shared" ref="FO236:FV236" si="229">IFERROR(R236*1,0)+IFERROR(AE236*1,0)+IFERROR(AR236*1,0)+IFERROR(BE236*1,0)+IFERROR(BR236*1,0)+IFERROR(CE236*1,0)+IFERROR(CR236*1,0)+IFERROR(DE236*1,0)+IFERROR(DR236*1,0)+IFERROR(EE236*1,0)+IFERROR(ER236*1,0)+IFERROR(FE236*1,0)</f>
        <v>0</v>
      </c>
      <c r="FP236" s="27">
        <f t="shared" si="229"/>
        <v>0</v>
      </c>
      <c r="FQ236" s="27">
        <f t="shared" si="229"/>
        <v>0</v>
      </c>
      <c r="FR236" s="27">
        <f t="shared" si="229"/>
        <v>0</v>
      </c>
      <c r="FS236" s="27">
        <f t="shared" si="229"/>
        <v>0</v>
      </c>
      <c r="FT236" s="27">
        <f t="shared" si="229"/>
        <v>0</v>
      </c>
      <c r="FU236" s="27">
        <f t="shared" si="229"/>
        <v>0</v>
      </c>
      <c r="FV236" s="27">
        <f t="shared" si="229"/>
        <v>0</v>
      </c>
      <c r="FW236" s="28"/>
      <c r="FX236" s="29">
        <f t="shared" si="3"/>
        <v>0</v>
      </c>
    </row>
    <row r="237" spans="1:180" ht="18" customHeight="1" x14ac:dyDescent="0.25">
      <c r="A237" s="3" t="str">
        <f>IF(C237&lt;&gt;"","DRG-"&amp;TEXT(232,"000"),"")</f>
        <v/>
      </c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7">
        <v>4</v>
      </c>
      <c r="M237" s="30" t="str">
        <f t="shared" si="0"/>
        <v>✘ Pending</v>
      </c>
      <c r="N237" s="30">
        <f t="shared" si="1"/>
        <v>0</v>
      </c>
      <c r="O237" s="31"/>
      <c r="P237" s="32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1"/>
      <c r="AC237" s="32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1"/>
      <c r="AP237" s="32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1"/>
      <c r="BC237" s="32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1"/>
      <c r="BP237" s="32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1"/>
      <c r="CC237" s="32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1"/>
      <c r="CP237" s="32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1"/>
      <c r="DC237" s="32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1"/>
      <c r="DP237" s="32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1"/>
      <c r="EC237" s="32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1"/>
      <c r="EP237" s="32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1"/>
      <c r="FC237" s="32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4">
        <f t="shared" ref="FO237:FV237" si="230">IFERROR(R237*1,0)+IFERROR(AE237*1,0)+IFERROR(AR237*1,0)+IFERROR(BE237*1,0)+IFERROR(BR237*1,0)+IFERROR(CE237*1,0)+IFERROR(CR237*1,0)+IFERROR(DE237*1,0)+IFERROR(DR237*1,0)+IFERROR(EE237*1,0)+IFERROR(ER237*1,0)+IFERROR(FE237*1,0)</f>
        <v>0</v>
      </c>
      <c r="FP237" s="34">
        <f t="shared" si="230"/>
        <v>0</v>
      </c>
      <c r="FQ237" s="34">
        <f t="shared" si="230"/>
        <v>0</v>
      </c>
      <c r="FR237" s="34">
        <f t="shared" si="230"/>
        <v>0</v>
      </c>
      <c r="FS237" s="34">
        <f t="shared" si="230"/>
        <v>0</v>
      </c>
      <c r="FT237" s="34">
        <f t="shared" si="230"/>
        <v>0</v>
      </c>
      <c r="FU237" s="34">
        <f t="shared" si="230"/>
        <v>0</v>
      </c>
      <c r="FV237" s="34">
        <f t="shared" si="230"/>
        <v>0</v>
      </c>
      <c r="FW237" s="28"/>
      <c r="FX237" s="29">
        <f t="shared" si="3"/>
        <v>0</v>
      </c>
    </row>
    <row r="238" spans="1:180" ht="18" customHeight="1" x14ac:dyDescent="0.25">
      <c r="A238" s="3" t="str">
        <f>IF(C238&lt;&gt;"","DRG-"&amp;TEXT(233,"000"),"")</f>
        <v/>
      </c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38">
        <v>4</v>
      </c>
      <c r="M238" s="23" t="str">
        <f t="shared" si="0"/>
        <v>✘ Pending</v>
      </c>
      <c r="N238" s="23">
        <f t="shared" si="1"/>
        <v>0</v>
      </c>
      <c r="O238" s="25"/>
      <c r="P238" s="26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  <c r="AB238" s="25"/>
      <c r="AC238" s="26"/>
      <c r="AD238" s="24"/>
      <c r="AE238" s="24"/>
      <c r="AF238" s="24"/>
      <c r="AG238" s="24"/>
      <c r="AH238" s="24"/>
      <c r="AI238" s="24"/>
      <c r="AJ238" s="24"/>
      <c r="AK238" s="24"/>
      <c r="AL238" s="24"/>
      <c r="AM238" s="24"/>
      <c r="AN238" s="24"/>
      <c r="AO238" s="25"/>
      <c r="AP238" s="26"/>
      <c r="AQ238" s="24"/>
      <c r="AR238" s="24"/>
      <c r="AS238" s="24"/>
      <c r="AT238" s="24"/>
      <c r="AU238" s="24"/>
      <c r="AV238" s="24"/>
      <c r="AW238" s="24"/>
      <c r="AX238" s="24"/>
      <c r="AY238" s="24"/>
      <c r="AZ238" s="24"/>
      <c r="BA238" s="24"/>
      <c r="BB238" s="25"/>
      <c r="BC238" s="26"/>
      <c r="BD238" s="24"/>
      <c r="BE238" s="24"/>
      <c r="BF238" s="24"/>
      <c r="BG238" s="24"/>
      <c r="BH238" s="24"/>
      <c r="BI238" s="24"/>
      <c r="BJ238" s="24"/>
      <c r="BK238" s="24"/>
      <c r="BL238" s="24"/>
      <c r="BM238" s="24"/>
      <c r="BN238" s="24"/>
      <c r="BO238" s="25"/>
      <c r="BP238" s="26"/>
      <c r="BQ238" s="24"/>
      <c r="BR238" s="24"/>
      <c r="BS238" s="24"/>
      <c r="BT238" s="24"/>
      <c r="BU238" s="24"/>
      <c r="BV238" s="24"/>
      <c r="BW238" s="24"/>
      <c r="BX238" s="24"/>
      <c r="BY238" s="24"/>
      <c r="BZ238" s="24"/>
      <c r="CA238" s="24"/>
      <c r="CB238" s="25"/>
      <c r="CC238" s="26"/>
      <c r="CD238" s="24"/>
      <c r="CE238" s="24"/>
      <c r="CF238" s="24"/>
      <c r="CG238" s="24"/>
      <c r="CH238" s="24"/>
      <c r="CI238" s="24"/>
      <c r="CJ238" s="24"/>
      <c r="CK238" s="24"/>
      <c r="CL238" s="24"/>
      <c r="CM238" s="24"/>
      <c r="CN238" s="24"/>
      <c r="CO238" s="25"/>
      <c r="CP238" s="26"/>
      <c r="CQ238" s="24"/>
      <c r="CR238" s="24"/>
      <c r="CS238" s="24"/>
      <c r="CT238" s="24"/>
      <c r="CU238" s="24"/>
      <c r="CV238" s="24"/>
      <c r="CW238" s="24"/>
      <c r="CX238" s="24"/>
      <c r="CY238" s="24"/>
      <c r="CZ238" s="24"/>
      <c r="DA238" s="24"/>
      <c r="DB238" s="25"/>
      <c r="DC238" s="26"/>
      <c r="DD238" s="24"/>
      <c r="DE238" s="24"/>
      <c r="DF238" s="24"/>
      <c r="DG238" s="24"/>
      <c r="DH238" s="24"/>
      <c r="DI238" s="24"/>
      <c r="DJ238" s="24"/>
      <c r="DK238" s="24"/>
      <c r="DL238" s="24"/>
      <c r="DM238" s="24"/>
      <c r="DN238" s="24"/>
      <c r="DO238" s="25"/>
      <c r="DP238" s="26"/>
      <c r="DQ238" s="24"/>
      <c r="DR238" s="24"/>
      <c r="DS238" s="24"/>
      <c r="DT238" s="24"/>
      <c r="DU238" s="24"/>
      <c r="DV238" s="24"/>
      <c r="DW238" s="24"/>
      <c r="DX238" s="24"/>
      <c r="DY238" s="24"/>
      <c r="DZ238" s="24"/>
      <c r="EA238" s="24"/>
      <c r="EB238" s="25"/>
      <c r="EC238" s="26"/>
      <c r="ED238" s="24"/>
      <c r="EE238" s="24"/>
      <c r="EF238" s="24"/>
      <c r="EG238" s="24"/>
      <c r="EH238" s="24"/>
      <c r="EI238" s="24"/>
      <c r="EJ238" s="24"/>
      <c r="EK238" s="24"/>
      <c r="EL238" s="24"/>
      <c r="EM238" s="24"/>
      <c r="EN238" s="24"/>
      <c r="EO238" s="25"/>
      <c r="EP238" s="26"/>
      <c r="EQ238" s="24"/>
      <c r="ER238" s="24"/>
      <c r="ES238" s="24"/>
      <c r="ET238" s="24"/>
      <c r="EU238" s="24"/>
      <c r="EV238" s="24"/>
      <c r="EW238" s="24"/>
      <c r="EX238" s="24"/>
      <c r="EY238" s="24"/>
      <c r="EZ238" s="24"/>
      <c r="FA238" s="24"/>
      <c r="FB238" s="25"/>
      <c r="FC238" s="26"/>
      <c r="FD238" s="24"/>
      <c r="FE238" s="24"/>
      <c r="FF238" s="24"/>
      <c r="FG238" s="24"/>
      <c r="FH238" s="24"/>
      <c r="FI238" s="24"/>
      <c r="FJ238" s="24"/>
      <c r="FK238" s="24"/>
      <c r="FL238" s="24"/>
      <c r="FM238" s="24"/>
      <c r="FN238" s="24"/>
      <c r="FO238" s="27">
        <f t="shared" ref="FO238:FV238" si="231">IFERROR(R238*1,0)+IFERROR(AE238*1,0)+IFERROR(AR238*1,0)+IFERROR(BE238*1,0)+IFERROR(BR238*1,0)+IFERROR(CE238*1,0)+IFERROR(CR238*1,0)+IFERROR(DE238*1,0)+IFERROR(DR238*1,0)+IFERROR(EE238*1,0)+IFERROR(ER238*1,0)+IFERROR(FE238*1,0)</f>
        <v>0</v>
      </c>
      <c r="FP238" s="27">
        <f t="shared" si="231"/>
        <v>0</v>
      </c>
      <c r="FQ238" s="27">
        <f t="shared" si="231"/>
        <v>0</v>
      </c>
      <c r="FR238" s="27">
        <f t="shared" si="231"/>
        <v>0</v>
      </c>
      <c r="FS238" s="27">
        <f t="shared" si="231"/>
        <v>0</v>
      </c>
      <c r="FT238" s="27">
        <f t="shared" si="231"/>
        <v>0</v>
      </c>
      <c r="FU238" s="27">
        <f t="shared" si="231"/>
        <v>0</v>
      </c>
      <c r="FV238" s="27">
        <f t="shared" si="231"/>
        <v>0</v>
      </c>
      <c r="FW238" s="28"/>
      <c r="FX238" s="29">
        <f t="shared" si="3"/>
        <v>0</v>
      </c>
    </row>
    <row r="239" spans="1:180" ht="18" customHeight="1" x14ac:dyDescent="0.25">
      <c r="A239" s="3" t="str">
        <f>IF(C239&lt;&gt;"","DRG-"&amp;TEXT(234,"000"),"")</f>
        <v/>
      </c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7">
        <v>4</v>
      </c>
      <c r="M239" s="30" t="str">
        <f t="shared" si="0"/>
        <v>✘ Pending</v>
      </c>
      <c r="N239" s="30">
        <f t="shared" si="1"/>
        <v>0</v>
      </c>
      <c r="O239" s="31"/>
      <c r="P239" s="32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1"/>
      <c r="AC239" s="32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1"/>
      <c r="AP239" s="32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1"/>
      <c r="BC239" s="32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1"/>
      <c r="BP239" s="32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1"/>
      <c r="CC239" s="32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1"/>
      <c r="CP239" s="32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1"/>
      <c r="DC239" s="32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1"/>
      <c r="DP239" s="32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1"/>
      <c r="EC239" s="32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1"/>
      <c r="EP239" s="32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1"/>
      <c r="FC239" s="32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4">
        <f t="shared" ref="FO239:FV239" si="232">IFERROR(R239*1,0)+IFERROR(AE239*1,0)+IFERROR(AR239*1,0)+IFERROR(BE239*1,0)+IFERROR(BR239*1,0)+IFERROR(CE239*1,0)+IFERROR(CR239*1,0)+IFERROR(DE239*1,0)+IFERROR(DR239*1,0)+IFERROR(EE239*1,0)+IFERROR(ER239*1,0)+IFERROR(FE239*1,0)</f>
        <v>0</v>
      </c>
      <c r="FP239" s="34">
        <f t="shared" si="232"/>
        <v>0</v>
      </c>
      <c r="FQ239" s="34">
        <f t="shared" si="232"/>
        <v>0</v>
      </c>
      <c r="FR239" s="34">
        <f t="shared" si="232"/>
        <v>0</v>
      </c>
      <c r="FS239" s="34">
        <f t="shared" si="232"/>
        <v>0</v>
      </c>
      <c r="FT239" s="34">
        <f t="shared" si="232"/>
        <v>0</v>
      </c>
      <c r="FU239" s="34">
        <f t="shared" si="232"/>
        <v>0</v>
      </c>
      <c r="FV239" s="34">
        <f t="shared" si="232"/>
        <v>0</v>
      </c>
      <c r="FW239" s="28"/>
      <c r="FX239" s="29">
        <f t="shared" si="3"/>
        <v>0</v>
      </c>
    </row>
    <row r="240" spans="1:180" ht="18" customHeight="1" x14ac:dyDescent="0.25">
      <c r="A240" s="3" t="str">
        <f>IF(C240&lt;&gt;"","DRG-"&amp;TEXT(235,"000"),"")</f>
        <v/>
      </c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38">
        <v>4</v>
      </c>
      <c r="M240" s="23" t="str">
        <f t="shared" si="0"/>
        <v>✘ Pending</v>
      </c>
      <c r="N240" s="23">
        <f t="shared" si="1"/>
        <v>0</v>
      </c>
      <c r="O240" s="25"/>
      <c r="P240" s="26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  <c r="AB240" s="25"/>
      <c r="AC240" s="26"/>
      <c r="AD240" s="24"/>
      <c r="AE240" s="24"/>
      <c r="AF240" s="24"/>
      <c r="AG240" s="24"/>
      <c r="AH240" s="24"/>
      <c r="AI240" s="24"/>
      <c r="AJ240" s="24"/>
      <c r="AK240" s="24"/>
      <c r="AL240" s="24"/>
      <c r="AM240" s="24"/>
      <c r="AN240" s="24"/>
      <c r="AO240" s="25"/>
      <c r="AP240" s="26"/>
      <c r="AQ240" s="24"/>
      <c r="AR240" s="24"/>
      <c r="AS240" s="24"/>
      <c r="AT240" s="24"/>
      <c r="AU240" s="24"/>
      <c r="AV240" s="24"/>
      <c r="AW240" s="24"/>
      <c r="AX240" s="24"/>
      <c r="AY240" s="24"/>
      <c r="AZ240" s="24"/>
      <c r="BA240" s="24"/>
      <c r="BB240" s="25"/>
      <c r="BC240" s="26"/>
      <c r="BD240" s="24"/>
      <c r="BE240" s="24"/>
      <c r="BF240" s="24"/>
      <c r="BG240" s="24"/>
      <c r="BH240" s="24"/>
      <c r="BI240" s="24"/>
      <c r="BJ240" s="24"/>
      <c r="BK240" s="24"/>
      <c r="BL240" s="24"/>
      <c r="BM240" s="24"/>
      <c r="BN240" s="24"/>
      <c r="BO240" s="25"/>
      <c r="BP240" s="26"/>
      <c r="BQ240" s="24"/>
      <c r="BR240" s="24"/>
      <c r="BS240" s="24"/>
      <c r="BT240" s="24"/>
      <c r="BU240" s="24"/>
      <c r="BV240" s="24"/>
      <c r="BW240" s="24"/>
      <c r="BX240" s="24"/>
      <c r="BY240" s="24"/>
      <c r="BZ240" s="24"/>
      <c r="CA240" s="24"/>
      <c r="CB240" s="25"/>
      <c r="CC240" s="26"/>
      <c r="CD240" s="24"/>
      <c r="CE240" s="24"/>
      <c r="CF240" s="24"/>
      <c r="CG240" s="24"/>
      <c r="CH240" s="24"/>
      <c r="CI240" s="24"/>
      <c r="CJ240" s="24"/>
      <c r="CK240" s="24"/>
      <c r="CL240" s="24"/>
      <c r="CM240" s="24"/>
      <c r="CN240" s="24"/>
      <c r="CO240" s="25"/>
      <c r="CP240" s="26"/>
      <c r="CQ240" s="24"/>
      <c r="CR240" s="24"/>
      <c r="CS240" s="24"/>
      <c r="CT240" s="24"/>
      <c r="CU240" s="24"/>
      <c r="CV240" s="24"/>
      <c r="CW240" s="24"/>
      <c r="CX240" s="24"/>
      <c r="CY240" s="24"/>
      <c r="CZ240" s="24"/>
      <c r="DA240" s="24"/>
      <c r="DB240" s="25"/>
      <c r="DC240" s="26"/>
      <c r="DD240" s="24"/>
      <c r="DE240" s="24"/>
      <c r="DF240" s="24"/>
      <c r="DG240" s="24"/>
      <c r="DH240" s="24"/>
      <c r="DI240" s="24"/>
      <c r="DJ240" s="24"/>
      <c r="DK240" s="24"/>
      <c r="DL240" s="24"/>
      <c r="DM240" s="24"/>
      <c r="DN240" s="24"/>
      <c r="DO240" s="25"/>
      <c r="DP240" s="26"/>
      <c r="DQ240" s="24"/>
      <c r="DR240" s="24"/>
      <c r="DS240" s="24"/>
      <c r="DT240" s="24"/>
      <c r="DU240" s="24"/>
      <c r="DV240" s="24"/>
      <c r="DW240" s="24"/>
      <c r="DX240" s="24"/>
      <c r="DY240" s="24"/>
      <c r="DZ240" s="24"/>
      <c r="EA240" s="24"/>
      <c r="EB240" s="25"/>
      <c r="EC240" s="26"/>
      <c r="ED240" s="24"/>
      <c r="EE240" s="24"/>
      <c r="EF240" s="24"/>
      <c r="EG240" s="24"/>
      <c r="EH240" s="24"/>
      <c r="EI240" s="24"/>
      <c r="EJ240" s="24"/>
      <c r="EK240" s="24"/>
      <c r="EL240" s="24"/>
      <c r="EM240" s="24"/>
      <c r="EN240" s="24"/>
      <c r="EO240" s="25"/>
      <c r="EP240" s="26"/>
      <c r="EQ240" s="24"/>
      <c r="ER240" s="24"/>
      <c r="ES240" s="24"/>
      <c r="ET240" s="24"/>
      <c r="EU240" s="24"/>
      <c r="EV240" s="24"/>
      <c r="EW240" s="24"/>
      <c r="EX240" s="24"/>
      <c r="EY240" s="24"/>
      <c r="EZ240" s="24"/>
      <c r="FA240" s="24"/>
      <c r="FB240" s="25"/>
      <c r="FC240" s="26"/>
      <c r="FD240" s="24"/>
      <c r="FE240" s="24"/>
      <c r="FF240" s="24"/>
      <c r="FG240" s="24"/>
      <c r="FH240" s="24"/>
      <c r="FI240" s="24"/>
      <c r="FJ240" s="24"/>
      <c r="FK240" s="24"/>
      <c r="FL240" s="24"/>
      <c r="FM240" s="24"/>
      <c r="FN240" s="24"/>
      <c r="FO240" s="27">
        <f t="shared" ref="FO240:FV240" si="233">IFERROR(R240*1,0)+IFERROR(AE240*1,0)+IFERROR(AR240*1,0)+IFERROR(BE240*1,0)+IFERROR(BR240*1,0)+IFERROR(CE240*1,0)+IFERROR(CR240*1,0)+IFERROR(DE240*1,0)+IFERROR(DR240*1,0)+IFERROR(EE240*1,0)+IFERROR(ER240*1,0)+IFERROR(FE240*1,0)</f>
        <v>0</v>
      </c>
      <c r="FP240" s="27">
        <f t="shared" si="233"/>
        <v>0</v>
      </c>
      <c r="FQ240" s="27">
        <f t="shared" si="233"/>
        <v>0</v>
      </c>
      <c r="FR240" s="27">
        <f t="shared" si="233"/>
        <v>0</v>
      </c>
      <c r="FS240" s="27">
        <f t="shared" si="233"/>
        <v>0</v>
      </c>
      <c r="FT240" s="27">
        <f t="shared" si="233"/>
        <v>0</v>
      </c>
      <c r="FU240" s="27">
        <f t="shared" si="233"/>
        <v>0</v>
      </c>
      <c r="FV240" s="27">
        <f t="shared" si="233"/>
        <v>0</v>
      </c>
      <c r="FW240" s="28"/>
      <c r="FX240" s="29">
        <f t="shared" si="3"/>
        <v>0</v>
      </c>
    </row>
    <row r="241" spans="1:180" ht="18" customHeight="1" x14ac:dyDescent="0.25">
      <c r="A241" s="3" t="str">
        <f>IF(C241&lt;&gt;"","DRG-"&amp;TEXT(236,"000"),"")</f>
        <v/>
      </c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7">
        <v>4</v>
      </c>
      <c r="M241" s="30" t="str">
        <f t="shared" si="0"/>
        <v>✘ Pending</v>
      </c>
      <c r="N241" s="30">
        <f t="shared" si="1"/>
        <v>0</v>
      </c>
      <c r="O241" s="31"/>
      <c r="P241" s="32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1"/>
      <c r="AC241" s="32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1"/>
      <c r="AP241" s="32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1"/>
      <c r="BC241" s="32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1"/>
      <c r="BP241" s="32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1"/>
      <c r="CC241" s="32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1"/>
      <c r="CP241" s="32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1"/>
      <c r="DC241" s="32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1"/>
      <c r="DP241" s="32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1"/>
      <c r="EC241" s="32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1"/>
      <c r="EP241" s="32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1"/>
      <c r="FC241" s="32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4">
        <f t="shared" ref="FO241:FV241" si="234">IFERROR(R241*1,0)+IFERROR(AE241*1,0)+IFERROR(AR241*1,0)+IFERROR(BE241*1,0)+IFERROR(BR241*1,0)+IFERROR(CE241*1,0)+IFERROR(CR241*1,0)+IFERROR(DE241*1,0)+IFERROR(DR241*1,0)+IFERROR(EE241*1,0)+IFERROR(ER241*1,0)+IFERROR(FE241*1,0)</f>
        <v>0</v>
      </c>
      <c r="FP241" s="34">
        <f t="shared" si="234"/>
        <v>0</v>
      </c>
      <c r="FQ241" s="34">
        <f t="shared" si="234"/>
        <v>0</v>
      </c>
      <c r="FR241" s="34">
        <f t="shared" si="234"/>
        <v>0</v>
      </c>
      <c r="FS241" s="34">
        <f t="shared" si="234"/>
        <v>0</v>
      </c>
      <c r="FT241" s="34">
        <f t="shared" si="234"/>
        <v>0</v>
      </c>
      <c r="FU241" s="34">
        <f t="shared" si="234"/>
        <v>0</v>
      </c>
      <c r="FV241" s="34">
        <f t="shared" si="234"/>
        <v>0</v>
      </c>
      <c r="FW241" s="28"/>
      <c r="FX241" s="29">
        <f t="shared" si="3"/>
        <v>0</v>
      </c>
    </row>
    <row r="242" spans="1:180" ht="18" customHeight="1" x14ac:dyDescent="0.25">
      <c r="A242" s="3" t="str">
        <f>IF(C242&lt;&gt;"","DRG-"&amp;TEXT(237,"000"),"")</f>
        <v/>
      </c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38">
        <v>4</v>
      </c>
      <c r="M242" s="23" t="str">
        <f t="shared" si="0"/>
        <v>✘ Pending</v>
      </c>
      <c r="N242" s="23">
        <f t="shared" si="1"/>
        <v>0</v>
      </c>
      <c r="O242" s="25"/>
      <c r="P242" s="26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  <c r="AB242" s="25"/>
      <c r="AC242" s="26"/>
      <c r="AD242" s="24"/>
      <c r="AE242" s="24"/>
      <c r="AF242" s="24"/>
      <c r="AG242" s="24"/>
      <c r="AH242" s="24"/>
      <c r="AI242" s="24"/>
      <c r="AJ242" s="24"/>
      <c r="AK242" s="24"/>
      <c r="AL242" s="24"/>
      <c r="AM242" s="24"/>
      <c r="AN242" s="24"/>
      <c r="AO242" s="25"/>
      <c r="AP242" s="26"/>
      <c r="AQ242" s="24"/>
      <c r="AR242" s="24"/>
      <c r="AS242" s="24"/>
      <c r="AT242" s="24"/>
      <c r="AU242" s="24"/>
      <c r="AV242" s="24"/>
      <c r="AW242" s="24"/>
      <c r="AX242" s="24"/>
      <c r="AY242" s="24"/>
      <c r="AZ242" s="24"/>
      <c r="BA242" s="24"/>
      <c r="BB242" s="25"/>
      <c r="BC242" s="26"/>
      <c r="BD242" s="24"/>
      <c r="BE242" s="24"/>
      <c r="BF242" s="24"/>
      <c r="BG242" s="24"/>
      <c r="BH242" s="24"/>
      <c r="BI242" s="24"/>
      <c r="BJ242" s="24"/>
      <c r="BK242" s="24"/>
      <c r="BL242" s="24"/>
      <c r="BM242" s="24"/>
      <c r="BN242" s="24"/>
      <c r="BO242" s="25"/>
      <c r="BP242" s="26"/>
      <c r="BQ242" s="24"/>
      <c r="BR242" s="24"/>
      <c r="BS242" s="24"/>
      <c r="BT242" s="24"/>
      <c r="BU242" s="24"/>
      <c r="BV242" s="24"/>
      <c r="BW242" s="24"/>
      <c r="BX242" s="24"/>
      <c r="BY242" s="24"/>
      <c r="BZ242" s="24"/>
      <c r="CA242" s="24"/>
      <c r="CB242" s="25"/>
      <c r="CC242" s="26"/>
      <c r="CD242" s="24"/>
      <c r="CE242" s="24"/>
      <c r="CF242" s="24"/>
      <c r="CG242" s="24"/>
      <c r="CH242" s="24"/>
      <c r="CI242" s="24"/>
      <c r="CJ242" s="24"/>
      <c r="CK242" s="24"/>
      <c r="CL242" s="24"/>
      <c r="CM242" s="24"/>
      <c r="CN242" s="24"/>
      <c r="CO242" s="25"/>
      <c r="CP242" s="26"/>
      <c r="CQ242" s="24"/>
      <c r="CR242" s="24"/>
      <c r="CS242" s="24"/>
      <c r="CT242" s="24"/>
      <c r="CU242" s="24"/>
      <c r="CV242" s="24"/>
      <c r="CW242" s="24"/>
      <c r="CX242" s="24"/>
      <c r="CY242" s="24"/>
      <c r="CZ242" s="24"/>
      <c r="DA242" s="24"/>
      <c r="DB242" s="25"/>
      <c r="DC242" s="26"/>
      <c r="DD242" s="24"/>
      <c r="DE242" s="24"/>
      <c r="DF242" s="24"/>
      <c r="DG242" s="24"/>
      <c r="DH242" s="24"/>
      <c r="DI242" s="24"/>
      <c r="DJ242" s="24"/>
      <c r="DK242" s="24"/>
      <c r="DL242" s="24"/>
      <c r="DM242" s="24"/>
      <c r="DN242" s="24"/>
      <c r="DO242" s="25"/>
      <c r="DP242" s="26"/>
      <c r="DQ242" s="24"/>
      <c r="DR242" s="24"/>
      <c r="DS242" s="24"/>
      <c r="DT242" s="24"/>
      <c r="DU242" s="24"/>
      <c r="DV242" s="24"/>
      <c r="DW242" s="24"/>
      <c r="DX242" s="24"/>
      <c r="DY242" s="24"/>
      <c r="DZ242" s="24"/>
      <c r="EA242" s="24"/>
      <c r="EB242" s="25"/>
      <c r="EC242" s="26"/>
      <c r="ED242" s="24"/>
      <c r="EE242" s="24"/>
      <c r="EF242" s="24"/>
      <c r="EG242" s="24"/>
      <c r="EH242" s="24"/>
      <c r="EI242" s="24"/>
      <c r="EJ242" s="24"/>
      <c r="EK242" s="24"/>
      <c r="EL242" s="24"/>
      <c r="EM242" s="24"/>
      <c r="EN242" s="24"/>
      <c r="EO242" s="25"/>
      <c r="EP242" s="26"/>
      <c r="EQ242" s="24"/>
      <c r="ER242" s="24"/>
      <c r="ES242" s="24"/>
      <c r="ET242" s="24"/>
      <c r="EU242" s="24"/>
      <c r="EV242" s="24"/>
      <c r="EW242" s="24"/>
      <c r="EX242" s="24"/>
      <c r="EY242" s="24"/>
      <c r="EZ242" s="24"/>
      <c r="FA242" s="24"/>
      <c r="FB242" s="25"/>
      <c r="FC242" s="26"/>
      <c r="FD242" s="24"/>
      <c r="FE242" s="24"/>
      <c r="FF242" s="24"/>
      <c r="FG242" s="24"/>
      <c r="FH242" s="24"/>
      <c r="FI242" s="24"/>
      <c r="FJ242" s="24"/>
      <c r="FK242" s="24"/>
      <c r="FL242" s="24"/>
      <c r="FM242" s="24"/>
      <c r="FN242" s="24"/>
      <c r="FO242" s="27">
        <f t="shared" ref="FO242:FV242" si="235">IFERROR(R242*1,0)+IFERROR(AE242*1,0)+IFERROR(AR242*1,0)+IFERROR(BE242*1,0)+IFERROR(BR242*1,0)+IFERROR(CE242*1,0)+IFERROR(CR242*1,0)+IFERROR(DE242*1,0)+IFERROR(DR242*1,0)+IFERROR(EE242*1,0)+IFERROR(ER242*1,0)+IFERROR(FE242*1,0)</f>
        <v>0</v>
      </c>
      <c r="FP242" s="27">
        <f t="shared" si="235"/>
        <v>0</v>
      </c>
      <c r="FQ242" s="27">
        <f t="shared" si="235"/>
        <v>0</v>
      </c>
      <c r="FR242" s="27">
        <f t="shared" si="235"/>
        <v>0</v>
      </c>
      <c r="FS242" s="27">
        <f t="shared" si="235"/>
        <v>0</v>
      </c>
      <c r="FT242" s="27">
        <f t="shared" si="235"/>
        <v>0</v>
      </c>
      <c r="FU242" s="27">
        <f t="shared" si="235"/>
        <v>0</v>
      </c>
      <c r="FV242" s="27">
        <f t="shared" si="235"/>
        <v>0</v>
      </c>
      <c r="FW242" s="28"/>
      <c r="FX242" s="29">
        <f t="shared" si="3"/>
        <v>0</v>
      </c>
    </row>
    <row r="243" spans="1:180" ht="18" customHeight="1" x14ac:dyDescent="0.25">
      <c r="A243" s="3" t="str">
        <f>IF(C243&lt;&gt;"","DRG-"&amp;TEXT(238,"000"),"")</f>
        <v/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7">
        <v>4</v>
      </c>
      <c r="M243" s="30" t="str">
        <f t="shared" si="0"/>
        <v>✘ Pending</v>
      </c>
      <c r="N243" s="30">
        <f t="shared" si="1"/>
        <v>0</v>
      </c>
      <c r="O243" s="31"/>
      <c r="P243" s="32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1"/>
      <c r="AC243" s="32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1"/>
      <c r="AP243" s="32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1"/>
      <c r="BC243" s="32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1"/>
      <c r="BP243" s="32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1"/>
      <c r="CC243" s="32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1"/>
      <c r="CP243" s="32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1"/>
      <c r="DC243" s="32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1"/>
      <c r="DP243" s="32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1"/>
      <c r="EC243" s="32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1"/>
      <c r="EP243" s="32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1"/>
      <c r="FC243" s="32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4">
        <f t="shared" ref="FO243:FV243" si="236">IFERROR(R243*1,0)+IFERROR(AE243*1,0)+IFERROR(AR243*1,0)+IFERROR(BE243*1,0)+IFERROR(BR243*1,0)+IFERROR(CE243*1,0)+IFERROR(CR243*1,0)+IFERROR(DE243*1,0)+IFERROR(DR243*1,0)+IFERROR(EE243*1,0)+IFERROR(ER243*1,0)+IFERROR(FE243*1,0)</f>
        <v>0</v>
      </c>
      <c r="FP243" s="34">
        <f t="shared" si="236"/>
        <v>0</v>
      </c>
      <c r="FQ243" s="34">
        <f t="shared" si="236"/>
        <v>0</v>
      </c>
      <c r="FR243" s="34">
        <f t="shared" si="236"/>
        <v>0</v>
      </c>
      <c r="FS243" s="34">
        <f t="shared" si="236"/>
        <v>0</v>
      </c>
      <c r="FT243" s="34">
        <f t="shared" si="236"/>
        <v>0</v>
      </c>
      <c r="FU243" s="34">
        <f t="shared" si="236"/>
        <v>0</v>
      </c>
      <c r="FV243" s="34">
        <f t="shared" si="236"/>
        <v>0</v>
      </c>
      <c r="FW243" s="28"/>
      <c r="FX243" s="29">
        <f t="shared" si="3"/>
        <v>0</v>
      </c>
    </row>
    <row r="244" spans="1:180" ht="18" customHeight="1" x14ac:dyDescent="0.25">
      <c r="A244" s="3" t="str">
        <f>IF(C244&lt;&gt;"","DRG-"&amp;TEXT(239,"000"),"")</f>
        <v/>
      </c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38">
        <v>4</v>
      </c>
      <c r="M244" s="23" t="str">
        <f t="shared" si="0"/>
        <v>✘ Pending</v>
      </c>
      <c r="N244" s="23">
        <f t="shared" si="1"/>
        <v>0</v>
      </c>
      <c r="O244" s="25"/>
      <c r="P244" s="26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  <c r="AB244" s="25"/>
      <c r="AC244" s="26"/>
      <c r="AD244" s="24"/>
      <c r="AE244" s="24"/>
      <c r="AF244" s="24"/>
      <c r="AG244" s="24"/>
      <c r="AH244" s="24"/>
      <c r="AI244" s="24"/>
      <c r="AJ244" s="24"/>
      <c r="AK244" s="24"/>
      <c r="AL244" s="24"/>
      <c r="AM244" s="24"/>
      <c r="AN244" s="24"/>
      <c r="AO244" s="25"/>
      <c r="AP244" s="26"/>
      <c r="AQ244" s="24"/>
      <c r="AR244" s="24"/>
      <c r="AS244" s="24"/>
      <c r="AT244" s="24"/>
      <c r="AU244" s="24"/>
      <c r="AV244" s="24"/>
      <c r="AW244" s="24"/>
      <c r="AX244" s="24"/>
      <c r="AY244" s="24"/>
      <c r="AZ244" s="24"/>
      <c r="BA244" s="24"/>
      <c r="BB244" s="25"/>
      <c r="BC244" s="26"/>
      <c r="BD244" s="24"/>
      <c r="BE244" s="24"/>
      <c r="BF244" s="24"/>
      <c r="BG244" s="24"/>
      <c r="BH244" s="24"/>
      <c r="BI244" s="24"/>
      <c r="BJ244" s="24"/>
      <c r="BK244" s="24"/>
      <c r="BL244" s="24"/>
      <c r="BM244" s="24"/>
      <c r="BN244" s="24"/>
      <c r="BO244" s="25"/>
      <c r="BP244" s="26"/>
      <c r="BQ244" s="24"/>
      <c r="BR244" s="24"/>
      <c r="BS244" s="24"/>
      <c r="BT244" s="24"/>
      <c r="BU244" s="24"/>
      <c r="BV244" s="24"/>
      <c r="BW244" s="24"/>
      <c r="BX244" s="24"/>
      <c r="BY244" s="24"/>
      <c r="BZ244" s="24"/>
      <c r="CA244" s="24"/>
      <c r="CB244" s="25"/>
      <c r="CC244" s="26"/>
      <c r="CD244" s="24"/>
      <c r="CE244" s="24"/>
      <c r="CF244" s="24"/>
      <c r="CG244" s="24"/>
      <c r="CH244" s="24"/>
      <c r="CI244" s="24"/>
      <c r="CJ244" s="24"/>
      <c r="CK244" s="24"/>
      <c r="CL244" s="24"/>
      <c r="CM244" s="24"/>
      <c r="CN244" s="24"/>
      <c r="CO244" s="25"/>
      <c r="CP244" s="26"/>
      <c r="CQ244" s="24"/>
      <c r="CR244" s="24"/>
      <c r="CS244" s="24"/>
      <c r="CT244" s="24"/>
      <c r="CU244" s="24"/>
      <c r="CV244" s="24"/>
      <c r="CW244" s="24"/>
      <c r="CX244" s="24"/>
      <c r="CY244" s="24"/>
      <c r="CZ244" s="24"/>
      <c r="DA244" s="24"/>
      <c r="DB244" s="25"/>
      <c r="DC244" s="26"/>
      <c r="DD244" s="24"/>
      <c r="DE244" s="24"/>
      <c r="DF244" s="24"/>
      <c r="DG244" s="24"/>
      <c r="DH244" s="24"/>
      <c r="DI244" s="24"/>
      <c r="DJ244" s="24"/>
      <c r="DK244" s="24"/>
      <c r="DL244" s="24"/>
      <c r="DM244" s="24"/>
      <c r="DN244" s="24"/>
      <c r="DO244" s="25"/>
      <c r="DP244" s="26"/>
      <c r="DQ244" s="24"/>
      <c r="DR244" s="24"/>
      <c r="DS244" s="24"/>
      <c r="DT244" s="24"/>
      <c r="DU244" s="24"/>
      <c r="DV244" s="24"/>
      <c r="DW244" s="24"/>
      <c r="DX244" s="24"/>
      <c r="DY244" s="24"/>
      <c r="DZ244" s="24"/>
      <c r="EA244" s="24"/>
      <c r="EB244" s="25"/>
      <c r="EC244" s="26"/>
      <c r="ED244" s="24"/>
      <c r="EE244" s="24"/>
      <c r="EF244" s="24"/>
      <c r="EG244" s="24"/>
      <c r="EH244" s="24"/>
      <c r="EI244" s="24"/>
      <c r="EJ244" s="24"/>
      <c r="EK244" s="24"/>
      <c r="EL244" s="24"/>
      <c r="EM244" s="24"/>
      <c r="EN244" s="24"/>
      <c r="EO244" s="25"/>
      <c r="EP244" s="26"/>
      <c r="EQ244" s="24"/>
      <c r="ER244" s="24"/>
      <c r="ES244" s="24"/>
      <c r="ET244" s="24"/>
      <c r="EU244" s="24"/>
      <c r="EV244" s="24"/>
      <c r="EW244" s="24"/>
      <c r="EX244" s="24"/>
      <c r="EY244" s="24"/>
      <c r="EZ244" s="24"/>
      <c r="FA244" s="24"/>
      <c r="FB244" s="25"/>
      <c r="FC244" s="26"/>
      <c r="FD244" s="24"/>
      <c r="FE244" s="24"/>
      <c r="FF244" s="24"/>
      <c r="FG244" s="24"/>
      <c r="FH244" s="24"/>
      <c r="FI244" s="24"/>
      <c r="FJ244" s="24"/>
      <c r="FK244" s="24"/>
      <c r="FL244" s="24"/>
      <c r="FM244" s="24"/>
      <c r="FN244" s="24"/>
      <c r="FO244" s="27">
        <f t="shared" ref="FO244:FV244" si="237">IFERROR(R244*1,0)+IFERROR(AE244*1,0)+IFERROR(AR244*1,0)+IFERROR(BE244*1,0)+IFERROR(BR244*1,0)+IFERROR(CE244*1,0)+IFERROR(CR244*1,0)+IFERROR(DE244*1,0)+IFERROR(DR244*1,0)+IFERROR(EE244*1,0)+IFERROR(ER244*1,0)+IFERROR(FE244*1,0)</f>
        <v>0</v>
      </c>
      <c r="FP244" s="27">
        <f t="shared" si="237"/>
        <v>0</v>
      </c>
      <c r="FQ244" s="27">
        <f t="shared" si="237"/>
        <v>0</v>
      </c>
      <c r="FR244" s="27">
        <f t="shared" si="237"/>
        <v>0</v>
      </c>
      <c r="FS244" s="27">
        <f t="shared" si="237"/>
        <v>0</v>
      </c>
      <c r="FT244" s="27">
        <f t="shared" si="237"/>
        <v>0</v>
      </c>
      <c r="FU244" s="27">
        <f t="shared" si="237"/>
        <v>0</v>
      </c>
      <c r="FV244" s="27">
        <f t="shared" si="237"/>
        <v>0</v>
      </c>
      <c r="FW244" s="28"/>
      <c r="FX244" s="29">
        <f t="shared" si="3"/>
        <v>0</v>
      </c>
    </row>
    <row r="245" spans="1:180" ht="18" customHeight="1" x14ac:dyDescent="0.25">
      <c r="A245" s="3" t="str">
        <f>IF(C245&lt;&gt;"","DRG-"&amp;TEXT(240,"000"),"")</f>
        <v/>
      </c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7">
        <v>4</v>
      </c>
      <c r="M245" s="30" t="str">
        <f t="shared" si="0"/>
        <v>✘ Pending</v>
      </c>
      <c r="N245" s="30">
        <f t="shared" si="1"/>
        <v>0</v>
      </c>
      <c r="O245" s="31"/>
      <c r="P245" s="32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1"/>
      <c r="AC245" s="32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1"/>
      <c r="AP245" s="32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1"/>
      <c r="BC245" s="32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1"/>
      <c r="BP245" s="32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1"/>
      <c r="CC245" s="32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1"/>
      <c r="CP245" s="32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1"/>
      <c r="DC245" s="32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1"/>
      <c r="DP245" s="32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1"/>
      <c r="EC245" s="32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1"/>
      <c r="EP245" s="32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1"/>
      <c r="FC245" s="32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4">
        <f t="shared" ref="FO245:FV245" si="238">IFERROR(R245*1,0)+IFERROR(AE245*1,0)+IFERROR(AR245*1,0)+IFERROR(BE245*1,0)+IFERROR(BR245*1,0)+IFERROR(CE245*1,0)+IFERROR(CR245*1,0)+IFERROR(DE245*1,0)+IFERROR(DR245*1,0)+IFERROR(EE245*1,0)+IFERROR(ER245*1,0)+IFERROR(FE245*1,0)</f>
        <v>0</v>
      </c>
      <c r="FP245" s="34">
        <f t="shared" si="238"/>
        <v>0</v>
      </c>
      <c r="FQ245" s="34">
        <f t="shared" si="238"/>
        <v>0</v>
      </c>
      <c r="FR245" s="34">
        <f t="shared" si="238"/>
        <v>0</v>
      </c>
      <c r="FS245" s="34">
        <f t="shared" si="238"/>
        <v>0</v>
      </c>
      <c r="FT245" s="34">
        <f t="shared" si="238"/>
        <v>0</v>
      </c>
      <c r="FU245" s="34">
        <f t="shared" si="238"/>
        <v>0</v>
      </c>
      <c r="FV245" s="34">
        <f t="shared" si="238"/>
        <v>0</v>
      </c>
      <c r="FW245" s="28"/>
      <c r="FX245" s="29">
        <f t="shared" si="3"/>
        <v>0</v>
      </c>
    </row>
    <row r="246" spans="1:180" ht="18" customHeight="1" x14ac:dyDescent="0.25">
      <c r="A246" s="3" t="str">
        <f>IF(C246&lt;&gt;"","DRG-"&amp;TEXT(241,"000"),"")</f>
        <v/>
      </c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38">
        <v>4</v>
      </c>
      <c r="M246" s="23" t="str">
        <f t="shared" si="0"/>
        <v>✘ Pending</v>
      </c>
      <c r="N246" s="23">
        <f t="shared" si="1"/>
        <v>0</v>
      </c>
      <c r="O246" s="25"/>
      <c r="P246" s="26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  <c r="AB246" s="25"/>
      <c r="AC246" s="26"/>
      <c r="AD246" s="24"/>
      <c r="AE246" s="24"/>
      <c r="AF246" s="24"/>
      <c r="AG246" s="24"/>
      <c r="AH246" s="24"/>
      <c r="AI246" s="24"/>
      <c r="AJ246" s="24"/>
      <c r="AK246" s="24"/>
      <c r="AL246" s="24"/>
      <c r="AM246" s="24"/>
      <c r="AN246" s="24"/>
      <c r="AO246" s="25"/>
      <c r="AP246" s="26"/>
      <c r="AQ246" s="24"/>
      <c r="AR246" s="24"/>
      <c r="AS246" s="24"/>
      <c r="AT246" s="24"/>
      <c r="AU246" s="24"/>
      <c r="AV246" s="24"/>
      <c r="AW246" s="24"/>
      <c r="AX246" s="24"/>
      <c r="AY246" s="24"/>
      <c r="AZ246" s="24"/>
      <c r="BA246" s="24"/>
      <c r="BB246" s="25"/>
      <c r="BC246" s="26"/>
      <c r="BD246" s="24"/>
      <c r="BE246" s="24"/>
      <c r="BF246" s="24"/>
      <c r="BG246" s="24"/>
      <c r="BH246" s="24"/>
      <c r="BI246" s="24"/>
      <c r="BJ246" s="24"/>
      <c r="BK246" s="24"/>
      <c r="BL246" s="24"/>
      <c r="BM246" s="24"/>
      <c r="BN246" s="24"/>
      <c r="BO246" s="25"/>
      <c r="BP246" s="26"/>
      <c r="BQ246" s="24"/>
      <c r="BR246" s="24"/>
      <c r="BS246" s="24"/>
      <c r="BT246" s="24"/>
      <c r="BU246" s="24"/>
      <c r="BV246" s="24"/>
      <c r="BW246" s="24"/>
      <c r="BX246" s="24"/>
      <c r="BY246" s="24"/>
      <c r="BZ246" s="24"/>
      <c r="CA246" s="24"/>
      <c r="CB246" s="25"/>
      <c r="CC246" s="26"/>
      <c r="CD246" s="24"/>
      <c r="CE246" s="24"/>
      <c r="CF246" s="24"/>
      <c r="CG246" s="24"/>
      <c r="CH246" s="24"/>
      <c r="CI246" s="24"/>
      <c r="CJ246" s="24"/>
      <c r="CK246" s="24"/>
      <c r="CL246" s="24"/>
      <c r="CM246" s="24"/>
      <c r="CN246" s="24"/>
      <c r="CO246" s="25"/>
      <c r="CP246" s="26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5"/>
      <c r="DC246" s="26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5"/>
      <c r="DP246" s="26"/>
      <c r="DQ246" s="24"/>
      <c r="DR246" s="24"/>
      <c r="DS246" s="24"/>
      <c r="DT246" s="24"/>
      <c r="DU246" s="24"/>
      <c r="DV246" s="24"/>
      <c r="DW246" s="24"/>
      <c r="DX246" s="24"/>
      <c r="DY246" s="24"/>
      <c r="DZ246" s="24"/>
      <c r="EA246" s="24"/>
      <c r="EB246" s="25"/>
      <c r="EC246" s="26"/>
      <c r="ED246" s="24"/>
      <c r="EE246" s="24"/>
      <c r="EF246" s="24"/>
      <c r="EG246" s="24"/>
      <c r="EH246" s="24"/>
      <c r="EI246" s="24"/>
      <c r="EJ246" s="24"/>
      <c r="EK246" s="24"/>
      <c r="EL246" s="24"/>
      <c r="EM246" s="24"/>
      <c r="EN246" s="24"/>
      <c r="EO246" s="25"/>
      <c r="EP246" s="26"/>
      <c r="EQ246" s="24"/>
      <c r="ER246" s="24"/>
      <c r="ES246" s="24"/>
      <c r="ET246" s="24"/>
      <c r="EU246" s="24"/>
      <c r="EV246" s="24"/>
      <c r="EW246" s="24"/>
      <c r="EX246" s="24"/>
      <c r="EY246" s="24"/>
      <c r="EZ246" s="24"/>
      <c r="FA246" s="24"/>
      <c r="FB246" s="25"/>
      <c r="FC246" s="26"/>
      <c r="FD246" s="24"/>
      <c r="FE246" s="24"/>
      <c r="FF246" s="24"/>
      <c r="FG246" s="24"/>
      <c r="FH246" s="24"/>
      <c r="FI246" s="24"/>
      <c r="FJ246" s="24"/>
      <c r="FK246" s="24"/>
      <c r="FL246" s="24"/>
      <c r="FM246" s="24"/>
      <c r="FN246" s="24"/>
      <c r="FO246" s="27">
        <f t="shared" ref="FO246:FV246" si="239">IFERROR(R246*1,0)+IFERROR(AE246*1,0)+IFERROR(AR246*1,0)+IFERROR(BE246*1,0)+IFERROR(BR246*1,0)+IFERROR(CE246*1,0)+IFERROR(CR246*1,0)+IFERROR(DE246*1,0)+IFERROR(DR246*1,0)+IFERROR(EE246*1,0)+IFERROR(ER246*1,0)+IFERROR(FE246*1,0)</f>
        <v>0</v>
      </c>
      <c r="FP246" s="27">
        <f t="shared" si="239"/>
        <v>0</v>
      </c>
      <c r="FQ246" s="27">
        <f t="shared" si="239"/>
        <v>0</v>
      </c>
      <c r="FR246" s="27">
        <f t="shared" si="239"/>
        <v>0</v>
      </c>
      <c r="FS246" s="27">
        <f t="shared" si="239"/>
        <v>0</v>
      </c>
      <c r="FT246" s="27">
        <f t="shared" si="239"/>
        <v>0</v>
      </c>
      <c r="FU246" s="27">
        <f t="shared" si="239"/>
        <v>0</v>
      </c>
      <c r="FV246" s="27">
        <f t="shared" si="239"/>
        <v>0</v>
      </c>
      <c r="FW246" s="28"/>
      <c r="FX246" s="29">
        <f t="shared" si="3"/>
        <v>0</v>
      </c>
    </row>
    <row r="247" spans="1:180" ht="18" customHeight="1" x14ac:dyDescent="0.25">
      <c r="A247" s="3" t="str">
        <f>IF(C247&lt;&gt;"","DRG-"&amp;TEXT(242,"000"),"")</f>
        <v/>
      </c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7">
        <v>4</v>
      </c>
      <c r="M247" s="30" t="str">
        <f t="shared" si="0"/>
        <v>✘ Pending</v>
      </c>
      <c r="N247" s="30">
        <f t="shared" si="1"/>
        <v>0</v>
      </c>
      <c r="O247" s="31"/>
      <c r="P247" s="32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1"/>
      <c r="AC247" s="32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1"/>
      <c r="AP247" s="32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1"/>
      <c r="BC247" s="32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1"/>
      <c r="BP247" s="32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1"/>
      <c r="CC247" s="32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1"/>
      <c r="CP247" s="32"/>
      <c r="CQ247" s="33"/>
      <c r="CR247" s="33"/>
      <c r="CS247" s="33"/>
      <c r="CT247" s="33"/>
      <c r="CU247" s="33"/>
      <c r="CV247" s="33"/>
      <c r="CW247" s="33"/>
      <c r="CX247" s="33"/>
      <c r="CY247" s="33"/>
      <c r="CZ247" s="33"/>
      <c r="DA247" s="33"/>
      <c r="DB247" s="31"/>
      <c r="DC247" s="32"/>
      <c r="DD247" s="33"/>
      <c r="DE247" s="33"/>
      <c r="DF247" s="33"/>
      <c r="DG247" s="33"/>
      <c r="DH247" s="33"/>
      <c r="DI247" s="33"/>
      <c r="DJ247" s="33"/>
      <c r="DK247" s="33"/>
      <c r="DL247" s="33"/>
      <c r="DM247" s="33"/>
      <c r="DN247" s="33"/>
      <c r="DO247" s="31"/>
      <c r="DP247" s="32"/>
      <c r="DQ247" s="33"/>
      <c r="DR247" s="33"/>
      <c r="DS247" s="33"/>
      <c r="DT247" s="33"/>
      <c r="DU247" s="33"/>
      <c r="DV247" s="33"/>
      <c r="DW247" s="33"/>
      <c r="DX247" s="33"/>
      <c r="DY247" s="33"/>
      <c r="DZ247" s="33"/>
      <c r="EA247" s="33"/>
      <c r="EB247" s="31"/>
      <c r="EC247" s="32"/>
      <c r="ED247" s="33"/>
      <c r="EE247" s="33"/>
      <c r="EF247" s="33"/>
      <c r="EG247" s="33"/>
      <c r="EH247" s="33"/>
      <c r="EI247" s="33"/>
      <c r="EJ247" s="33"/>
      <c r="EK247" s="33"/>
      <c r="EL247" s="33"/>
      <c r="EM247" s="33"/>
      <c r="EN247" s="33"/>
      <c r="EO247" s="31"/>
      <c r="EP247" s="32"/>
      <c r="EQ247" s="33"/>
      <c r="ER247" s="33"/>
      <c r="ES247" s="33"/>
      <c r="ET247" s="33"/>
      <c r="EU247" s="33"/>
      <c r="EV247" s="33"/>
      <c r="EW247" s="33"/>
      <c r="EX247" s="33"/>
      <c r="EY247" s="33"/>
      <c r="EZ247" s="33"/>
      <c r="FA247" s="33"/>
      <c r="FB247" s="31"/>
      <c r="FC247" s="32"/>
      <c r="FD247" s="33"/>
      <c r="FE247" s="33"/>
      <c r="FF247" s="33"/>
      <c r="FG247" s="33"/>
      <c r="FH247" s="33"/>
      <c r="FI247" s="33"/>
      <c r="FJ247" s="33"/>
      <c r="FK247" s="33"/>
      <c r="FL247" s="33"/>
      <c r="FM247" s="33"/>
      <c r="FN247" s="33"/>
      <c r="FO247" s="34">
        <f t="shared" ref="FO247:FV247" si="240">IFERROR(R247*1,0)+IFERROR(AE247*1,0)+IFERROR(AR247*1,0)+IFERROR(BE247*1,0)+IFERROR(BR247*1,0)+IFERROR(CE247*1,0)+IFERROR(CR247*1,0)+IFERROR(DE247*1,0)+IFERROR(DR247*1,0)+IFERROR(EE247*1,0)+IFERROR(ER247*1,0)+IFERROR(FE247*1,0)</f>
        <v>0</v>
      </c>
      <c r="FP247" s="34">
        <f t="shared" si="240"/>
        <v>0</v>
      </c>
      <c r="FQ247" s="34">
        <f t="shared" si="240"/>
        <v>0</v>
      </c>
      <c r="FR247" s="34">
        <f t="shared" si="240"/>
        <v>0</v>
      </c>
      <c r="FS247" s="34">
        <f t="shared" si="240"/>
        <v>0</v>
      </c>
      <c r="FT247" s="34">
        <f t="shared" si="240"/>
        <v>0</v>
      </c>
      <c r="FU247" s="34">
        <f t="shared" si="240"/>
        <v>0</v>
      </c>
      <c r="FV247" s="34">
        <f t="shared" si="240"/>
        <v>0</v>
      </c>
      <c r="FW247" s="28"/>
      <c r="FX247" s="29">
        <f t="shared" si="3"/>
        <v>0</v>
      </c>
    </row>
    <row r="248" spans="1:180" ht="18" customHeight="1" x14ac:dyDescent="0.25">
      <c r="A248" s="3" t="str">
        <f>IF(C248&lt;&gt;"","DRG-"&amp;TEXT(243,"000"),"")</f>
        <v/>
      </c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38">
        <v>4</v>
      </c>
      <c r="M248" s="23" t="str">
        <f t="shared" si="0"/>
        <v>✘ Pending</v>
      </c>
      <c r="N248" s="23">
        <f t="shared" si="1"/>
        <v>0</v>
      </c>
      <c r="O248" s="25"/>
      <c r="P248" s="26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5"/>
      <c r="AC248" s="26"/>
      <c r="AD248" s="24"/>
      <c r="AE248" s="24"/>
      <c r="AF248" s="24"/>
      <c r="AG248" s="24"/>
      <c r="AH248" s="24"/>
      <c r="AI248" s="24"/>
      <c r="AJ248" s="24"/>
      <c r="AK248" s="24"/>
      <c r="AL248" s="24"/>
      <c r="AM248" s="24"/>
      <c r="AN248" s="24"/>
      <c r="AO248" s="25"/>
      <c r="AP248" s="26"/>
      <c r="AQ248" s="24"/>
      <c r="AR248" s="24"/>
      <c r="AS248" s="24"/>
      <c r="AT248" s="24"/>
      <c r="AU248" s="24"/>
      <c r="AV248" s="24"/>
      <c r="AW248" s="24"/>
      <c r="AX248" s="24"/>
      <c r="AY248" s="24"/>
      <c r="AZ248" s="24"/>
      <c r="BA248" s="24"/>
      <c r="BB248" s="25"/>
      <c r="BC248" s="26"/>
      <c r="BD248" s="24"/>
      <c r="BE248" s="24"/>
      <c r="BF248" s="24"/>
      <c r="BG248" s="24"/>
      <c r="BH248" s="24"/>
      <c r="BI248" s="24"/>
      <c r="BJ248" s="24"/>
      <c r="BK248" s="24"/>
      <c r="BL248" s="24"/>
      <c r="BM248" s="24"/>
      <c r="BN248" s="24"/>
      <c r="BO248" s="25"/>
      <c r="BP248" s="26"/>
      <c r="BQ248" s="24"/>
      <c r="BR248" s="24"/>
      <c r="BS248" s="24"/>
      <c r="BT248" s="24"/>
      <c r="BU248" s="24"/>
      <c r="BV248" s="24"/>
      <c r="BW248" s="24"/>
      <c r="BX248" s="24"/>
      <c r="BY248" s="24"/>
      <c r="BZ248" s="24"/>
      <c r="CA248" s="24"/>
      <c r="CB248" s="25"/>
      <c r="CC248" s="26"/>
      <c r="CD248" s="24"/>
      <c r="CE248" s="24"/>
      <c r="CF248" s="24"/>
      <c r="CG248" s="24"/>
      <c r="CH248" s="24"/>
      <c r="CI248" s="24"/>
      <c r="CJ248" s="24"/>
      <c r="CK248" s="24"/>
      <c r="CL248" s="24"/>
      <c r="CM248" s="24"/>
      <c r="CN248" s="24"/>
      <c r="CO248" s="25"/>
      <c r="CP248" s="26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5"/>
      <c r="DC248" s="26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5"/>
      <c r="DP248" s="26"/>
      <c r="DQ248" s="24"/>
      <c r="DR248" s="24"/>
      <c r="DS248" s="24"/>
      <c r="DT248" s="24"/>
      <c r="DU248" s="24"/>
      <c r="DV248" s="24"/>
      <c r="DW248" s="24"/>
      <c r="DX248" s="24"/>
      <c r="DY248" s="24"/>
      <c r="DZ248" s="24"/>
      <c r="EA248" s="24"/>
      <c r="EB248" s="25"/>
      <c r="EC248" s="26"/>
      <c r="ED248" s="24"/>
      <c r="EE248" s="24"/>
      <c r="EF248" s="24"/>
      <c r="EG248" s="24"/>
      <c r="EH248" s="24"/>
      <c r="EI248" s="24"/>
      <c r="EJ248" s="24"/>
      <c r="EK248" s="24"/>
      <c r="EL248" s="24"/>
      <c r="EM248" s="24"/>
      <c r="EN248" s="24"/>
      <c r="EO248" s="25"/>
      <c r="EP248" s="26"/>
      <c r="EQ248" s="24"/>
      <c r="ER248" s="24"/>
      <c r="ES248" s="24"/>
      <c r="ET248" s="24"/>
      <c r="EU248" s="24"/>
      <c r="EV248" s="24"/>
      <c r="EW248" s="24"/>
      <c r="EX248" s="24"/>
      <c r="EY248" s="24"/>
      <c r="EZ248" s="24"/>
      <c r="FA248" s="24"/>
      <c r="FB248" s="25"/>
      <c r="FC248" s="26"/>
      <c r="FD248" s="24"/>
      <c r="FE248" s="24"/>
      <c r="FF248" s="24"/>
      <c r="FG248" s="24"/>
      <c r="FH248" s="24"/>
      <c r="FI248" s="24"/>
      <c r="FJ248" s="24"/>
      <c r="FK248" s="24"/>
      <c r="FL248" s="24"/>
      <c r="FM248" s="24"/>
      <c r="FN248" s="24"/>
      <c r="FO248" s="27">
        <f t="shared" ref="FO248:FV248" si="241">IFERROR(R248*1,0)+IFERROR(AE248*1,0)+IFERROR(AR248*1,0)+IFERROR(BE248*1,0)+IFERROR(BR248*1,0)+IFERROR(CE248*1,0)+IFERROR(CR248*1,0)+IFERROR(DE248*1,0)+IFERROR(DR248*1,0)+IFERROR(EE248*1,0)+IFERROR(ER248*1,0)+IFERROR(FE248*1,0)</f>
        <v>0</v>
      </c>
      <c r="FP248" s="27">
        <f t="shared" si="241"/>
        <v>0</v>
      </c>
      <c r="FQ248" s="27">
        <f t="shared" si="241"/>
        <v>0</v>
      </c>
      <c r="FR248" s="27">
        <f t="shared" si="241"/>
        <v>0</v>
      </c>
      <c r="FS248" s="27">
        <f t="shared" si="241"/>
        <v>0</v>
      </c>
      <c r="FT248" s="27">
        <f t="shared" si="241"/>
        <v>0</v>
      </c>
      <c r="FU248" s="27">
        <f t="shared" si="241"/>
        <v>0</v>
      </c>
      <c r="FV248" s="27">
        <f t="shared" si="241"/>
        <v>0</v>
      </c>
      <c r="FW248" s="28"/>
      <c r="FX248" s="29">
        <f t="shared" si="3"/>
        <v>0</v>
      </c>
    </row>
    <row r="249" spans="1:180" ht="18" customHeight="1" x14ac:dyDescent="0.25">
      <c r="A249" s="3" t="str">
        <f>IF(C249&lt;&gt;"","DRG-"&amp;TEXT(244,"000"),"")</f>
        <v/>
      </c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7">
        <v>4</v>
      </c>
      <c r="M249" s="30" t="str">
        <f t="shared" si="0"/>
        <v>✘ Pending</v>
      </c>
      <c r="N249" s="30">
        <f t="shared" si="1"/>
        <v>0</v>
      </c>
      <c r="O249" s="31"/>
      <c r="P249" s="32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1"/>
      <c r="AC249" s="32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1"/>
      <c r="AP249" s="32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1"/>
      <c r="BC249" s="32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1"/>
      <c r="BP249" s="32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1"/>
      <c r="CC249" s="32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1"/>
      <c r="CP249" s="32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1"/>
      <c r="DC249" s="32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1"/>
      <c r="DP249" s="32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1"/>
      <c r="EC249" s="32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1"/>
      <c r="EP249" s="32"/>
      <c r="EQ249" s="33"/>
      <c r="ER249" s="33"/>
      <c r="ES249" s="33"/>
      <c r="ET249" s="33"/>
      <c r="EU249" s="33"/>
      <c r="EV249" s="33"/>
      <c r="EW249" s="33"/>
      <c r="EX249" s="33"/>
      <c r="EY249" s="33"/>
      <c r="EZ249" s="33"/>
      <c r="FA249" s="33"/>
      <c r="FB249" s="31"/>
      <c r="FC249" s="32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4">
        <f t="shared" ref="FO249:FV249" si="242">IFERROR(R249*1,0)+IFERROR(AE249*1,0)+IFERROR(AR249*1,0)+IFERROR(BE249*1,0)+IFERROR(BR249*1,0)+IFERROR(CE249*1,0)+IFERROR(CR249*1,0)+IFERROR(DE249*1,0)+IFERROR(DR249*1,0)+IFERROR(EE249*1,0)+IFERROR(ER249*1,0)+IFERROR(FE249*1,0)</f>
        <v>0</v>
      </c>
      <c r="FP249" s="34">
        <f t="shared" si="242"/>
        <v>0</v>
      </c>
      <c r="FQ249" s="34">
        <f t="shared" si="242"/>
        <v>0</v>
      </c>
      <c r="FR249" s="34">
        <f t="shared" si="242"/>
        <v>0</v>
      </c>
      <c r="FS249" s="34">
        <f t="shared" si="242"/>
        <v>0</v>
      </c>
      <c r="FT249" s="34">
        <f t="shared" si="242"/>
        <v>0</v>
      </c>
      <c r="FU249" s="34">
        <f t="shared" si="242"/>
        <v>0</v>
      </c>
      <c r="FV249" s="34">
        <f t="shared" si="242"/>
        <v>0</v>
      </c>
      <c r="FW249" s="28"/>
      <c r="FX249" s="29">
        <f t="shared" si="3"/>
        <v>0</v>
      </c>
    </row>
    <row r="250" spans="1:180" ht="18" customHeight="1" x14ac:dyDescent="0.25">
      <c r="A250" s="3" t="str">
        <f>IF(C250&lt;&gt;"","DRG-"&amp;TEXT(245,"000"),"")</f>
        <v/>
      </c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38">
        <v>4</v>
      </c>
      <c r="M250" s="23" t="str">
        <f t="shared" si="0"/>
        <v>✘ Pending</v>
      </c>
      <c r="N250" s="23">
        <f t="shared" si="1"/>
        <v>0</v>
      </c>
      <c r="O250" s="25"/>
      <c r="P250" s="26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  <c r="AB250" s="25"/>
      <c r="AC250" s="26"/>
      <c r="AD250" s="24"/>
      <c r="AE250" s="24"/>
      <c r="AF250" s="24"/>
      <c r="AG250" s="24"/>
      <c r="AH250" s="24"/>
      <c r="AI250" s="24"/>
      <c r="AJ250" s="24"/>
      <c r="AK250" s="24"/>
      <c r="AL250" s="24"/>
      <c r="AM250" s="24"/>
      <c r="AN250" s="24"/>
      <c r="AO250" s="25"/>
      <c r="AP250" s="26"/>
      <c r="AQ250" s="24"/>
      <c r="AR250" s="24"/>
      <c r="AS250" s="24"/>
      <c r="AT250" s="24"/>
      <c r="AU250" s="24"/>
      <c r="AV250" s="24"/>
      <c r="AW250" s="24"/>
      <c r="AX250" s="24"/>
      <c r="AY250" s="24"/>
      <c r="AZ250" s="24"/>
      <c r="BA250" s="24"/>
      <c r="BB250" s="25"/>
      <c r="BC250" s="26"/>
      <c r="BD250" s="24"/>
      <c r="BE250" s="24"/>
      <c r="BF250" s="24"/>
      <c r="BG250" s="24"/>
      <c r="BH250" s="24"/>
      <c r="BI250" s="24"/>
      <c r="BJ250" s="24"/>
      <c r="BK250" s="24"/>
      <c r="BL250" s="24"/>
      <c r="BM250" s="24"/>
      <c r="BN250" s="24"/>
      <c r="BO250" s="25"/>
      <c r="BP250" s="26"/>
      <c r="BQ250" s="24"/>
      <c r="BR250" s="24"/>
      <c r="BS250" s="24"/>
      <c r="BT250" s="24"/>
      <c r="BU250" s="24"/>
      <c r="BV250" s="24"/>
      <c r="BW250" s="24"/>
      <c r="BX250" s="24"/>
      <c r="BY250" s="24"/>
      <c r="BZ250" s="24"/>
      <c r="CA250" s="24"/>
      <c r="CB250" s="25"/>
      <c r="CC250" s="26"/>
      <c r="CD250" s="24"/>
      <c r="CE250" s="24"/>
      <c r="CF250" s="24"/>
      <c r="CG250" s="24"/>
      <c r="CH250" s="24"/>
      <c r="CI250" s="24"/>
      <c r="CJ250" s="24"/>
      <c r="CK250" s="24"/>
      <c r="CL250" s="24"/>
      <c r="CM250" s="24"/>
      <c r="CN250" s="24"/>
      <c r="CO250" s="25"/>
      <c r="CP250" s="26"/>
      <c r="CQ250" s="24"/>
      <c r="CR250" s="24"/>
      <c r="CS250" s="24"/>
      <c r="CT250" s="24"/>
      <c r="CU250" s="24"/>
      <c r="CV250" s="24"/>
      <c r="CW250" s="24"/>
      <c r="CX250" s="24"/>
      <c r="CY250" s="24"/>
      <c r="CZ250" s="24"/>
      <c r="DA250" s="24"/>
      <c r="DB250" s="25"/>
      <c r="DC250" s="26"/>
      <c r="DD250" s="24"/>
      <c r="DE250" s="24"/>
      <c r="DF250" s="24"/>
      <c r="DG250" s="24"/>
      <c r="DH250" s="24"/>
      <c r="DI250" s="24"/>
      <c r="DJ250" s="24"/>
      <c r="DK250" s="24"/>
      <c r="DL250" s="24"/>
      <c r="DM250" s="24"/>
      <c r="DN250" s="24"/>
      <c r="DO250" s="25"/>
      <c r="DP250" s="26"/>
      <c r="DQ250" s="24"/>
      <c r="DR250" s="24"/>
      <c r="DS250" s="24"/>
      <c r="DT250" s="24"/>
      <c r="DU250" s="24"/>
      <c r="DV250" s="24"/>
      <c r="DW250" s="24"/>
      <c r="DX250" s="24"/>
      <c r="DY250" s="24"/>
      <c r="DZ250" s="24"/>
      <c r="EA250" s="24"/>
      <c r="EB250" s="25"/>
      <c r="EC250" s="26"/>
      <c r="ED250" s="24"/>
      <c r="EE250" s="24"/>
      <c r="EF250" s="24"/>
      <c r="EG250" s="24"/>
      <c r="EH250" s="24"/>
      <c r="EI250" s="24"/>
      <c r="EJ250" s="24"/>
      <c r="EK250" s="24"/>
      <c r="EL250" s="24"/>
      <c r="EM250" s="24"/>
      <c r="EN250" s="24"/>
      <c r="EO250" s="25"/>
      <c r="EP250" s="26"/>
      <c r="EQ250" s="24"/>
      <c r="ER250" s="24"/>
      <c r="ES250" s="24"/>
      <c r="ET250" s="24"/>
      <c r="EU250" s="24"/>
      <c r="EV250" s="24"/>
      <c r="EW250" s="24"/>
      <c r="EX250" s="24"/>
      <c r="EY250" s="24"/>
      <c r="EZ250" s="24"/>
      <c r="FA250" s="24"/>
      <c r="FB250" s="25"/>
      <c r="FC250" s="26"/>
      <c r="FD250" s="24"/>
      <c r="FE250" s="24"/>
      <c r="FF250" s="24"/>
      <c r="FG250" s="24"/>
      <c r="FH250" s="24"/>
      <c r="FI250" s="24"/>
      <c r="FJ250" s="24"/>
      <c r="FK250" s="24"/>
      <c r="FL250" s="24"/>
      <c r="FM250" s="24"/>
      <c r="FN250" s="24"/>
      <c r="FO250" s="27">
        <f t="shared" ref="FO250:FV250" si="243">IFERROR(R250*1,0)+IFERROR(AE250*1,0)+IFERROR(AR250*1,0)+IFERROR(BE250*1,0)+IFERROR(BR250*1,0)+IFERROR(CE250*1,0)+IFERROR(CR250*1,0)+IFERROR(DE250*1,0)+IFERROR(DR250*1,0)+IFERROR(EE250*1,0)+IFERROR(ER250*1,0)+IFERROR(FE250*1,0)</f>
        <v>0</v>
      </c>
      <c r="FP250" s="27">
        <f t="shared" si="243"/>
        <v>0</v>
      </c>
      <c r="FQ250" s="27">
        <f t="shared" si="243"/>
        <v>0</v>
      </c>
      <c r="FR250" s="27">
        <f t="shared" si="243"/>
        <v>0</v>
      </c>
      <c r="FS250" s="27">
        <f t="shared" si="243"/>
        <v>0</v>
      </c>
      <c r="FT250" s="27">
        <f t="shared" si="243"/>
        <v>0</v>
      </c>
      <c r="FU250" s="27">
        <f t="shared" si="243"/>
        <v>0</v>
      </c>
      <c r="FV250" s="27">
        <f t="shared" si="243"/>
        <v>0</v>
      </c>
      <c r="FW250" s="28"/>
      <c r="FX250" s="29">
        <f t="shared" si="3"/>
        <v>0</v>
      </c>
    </row>
    <row r="251" spans="1:180" ht="18" customHeight="1" x14ac:dyDescent="0.25">
      <c r="A251" s="3" t="str">
        <f>IF(C251&lt;&gt;"","DRG-"&amp;TEXT(246,"000"),"")</f>
        <v/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7">
        <v>4</v>
      </c>
      <c r="M251" s="30" t="str">
        <f t="shared" si="0"/>
        <v>✘ Pending</v>
      </c>
      <c r="N251" s="30">
        <f t="shared" si="1"/>
        <v>0</v>
      </c>
      <c r="O251" s="31"/>
      <c r="P251" s="32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1"/>
      <c r="AC251" s="32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1"/>
      <c r="AP251" s="32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1"/>
      <c r="BC251" s="32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1"/>
      <c r="BP251" s="32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1"/>
      <c r="CC251" s="32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1"/>
      <c r="CP251" s="32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1"/>
      <c r="DC251" s="32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1"/>
      <c r="DP251" s="32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1"/>
      <c r="EC251" s="32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1"/>
      <c r="EP251" s="32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1"/>
      <c r="FC251" s="32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/>
      <c r="FO251" s="34">
        <f t="shared" ref="FO251:FV251" si="244">IFERROR(R251*1,0)+IFERROR(AE251*1,0)+IFERROR(AR251*1,0)+IFERROR(BE251*1,0)+IFERROR(BR251*1,0)+IFERROR(CE251*1,0)+IFERROR(CR251*1,0)+IFERROR(DE251*1,0)+IFERROR(DR251*1,0)+IFERROR(EE251*1,0)+IFERROR(ER251*1,0)+IFERROR(FE251*1,0)</f>
        <v>0</v>
      </c>
      <c r="FP251" s="34">
        <f t="shared" si="244"/>
        <v>0</v>
      </c>
      <c r="FQ251" s="34">
        <f t="shared" si="244"/>
        <v>0</v>
      </c>
      <c r="FR251" s="34">
        <f t="shared" si="244"/>
        <v>0</v>
      </c>
      <c r="FS251" s="34">
        <f t="shared" si="244"/>
        <v>0</v>
      </c>
      <c r="FT251" s="34">
        <f t="shared" si="244"/>
        <v>0</v>
      </c>
      <c r="FU251" s="34">
        <f t="shared" si="244"/>
        <v>0</v>
      </c>
      <c r="FV251" s="34">
        <f t="shared" si="244"/>
        <v>0</v>
      </c>
      <c r="FW251" s="28"/>
      <c r="FX251" s="29">
        <f t="shared" si="3"/>
        <v>0</v>
      </c>
    </row>
    <row r="252" spans="1:180" ht="18" customHeight="1" x14ac:dyDescent="0.25">
      <c r="A252" s="3" t="str">
        <f>IF(C252&lt;&gt;"","DRG-"&amp;TEXT(247,"000"),"")</f>
        <v/>
      </c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38">
        <v>4</v>
      </c>
      <c r="M252" s="23" t="str">
        <f t="shared" si="0"/>
        <v>✘ Pending</v>
      </c>
      <c r="N252" s="23">
        <f t="shared" si="1"/>
        <v>0</v>
      </c>
      <c r="O252" s="25"/>
      <c r="P252" s="26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  <c r="AB252" s="25"/>
      <c r="AC252" s="26"/>
      <c r="AD252" s="24"/>
      <c r="AE252" s="24"/>
      <c r="AF252" s="24"/>
      <c r="AG252" s="24"/>
      <c r="AH252" s="24"/>
      <c r="AI252" s="24"/>
      <c r="AJ252" s="24"/>
      <c r="AK252" s="24"/>
      <c r="AL252" s="24"/>
      <c r="AM252" s="24"/>
      <c r="AN252" s="24"/>
      <c r="AO252" s="25"/>
      <c r="AP252" s="26"/>
      <c r="AQ252" s="24"/>
      <c r="AR252" s="24"/>
      <c r="AS252" s="24"/>
      <c r="AT252" s="24"/>
      <c r="AU252" s="24"/>
      <c r="AV252" s="24"/>
      <c r="AW252" s="24"/>
      <c r="AX252" s="24"/>
      <c r="AY252" s="24"/>
      <c r="AZ252" s="24"/>
      <c r="BA252" s="24"/>
      <c r="BB252" s="25"/>
      <c r="BC252" s="26"/>
      <c r="BD252" s="24"/>
      <c r="BE252" s="24"/>
      <c r="BF252" s="24"/>
      <c r="BG252" s="24"/>
      <c r="BH252" s="24"/>
      <c r="BI252" s="24"/>
      <c r="BJ252" s="24"/>
      <c r="BK252" s="24"/>
      <c r="BL252" s="24"/>
      <c r="BM252" s="24"/>
      <c r="BN252" s="24"/>
      <c r="BO252" s="25"/>
      <c r="BP252" s="26"/>
      <c r="BQ252" s="24"/>
      <c r="BR252" s="24"/>
      <c r="BS252" s="24"/>
      <c r="BT252" s="24"/>
      <c r="BU252" s="24"/>
      <c r="BV252" s="24"/>
      <c r="BW252" s="24"/>
      <c r="BX252" s="24"/>
      <c r="BY252" s="24"/>
      <c r="BZ252" s="24"/>
      <c r="CA252" s="24"/>
      <c r="CB252" s="25"/>
      <c r="CC252" s="26"/>
      <c r="CD252" s="24"/>
      <c r="CE252" s="24"/>
      <c r="CF252" s="24"/>
      <c r="CG252" s="24"/>
      <c r="CH252" s="24"/>
      <c r="CI252" s="24"/>
      <c r="CJ252" s="24"/>
      <c r="CK252" s="24"/>
      <c r="CL252" s="24"/>
      <c r="CM252" s="24"/>
      <c r="CN252" s="24"/>
      <c r="CO252" s="25"/>
      <c r="CP252" s="26"/>
      <c r="CQ252" s="24"/>
      <c r="CR252" s="24"/>
      <c r="CS252" s="24"/>
      <c r="CT252" s="24"/>
      <c r="CU252" s="24"/>
      <c r="CV252" s="24"/>
      <c r="CW252" s="24"/>
      <c r="CX252" s="24"/>
      <c r="CY252" s="24"/>
      <c r="CZ252" s="24"/>
      <c r="DA252" s="24"/>
      <c r="DB252" s="25"/>
      <c r="DC252" s="26"/>
      <c r="DD252" s="24"/>
      <c r="DE252" s="24"/>
      <c r="DF252" s="24"/>
      <c r="DG252" s="24"/>
      <c r="DH252" s="24"/>
      <c r="DI252" s="24"/>
      <c r="DJ252" s="24"/>
      <c r="DK252" s="24"/>
      <c r="DL252" s="24"/>
      <c r="DM252" s="24"/>
      <c r="DN252" s="24"/>
      <c r="DO252" s="25"/>
      <c r="DP252" s="26"/>
      <c r="DQ252" s="24"/>
      <c r="DR252" s="24"/>
      <c r="DS252" s="24"/>
      <c r="DT252" s="24"/>
      <c r="DU252" s="24"/>
      <c r="DV252" s="24"/>
      <c r="DW252" s="24"/>
      <c r="DX252" s="24"/>
      <c r="DY252" s="24"/>
      <c r="DZ252" s="24"/>
      <c r="EA252" s="24"/>
      <c r="EB252" s="25"/>
      <c r="EC252" s="26"/>
      <c r="ED252" s="24"/>
      <c r="EE252" s="24"/>
      <c r="EF252" s="24"/>
      <c r="EG252" s="24"/>
      <c r="EH252" s="24"/>
      <c r="EI252" s="24"/>
      <c r="EJ252" s="24"/>
      <c r="EK252" s="24"/>
      <c r="EL252" s="24"/>
      <c r="EM252" s="24"/>
      <c r="EN252" s="24"/>
      <c r="EO252" s="25"/>
      <c r="EP252" s="26"/>
      <c r="EQ252" s="24"/>
      <c r="ER252" s="24"/>
      <c r="ES252" s="24"/>
      <c r="ET252" s="24"/>
      <c r="EU252" s="24"/>
      <c r="EV252" s="24"/>
      <c r="EW252" s="24"/>
      <c r="EX252" s="24"/>
      <c r="EY252" s="24"/>
      <c r="EZ252" s="24"/>
      <c r="FA252" s="24"/>
      <c r="FB252" s="25"/>
      <c r="FC252" s="26"/>
      <c r="FD252" s="24"/>
      <c r="FE252" s="24"/>
      <c r="FF252" s="24"/>
      <c r="FG252" s="24"/>
      <c r="FH252" s="24"/>
      <c r="FI252" s="24"/>
      <c r="FJ252" s="24"/>
      <c r="FK252" s="24"/>
      <c r="FL252" s="24"/>
      <c r="FM252" s="24"/>
      <c r="FN252" s="24"/>
      <c r="FO252" s="27">
        <f t="shared" ref="FO252:FV252" si="245">IFERROR(R252*1,0)+IFERROR(AE252*1,0)+IFERROR(AR252*1,0)+IFERROR(BE252*1,0)+IFERROR(BR252*1,0)+IFERROR(CE252*1,0)+IFERROR(CR252*1,0)+IFERROR(DE252*1,0)+IFERROR(DR252*1,0)+IFERROR(EE252*1,0)+IFERROR(ER252*1,0)+IFERROR(FE252*1,0)</f>
        <v>0</v>
      </c>
      <c r="FP252" s="27">
        <f t="shared" si="245"/>
        <v>0</v>
      </c>
      <c r="FQ252" s="27">
        <f t="shared" si="245"/>
        <v>0</v>
      </c>
      <c r="FR252" s="27">
        <f t="shared" si="245"/>
        <v>0</v>
      </c>
      <c r="FS252" s="27">
        <f t="shared" si="245"/>
        <v>0</v>
      </c>
      <c r="FT252" s="27">
        <f t="shared" si="245"/>
        <v>0</v>
      </c>
      <c r="FU252" s="27">
        <f t="shared" si="245"/>
        <v>0</v>
      </c>
      <c r="FV252" s="27">
        <f t="shared" si="245"/>
        <v>0</v>
      </c>
      <c r="FW252" s="28"/>
      <c r="FX252" s="29">
        <f t="shared" si="3"/>
        <v>0</v>
      </c>
    </row>
    <row r="253" spans="1:180" ht="18" customHeight="1" x14ac:dyDescent="0.25">
      <c r="A253" s="3" t="str">
        <f>IF(C253&lt;&gt;"","DRG-"&amp;TEXT(248,"000"),"")</f>
        <v/>
      </c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7">
        <v>4</v>
      </c>
      <c r="M253" s="30" t="str">
        <f t="shared" si="0"/>
        <v>✘ Pending</v>
      </c>
      <c r="N253" s="30">
        <f t="shared" si="1"/>
        <v>0</v>
      </c>
      <c r="O253" s="31"/>
      <c r="P253" s="32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1"/>
      <c r="AC253" s="32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1"/>
      <c r="AP253" s="32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1"/>
      <c r="BC253" s="32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1"/>
      <c r="BP253" s="32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1"/>
      <c r="CC253" s="32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1"/>
      <c r="CP253" s="32"/>
      <c r="CQ253" s="33"/>
      <c r="CR253" s="33"/>
      <c r="CS253" s="33"/>
      <c r="CT253" s="33"/>
      <c r="CU253" s="33"/>
      <c r="CV253" s="33"/>
      <c r="CW253" s="33"/>
      <c r="CX253" s="33"/>
      <c r="CY253" s="33"/>
      <c r="CZ253" s="33"/>
      <c r="DA253" s="33"/>
      <c r="DB253" s="31"/>
      <c r="DC253" s="32"/>
      <c r="DD253" s="33"/>
      <c r="DE253" s="33"/>
      <c r="DF253" s="33"/>
      <c r="DG253" s="33"/>
      <c r="DH253" s="33"/>
      <c r="DI253" s="33"/>
      <c r="DJ253" s="33"/>
      <c r="DK253" s="33"/>
      <c r="DL253" s="33"/>
      <c r="DM253" s="33"/>
      <c r="DN253" s="33"/>
      <c r="DO253" s="31"/>
      <c r="DP253" s="32"/>
      <c r="DQ253" s="33"/>
      <c r="DR253" s="33"/>
      <c r="DS253" s="33"/>
      <c r="DT253" s="33"/>
      <c r="DU253" s="33"/>
      <c r="DV253" s="33"/>
      <c r="DW253" s="33"/>
      <c r="DX253" s="33"/>
      <c r="DY253" s="33"/>
      <c r="DZ253" s="33"/>
      <c r="EA253" s="33"/>
      <c r="EB253" s="31"/>
      <c r="EC253" s="32"/>
      <c r="ED253" s="33"/>
      <c r="EE253" s="33"/>
      <c r="EF253" s="33"/>
      <c r="EG253" s="33"/>
      <c r="EH253" s="33"/>
      <c r="EI253" s="33"/>
      <c r="EJ253" s="33"/>
      <c r="EK253" s="33"/>
      <c r="EL253" s="33"/>
      <c r="EM253" s="33"/>
      <c r="EN253" s="33"/>
      <c r="EO253" s="31"/>
      <c r="EP253" s="32"/>
      <c r="EQ253" s="33"/>
      <c r="ER253" s="33"/>
      <c r="ES253" s="33"/>
      <c r="ET253" s="33"/>
      <c r="EU253" s="33"/>
      <c r="EV253" s="33"/>
      <c r="EW253" s="33"/>
      <c r="EX253" s="33"/>
      <c r="EY253" s="33"/>
      <c r="EZ253" s="33"/>
      <c r="FA253" s="33"/>
      <c r="FB253" s="31"/>
      <c r="FC253" s="32"/>
      <c r="FD253" s="33"/>
      <c r="FE253" s="33"/>
      <c r="FF253" s="33"/>
      <c r="FG253" s="33"/>
      <c r="FH253" s="33"/>
      <c r="FI253" s="33"/>
      <c r="FJ253" s="33"/>
      <c r="FK253" s="33"/>
      <c r="FL253" s="33"/>
      <c r="FM253" s="33"/>
      <c r="FN253" s="33"/>
      <c r="FO253" s="34">
        <f t="shared" ref="FO253:FV253" si="246">IFERROR(R253*1,0)+IFERROR(AE253*1,0)+IFERROR(AR253*1,0)+IFERROR(BE253*1,0)+IFERROR(BR253*1,0)+IFERROR(CE253*1,0)+IFERROR(CR253*1,0)+IFERROR(DE253*1,0)+IFERROR(DR253*1,0)+IFERROR(EE253*1,0)+IFERROR(ER253*1,0)+IFERROR(FE253*1,0)</f>
        <v>0</v>
      </c>
      <c r="FP253" s="34">
        <f t="shared" si="246"/>
        <v>0</v>
      </c>
      <c r="FQ253" s="34">
        <f t="shared" si="246"/>
        <v>0</v>
      </c>
      <c r="FR253" s="34">
        <f t="shared" si="246"/>
        <v>0</v>
      </c>
      <c r="FS253" s="34">
        <f t="shared" si="246"/>
        <v>0</v>
      </c>
      <c r="FT253" s="34">
        <f t="shared" si="246"/>
        <v>0</v>
      </c>
      <c r="FU253" s="34">
        <f t="shared" si="246"/>
        <v>0</v>
      </c>
      <c r="FV253" s="34">
        <f t="shared" si="246"/>
        <v>0</v>
      </c>
      <c r="FW253" s="28"/>
      <c r="FX253" s="29">
        <f t="shared" si="3"/>
        <v>0</v>
      </c>
    </row>
    <row r="254" spans="1:180" ht="18" customHeight="1" x14ac:dyDescent="0.25">
      <c r="A254" s="3" t="str">
        <f>IF(C254&lt;&gt;"","DRG-"&amp;TEXT(249,"000"),"")</f>
        <v/>
      </c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38">
        <v>4</v>
      </c>
      <c r="M254" s="23" t="str">
        <f t="shared" si="0"/>
        <v>✘ Pending</v>
      </c>
      <c r="N254" s="23">
        <f t="shared" si="1"/>
        <v>0</v>
      </c>
      <c r="O254" s="25"/>
      <c r="P254" s="26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  <c r="AB254" s="25"/>
      <c r="AC254" s="26"/>
      <c r="AD254" s="24"/>
      <c r="AE254" s="24"/>
      <c r="AF254" s="24"/>
      <c r="AG254" s="24"/>
      <c r="AH254" s="24"/>
      <c r="AI254" s="24"/>
      <c r="AJ254" s="24"/>
      <c r="AK254" s="24"/>
      <c r="AL254" s="24"/>
      <c r="AM254" s="24"/>
      <c r="AN254" s="24"/>
      <c r="AO254" s="25"/>
      <c r="AP254" s="26"/>
      <c r="AQ254" s="24"/>
      <c r="AR254" s="24"/>
      <c r="AS254" s="24"/>
      <c r="AT254" s="24"/>
      <c r="AU254" s="24"/>
      <c r="AV254" s="24"/>
      <c r="AW254" s="24"/>
      <c r="AX254" s="24"/>
      <c r="AY254" s="24"/>
      <c r="AZ254" s="24"/>
      <c r="BA254" s="24"/>
      <c r="BB254" s="25"/>
      <c r="BC254" s="26"/>
      <c r="BD254" s="24"/>
      <c r="BE254" s="24"/>
      <c r="BF254" s="24"/>
      <c r="BG254" s="24"/>
      <c r="BH254" s="24"/>
      <c r="BI254" s="24"/>
      <c r="BJ254" s="24"/>
      <c r="BK254" s="24"/>
      <c r="BL254" s="24"/>
      <c r="BM254" s="24"/>
      <c r="BN254" s="24"/>
      <c r="BO254" s="25"/>
      <c r="BP254" s="26"/>
      <c r="BQ254" s="24"/>
      <c r="BR254" s="24"/>
      <c r="BS254" s="24"/>
      <c r="BT254" s="24"/>
      <c r="BU254" s="24"/>
      <c r="BV254" s="24"/>
      <c r="BW254" s="24"/>
      <c r="BX254" s="24"/>
      <c r="BY254" s="24"/>
      <c r="BZ254" s="24"/>
      <c r="CA254" s="24"/>
      <c r="CB254" s="25"/>
      <c r="CC254" s="26"/>
      <c r="CD254" s="24"/>
      <c r="CE254" s="24"/>
      <c r="CF254" s="24"/>
      <c r="CG254" s="24"/>
      <c r="CH254" s="24"/>
      <c r="CI254" s="24"/>
      <c r="CJ254" s="24"/>
      <c r="CK254" s="24"/>
      <c r="CL254" s="24"/>
      <c r="CM254" s="24"/>
      <c r="CN254" s="24"/>
      <c r="CO254" s="25"/>
      <c r="CP254" s="26"/>
      <c r="CQ254" s="24"/>
      <c r="CR254" s="24"/>
      <c r="CS254" s="24"/>
      <c r="CT254" s="24"/>
      <c r="CU254" s="24"/>
      <c r="CV254" s="24"/>
      <c r="CW254" s="24"/>
      <c r="CX254" s="24"/>
      <c r="CY254" s="24"/>
      <c r="CZ254" s="24"/>
      <c r="DA254" s="24"/>
      <c r="DB254" s="25"/>
      <c r="DC254" s="26"/>
      <c r="DD254" s="24"/>
      <c r="DE254" s="24"/>
      <c r="DF254" s="24"/>
      <c r="DG254" s="24"/>
      <c r="DH254" s="24"/>
      <c r="DI254" s="24"/>
      <c r="DJ254" s="24"/>
      <c r="DK254" s="24"/>
      <c r="DL254" s="24"/>
      <c r="DM254" s="24"/>
      <c r="DN254" s="24"/>
      <c r="DO254" s="25"/>
      <c r="DP254" s="26"/>
      <c r="DQ254" s="24"/>
      <c r="DR254" s="24"/>
      <c r="DS254" s="24"/>
      <c r="DT254" s="24"/>
      <c r="DU254" s="24"/>
      <c r="DV254" s="24"/>
      <c r="DW254" s="24"/>
      <c r="DX254" s="24"/>
      <c r="DY254" s="24"/>
      <c r="DZ254" s="24"/>
      <c r="EA254" s="24"/>
      <c r="EB254" s="25"/>
      <c r="EC254" s="26"/>
      <c r="ED254" s="24"/>
      <c r="EE254" s="24"/>
      <c r="EF254" s="24"/>
      <c r="EG254" s="24"/>
      <c r="EH254" s="24"/>
      <c r="EI254" s="24"/>
      <c r="EJ254" s="24"/>
      <c r="EK254" s="24"/>
      <c r="EL254" s="24"/>
      <c r="EM254" s="24"/>
      <c r="EN254" s="24"/>
      <c r="EO254" s="25"/>
      <c r="EP254" s="26"/>
      <c r="EQ254" s="24"/>
      <c r="ER254" s="24"/>
      <c r="ES254" s="24"/>
      <c r="ET254" s="24"/>
      <c r="EU254" s="24"/>
      <c r="EV254" s="24"/>
      <c r="EW254" s="24"/>
      <c r="EX254" s="24"/>
      <c r="EY254" s="24"/>
      <c r="EZ254" s="24"/>
      <c r="FA254" s="24"/>
      <c r="FB254" s="25"/>
      <c r="FC254" s="26"/>
      <c r="FD254" s="24"/>
      <c r="FE254" s="24"/>
      <c r="FF254" s="24"/>
      <c r="FG254" s="24"/>
      <c r="FH254" s="24"/>
      <c r="FI254" s="24"/>
      <c r="FJ254" s="24"/>
      <c r="FK254" s="24"/>
      <c r="FL254" s="24"/>
      <c r="FM254" s="24"/>
      <c r="FN254" s="24"/>
      <c r="FO254" s="27">
        <f t="shared" ref="FO254:FV254" si="247">IFERROR(R254*1,0)+IFERROR(AE254*1,0)+IFERROR(AR254*1,0)+IFERROR(BE254*1,0)+IFERROR(BR254*1,0)+IFERROR(CE254*1,0)+IFERROR(CR254*1,0)+IFERROR(DE254*1,0)+IFERROR(DR254*1,0)+IFERROR(EE254*1,0)+IFERROR(ER254*1,0)+IFERROR(FE254*1,0)</f>
        <v>0</v>
      </c>
      <c r="FP254" s="27">
        <f t="shared" si="247"/>
        <v>0</v>
      </c>
      <c r="FQ254" s="27">
        <f t="shared" si="247"/>
        <v>0</v>
      </c>
      <c r="FR254" s="27">
        <f t="shared" si="247"/>
        <v>0</v>
      </c>
      <c r="FS254" s="27">
        <f t="shared" si="247"/>
        <v>0</v>
      </c>
      <c r="FT254" s="27">
        <f t="shared" si="247"/>
        <v>0</v>
      </c>
      <c r="FU254" s="27">
        <f t="shared" si="247"/>
        <v>0</v>
      </c>
      <c r="FV254" s="27">
        <f t="shared" si="247"/>
        <v>0</v>
      </c>
      <c r="FW254" s="28"/>
      <c r="FX254" s="29">
        <f t="shared" si="3"/>
        <v>0</v>
      </c>
    </row>
    <row r="255" spans="1:180" ht="18" customHeight="1" x14ac:dyDescent="0.25">
      <c r="A255" s="3" t="str">
        <f>IF(C255&lt;&gt;"","DRG-"&amp;TEXT(250,"000"),"")</f>
        <v/>
      </c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7">
        <v>4</v>
      </c>
      <c r="M255" s="30" t="str">
        <f t="shared" si="0"/>
        <v>✘ Pending</v>
      </c>
      <c r="N255" s="30">
        <f t="shared" si="1"/>
        <v>0</v>
      </c>
      <c r="O255" s="31"/>
      <c r="P255" s="32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1"/>
      <c r="AC255" s="32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1"/>
      <c r="AP255" s="32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1"/>
      <c r="BC255" s="32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1"/>
      <c r="BP255" s="32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1"/>
      <c r="CC255" s="32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1"/>
      <c r="CP255" s="32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1"/>
      <c r="DC255" s="32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1"/>
      <c r="DP255" s="32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1"/>
      <c r="EC255" s="32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1"/>
      <c r="EP255" s="32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1"/>
      <c r="FC255" s="32"/>
      <c r="FD255" s="33"/>
      <c r="FE255" s="33"/>
      <c r="FF255" s="33"/>
      <c r="FG255" s="33"/>
      <c r="FH255" s="33"/>
      <c r="FI255" s="33"/>
      <c r="FJ255" s="33"/>
      <c r="FK255" s="33"/>
      <c r="FL255" s="33"/>
      <c r="FM255" s="33"/>
      <c r="FN255" s="33"/>
      <c r="FO255" s="34">
        <f t="shared" ref="FO255:FV255" si="248">IFERROR(R255*1,0)+IFERROR(AE255*1,0)+IFERROR(AR255*1,0)+IFERROR(BE255*1,0)+IFERROR(BR255*1,0)+IFERROR(CE255*1,0)+IFERROR(CR255*1,0)+IFERROR(DE255*1,0)+IFERROR(DR255*1,0)+IFERROR(EE255*1,0)+IFERROR(ER255*1,0)+IFERROR(FE255*1,0)</f>
        <v>0</v>
      </c>
      <c r="FP255" s="34">
        <f t="shared" si="248"/>
        <v>0</v>
      </c>
      <c r="FQ255" s="34">
        <f t="shared" si="248"/>
        <v>0</v>
      </c>
      <c r="FR255" s="34">
        <f t="shared" si="248"/>
        <v>0</v>
      </c>
      <c r="FS255" s="34">
        <f t="shared" si="248"/>
        <v>0</v>
      </c>
      <c r="FT255" s="34">
        <f t="shared" si="248"/>
        <v>0</v>
      </c>
      <c r="FU255" s="34">
        <f t="shared" si="248"/>
        <v>0</v>
      </c>
      <c r="FV255" s="34">
        <f t="shared" si="248"/>
        <v>0</v>
      </c>
      <c r="FW255" s="28"/>
      <c r="FX255" s="29">
        <f t="shared" si="3"/>
        <v>0</v>
      </c>
    </row>
    <row r="256" spans="1:180" ht="18" customHeight="1" x14ac:dyDescent="0.25">
      <c r="A256" s="3" t="str">
        <f>IF(C256&lt;&gt;"","DRG-"&amp;TEXT(251,"000"),"")</f>
        <v/>
      </c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38">
        <v>4</v>
      </c>
      <c r="M256" s="23" t="str">
        <f t="shared" si="0"/>
        <v>✘ Pending</v>
      </c>
      <c r="N256" s="23">
        <f t="shared" si="1"/>
        <v>0</v>
      </c>
      <c r="O256" s="25"/>
      <c r="P256" s="26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5"/>
      <c r="AC256" s="26"/>
      <c r="AD256" s="24"/>
      <c r="AE256" s="24"/>
      <c r="AF256" s="24"/>
      <c r="AG256" s="24"/>
      <c r="AH256" s="24"/>
      <c r="AI256" s="24"/>
      <c r="AJ256" s="24"/>
      <c r="AK256" s="24"/>
      <c r="AL256" s="24"/>
      <c r="AM256" s="24"/>
      <c r="AN256" s="24"/>
      <c r="AO256" s="25"/>
      <c r="AP256" s="26"/>
      <c r="AQ256" s="24"/>
      <c r="AR256" s="24"/>
      <c r="AS256" s="24"/>
      <c r="AT256" s="24"/>
      <c r="AU256" s="24"/>
      <c r="AV256" s="24"/>
      <c r="AW256" s="24"/>
      <c r="AX256" s="24"/>
      <c r="AY256" s="24"/>
      <c r="AZ256" s="24"/>
      <c r="BA256" s="24"/>
      <c r="BB256" s="25"/>
      <c r="BC256" s="26"/>
      <c r="BD256" s="24"/>
      <c r="BE256" s="24"/>
      <c r="BF256" s="24"/>
      <c r="BG256" s="24"/>
      <c r="BH256" s="24"/>
      <c r="BI256" s="24"/>
      <c r="BJ256" s="24"/>
      <c r="BK256" s="24"/>
      <c r="BL256" s="24"/>
      <c r="BM256" s="24"/>
      <c r="BN256" s="24"/>
      <c r="BO256" s="25"/>
      <c r="BP256" s="26"/>
      <c r="BQ256" s="24"/>
      <c r="BR256" s="24"/>
      <c r="BS256" s="24"/>
      <c r="BT256" s="24"/>
      <c r="BU256" s="24"/>
      <c r="BV256" s="24"/>
      <c r="BW256" s="24"/>
      <c r="BX256" s="24"/>
      <c r="BY256" s="24"/>
      <c r="BZ256" s="24"/>
      <c r="CA256" s="24"/>
      <c r="CB256" s="25"/>
      <c r="CC256" s="26"/>
      <c r="CD256" s="24"/>
      <c r="CE256" s="24"/>
      <c r="CF256" s="24"/>
      <c r="CG256" s="24"/>
      <c r="CH256" s="24"/>
      <c r="CI256" s="24"/>
      <c r="CJ256" s="24"/>
      <c r="CK256" s="24"/>
      <c r="CL256" s="24"/>
      <c r="CM256" s="24"/>
      <c r="CN256" s="24"/>
      <c r="CO256" s="25"/>
      <c r="CP256" s="26"/>
      <c r="CQ256" s="24"/>
      <c r="CR256" s="24"/>
      <c r="CS256" s="24"/>
      <c r="CT256" s="24"/>
      <c r="CU256" s="24"/>
      <c r="CV256" s="24"/>
      <c r="CW256" s="24"/>
      <c r="CX256" s="24"/>
      <c r="CY256" s="24"/>
      <c r="CZ256" s="24"/>
      <c r="DA256" s="24"/>
      <c r="DB256" s="25"/>
      <c r="DC256" s="26"/>
      <c r="DD256" s="24"/>
      <c r="DE256" s="24"/>
      <c r="DF256" s="24"/>
      <c r="DG256" s="24"/>
      <c r="DH256" s="24"/>
      <c r="DI256" s="24"/>
      <c r="DJ256" s="24"/>
      <c r="DK256" s="24"/>
      <c r="DL256" s="24"/>
      <c r="DM256" s="24"/>
      <c r="DN256" s="24"/>
      <c r="DO256" s="25"/>
      <c r="DP256" s="26"/>
      <c r="DQ256" s="24"/>
      <c r="DR256" s="24"/>
      <c r="DS256" s="24"/>
      <c r="DT256" s="24"/>
      <c r="DU256" s="24"/>
      <c r="DV256" s="24"/>
      <c r="DW256" s="24"/>
      <c r="DX256" s="24"/>
      <c r="DY256" s="24"/>
      <c r="DZ256" s="24"/>
      <c r="EA256" s="24"/>
      <c r="EB256" s="25"/>
      <c r="EC256" s="26"/>
      <c r="ED256" s="24"/>
      <c r="EE256" s="24"/>
      <c r="EF256" s="24"/>
      <c r="EG256" s="24"/>
      <c r="EH256" s="24"/>
      <c r="EI256" s="24"/>
      <c r="EJ256" s="24"/>
      <c r="EK256" s="24"/>
      <c r="EL256" s="24"/>
      <c r="EM256" s="24"/>
      <c r="EN256" s="24"/>
      <c r="EO256" s="25"/>
      <c r="EP256" s="26"/>
      <c r="EQ256" s="24"/>
      <c r="ER256" s="24"/>
      <c r="ES256" s="24"/>
      <c r="ET256" s="24"/>
      <c r="EU256" s="24"/>
      <c r="EV256" s="24"/>
      <c r="EW256" s="24"/>
      <c r="EX256" s="24"/>
      <c r="EY256" s="24"/>
      <c r="EZ256" s="24"/>
      <c r="FA256" s="24"/>
      <c r="FB256" s="25"/>
      <c r="FC256" s="26"/>
      <c r="FD256" s="24"/>
      <c r="FE256" s="24"/>
      <c r="FF256" s="24"/>
      <c r="FG256" s="24"/>
      <c r="FH256" s="24"/>
      <c r="FI256" s="24"/>
      <c r="FJ256" s="24"/>
      <c r="FK256" s="24"/>
      <c r="FL256" s="24"/>
      <c r="FM256" s="24"/>
      <c r="FN256" s="24"/>
      <c r="FO256" s="27">
        <f t="shared" ref="FO256:FV256" si="249">IFERROR(R256*1,0)+IFERROR(AE256*1,0)+IFERROR(AR256*1,0)+IFERROR(BE256*1,0)+IFERROR(BR256*1,0)+IFERROR(CE256*1,0)+IFERROR(CR256*1,0)+IFERROR(DE256*1,0)+IFERROR(DR256*1,0)+IFERROR(EE256*1,0)+IFERROR(ER256*1,0)+IFERROR(FE256*1,0)</f>
        <v>0</v>
      </c>
      <c r="FP256" s="27">
        <f t="shared" si="249"/>
        <v>0</v>
      </c>
      <c r="FQ256" s="27">
        <f t="shared" si="249"/>
        <v>0</v>
      </c>
      <c r="FR256" s="27">
        <f t="shared" si="249"/>
        <v>0</v>
      </c>
      <c r="FS256" s="27">
        <f t="shared" si="249"/>
        <v>0</v>
      </c>
      <c r="FT256" s="27">
        <f t="shared" si="249"/>
        <v>0</v>
      </c>
      <c r="FU256" s="27">
        <f t="shared" si="249"/>
        <v>0</v>
      </c>
      <c r="FV256" s="27">
        <f t="shared" si="249"/>
        <v>0</v>
      </c>
      <c r="FW256" s="28"/>
      <c r="FX256" s="29">
        <f t="shared" si="3"/>
        <v>0</v>
      </c>
    </row>
    <row r="257" spans="1:180" ht="18" customHeight="1" x14ac:dyDescent="0.25">
      <c r="A257" s="3" t="str">
        <f>IF(C257&lt;&gt;"","DRG-"&amp;TEXT(252,"000"),"")</f>
        <v/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7">
        <v>4</v>
      </c>
      <c r="M257" s="30" t="str">
        <f t="shared" si="0"/>
        <v>✘ Pending</v>
      </c>
      <c r="N257" s="30">
        <f t="shared" si="1"/>
        <v>0</v>
      </c>
      <c r="O257" s="31"/>
      <c r="P257" s="32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1"/>
      <c r="AC257" s="32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1"/>
      <c r="AP257" s="32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1"/>
      <c r="BC257" s="32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1"/>
      <c r="BP257" s="32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1"/>
      <c r="CC257" s="32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1"/>
      <c r="CP257" s="32"/>
      <c r="CQ257" s="33"/>
      <c r="CR257" s="33"/>
      <c r="CS257" s="33"/>
      <c r="CT257" s="33"/>
      <c r="CU257" s="33"/>
      <c r="CV257" s="33"/>
      <c r="CW257" s="33"/>
      <c r="CX257" s="33"/>
      <c r="CY257" s="33"/>
      <c r="CZ257" s="33"/>
      <c r="DA257" s="33"/>
      <c r="DB257" s="31"/>
      <c r="DC257" s="32"/>
      <c r="DD257" s="33"/>
      <c r="DE257" s="33"/>
      <c r="DF257" s="33"/>
      <c r="DG257" s="33"/>
      <c r="DH257" s="33"/>
      <c r="DI257" s="33"/>
      <c r="DJ257" s="33"/>
      <c r="DK257" s="33"/>
      <c r="DL257" s="33"/>
      <c r="DM257" s="33"/>
      <c r="DN257" s="33"/>
      <c r="DO257" s="31"/>
      <c r="DP257" s="32"/>
      <c r="DQ257" s="33"/>
      <c r="DR257" s="33"/>
      <c r="DS257" s="33"/>
      <c r="DT257" s="33"/>
      <c r="DU257" s="33"/>
      <c r="DV257" s="33"/>
      <c r="DW257" s="33"/>
      <c r="DX257" s="33"/>
      <c r="DY257" s="33"/>
      <c r="DZ257" s="33"/>
      <c r="EA257" s="33"/>
      <c r="EB257" s="31"/>
      <c r="EC257" s="32"/>
      <c r="ED257" s="33"/>
      <c r="EE257" s="33"/>
      <c r="EF257" s="33"/>
      <c r="EG257" s="33"/>
      <c r="EH257" s="33"/>
      <c r="EI257" s="33"/>
      <c r="EJ257" s="33"/>
      <c r="EK257" s="33"/>
      <c r="EL257" s="33"/>
      <c r="EM257" s="33"/>
      <c r="EN257" s="33"/>
      <c r="EO257" s="31"/>
      <c r="EP257" s="32"/>
      <c r="EQ257" s="33"/>
      <c r="ER257" s="33"/>
      <c r="ES257" s="33"/>
      <c r="ET257" s="33"/>
      <c r="EU257" s="33"/>
      <c r="EV257" s="33"/>
      <c r="EW257" s="33"/>
      <c r="EX257" s="33"/>
      <c r="EY257" s="33"/>
      <c r="EZ257" s="33"/>
      <c r="FA257" s="33"/>
      <c r="FB257" s="31"/>
      <c r="FC257" s="32"/>
      <c r="FD257" s="33"/>
      <c r="FE257" s="33"/>
      <c r="FF257" s="33"/>
      <c r="FG257" s="33"/>
      <c r="FH257" s="33"/>
      <c r="FI257" s="33"/>
      <c r="FJ257" s="33"/>
      <c r="FK257" s="33"/>
      <c r="FL257" s="33"/>
      <c r="FM257" s="33"/>
      <c r="FN257" s="33"/>
      <c r="FO257" s="34">
        <f t="shared" ref="FO257:FV257" si="250">IFERROR(R257*1,0)+IFERROR(AE257*1,0)+IFERROR(AR257*1,0)+IFERROR(BE257*1,0)+IFERROR(BR257*1,0)+IFERROR(CE257*1,0)+IFERROR(CR257*1,0)+IFERROR(DE257*1,0)+IFERROR(DR257*1,0)+IFERROR(EE257*1,0)+IFERROR(ER257*1,0)+IFERROR(FE257*1,0)</f>
        <v>0</v>
      </c>
      <c r="FP257" s="34">
        <f t="shared" si="250"/>
        <v>0</v>
      </c>
      <c r="FQ257" s="34">
        <f t="shared" si="250"/>
        <v>0</v>
      </c>
      <c r="FR257" s="34">
        <f t="shared" si="250"/>
        <v>0</v>
      </c>
      <c r="FS257" s="34">
        <f t="shared" si="250"/>
        <v>0</v>
      </c>
      <c r="FT257" s="34">
        <f t="shared" si="250"/>
        <v>0</v>
      </c>
      <c r="FU257" s="34">
        <f t="shared" si="250"/>
        <v>0</v>
      </c>
      <c r="FV257" s="34">
        <f t="shared" si="250"/>
        <v>0</v>
      </c>
      <c r="FW257" s="28"/>
      <c r="FX257" s="29">
        <f t="shared" si="3"/>
        <v>0</v>
      </c>
    </row>
    <row r="258" spans="1:180" ht="18" customHeight="1" x14ac:dyDescent="0.25">
      <c r="A258" s="3" t="str">
        <f>IF(C258&lt;&gt;"","DRG-"&amp;TEXT(253,"000"),"")</f>
        <v/>
      </c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38">
        <v>4</v>
      </c>
      <c r="M258" s="23" t="str">
        <f t="shared" si="0"/>
        <v>✘ Pending</v>
      </c>
      <c r="N258" s="23">
        <f t="shared" si="1"/>
        <v>0</v>
      </c>
      <c r="O258" s="25"/>
      <c r="P258" s="26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  <c r="AB258" s="25"/>
      <c r="AC258" s="26"/>
      <c r="AD258" s="24"/>
      <c r="AE258" s="24"/>
      <c r="AF258" s="24"/>
      <c r="AG258" s="24"/>
      <c r="AH258" s="24"/>
      <c r="AI258" s="24"/>
      <c r="AJ258" s="24"/>
      <c r="AK258" s="24"/>
      <c r="AL258" s="24"/>
      <c r="AM258" s="24"/>
      <c r="AN258" s="24"/>
      <c r="AO258" s="25"/>
      <c r="AP258" s="26"/>
      <c r="AQ258" s="24"/>
      <c r="AR258" s="24"/>
      <c r="AS258" s="24"/>
      <c r="AT258" s="24"/>
      <c r="AU258" s="24"/>
      <c r="AV258" s="24"/>
      <c r="AW258" s="24"/>
      <c r="AX258" s="24"/>
      <c r="AY258" s="24"/>
      <c r="AZ258" s="24"/>
      <c r="BA258" s="24"/>
      <c r="BB258" s="25"/>
      <c r="BC258" s="26"/>
      <c r="BD258" s="24"/>
      <c r="BE258" s="24"/>
      <c r="BF258" s="24"/>
      <c r="BG258" s="24"/>
      <c r="BH258" s="24"/>
      <c r="BI258" s="24"/>
      <c r="BJ258" s="24"/>
      <c r="BK258" s="24"/>
      <c r="BL258" s="24"/>
      <c r="BM258" s="24"/>
      <c r="BN258" s="24"/>
      <c r="BO258" s="25"/>
      <c r="BP258" s="26"/>
      <c r="BQ258" s="24"/>
      <c r="BR258" s="24"/>
      <c r="BS258" s="24"/>
      <c r="BT258" s="24"/>
      <c r="BU258" s="24"/>
      <c r="BV258" s="24"/>
      <c r="BW258" s="24"/>
      <c r="BX258" s="24"/>
      <c r="BY258" s="24"/>
      <c r="BZ258" s="24"/>
      <c r="CA258" s="24"/>
      <c r="CB258" s="25"/>
      <c r="CC258" s="26"/>
      <c r="CD258" s="24"/>
      <c r="CE258" s="24"/>
      <c r="CF258" s="24"/>
      <c r="CG258" s="24"/>
      <c r="CH258" s="24"/>
      <c r="CI258" s="24"/>
      <c r="CJ258" s="24"/>
      <c r="CK258" s="24"/>
      <c r="CL258" s="24"/>
      <c r="CM258" s="24"/>
      <c r="CN258" s="24"/>
      <c r="CO258" s="25"/>
      <c r="CP258" s="26"/>
      <c r="CQ258" s="24"/>
      <c r="CR258" s="24"/>
      <c r="CS258" s="24"/>
      <c r="CT258" s="24"/>
      <c r="CU258" s="24"/>
      <c r="CV258" s="24"/>
      <c r="CW258" s="24"/>
      <c r="CX258" s="24"/>
      <c r="CY258" s="24"/>
      <c r="CZ258" s="24"/>
      <c r="DA258" s="24"/>
      <c r="DB258" s="25"/>
      <c r="DC258" s="26"/>
      <c r="DD258" s="24"/>
      <c r="DE258" s="24"/>
      <c r="DF258" s="24"/>
      <c r="DG258" s="24"/>
      <c r="DH258" s="24"/>
      <c r="DI258" s="24"/>
      <c r="DJ258" s="24"/>
      <c r="DK258" s="24"/>
      <c r="DL258" s="24"/>
      <c r="DM258" s="24"/>
      <c r="DN258" s="24"/>
      <c r="DO258" s="25"/>
      <c r="DP258" s="26"/>
      <c r="DQ258" s="24"/>
      <c r="DR258" s="24"/>
      <c r="DS258" s="24"/>
      <c r="DT258" s="24"/>
      <c r="DU258" s="24"/>
      <c r="DV258" s="24"/>
      <c r="DW258" s="24"/>
      <c r="DX258" s="24"/>
      <c r="DY258" s="24"/>
      <c r="DZ258" s="24"/>
      <c r="EA258" s="24"/>
      <c r="EB258" s="25"/>
      <c r="EC258" s="26"/>
      <c r="ED258" s="24"/>
      <c r="EE258" s="24"/>
      <c r="EF258" s="24"/>
      <c r="EG258" s="24"/>
      <c r="EH258" s="24"/>
      <c r="EI258" s="24"/>
      <c r="EJ258" s="24"/>
      <c r="EK258" s="24"/>
      <c r="EL258" s="24"/>
      <c r="EM258" s="24"/>
      <c r="EN258" s="24"/>
      <c r="EO258" s="25"/>
      <c r="EP258" s="26"/>
      <c r="EQ258" s="24"/>
      <c r="ER258" s="24"/>
      <c r="ES258" s="24"/>
      <c r="ET258" s="24"/>
      <c r="EU258" s="24"/>
      <c r="EV258" s="24"/>
      <c r="EW258" s="24"/>
      <c r="EX258" s="24"/>
      <c r="EY258" s="24"/>
      <c r="EZ258" s="24"/>
      <c r="FA258" s="24"/>
      <c r="FB258" s="25"/>
      <c r="FC258" s="26"/>
      <c r="FD258" s="24"/>
      <c r="FE258" s="24"/>
      <c r="FF258" s="24"/>
      <c r="FG258" s="24"/>
      <c r="FH258" s="24"/>
      <c r="FI258" s="24"/>
      <c r="FJ258" s="24"/>
      <c r="FK258" s="24"/>
      <c r="FL258" s="24"/>
      <c r="FM258" s="24"/>
      <c r="FN258" s="24"/>
      <c r="FO258" s="27">
        <f t="shared" ref="FO258:FV258" si="251">IFERROR(R258*1,0)+IFERROR(AE258*1,0)+IFERROR(AR258*1,0)+IFERROR(BE258*1,0)+IFERROR(BR258*1,0)+IFERROR(CE258*1,0)+IFERROR(CR258*1,0)+IFERROR(DE258*1,0)+IFERROR(DR258*1,0)+IFERROR(EE258*1,0)+IFERROR(ER258*1,0)+IFERROR(FE258*1,0)</f>
        <v>0</v>
      </c>
      <c r="FP258" s="27">
        <f t="shared" si="251"/>
        <v>0</v>
      </c>
      <c r="FQ258" s="27">
        <f t="shared" si="251"/>
        <v>0</v>
      </c>
      <c r="FR258" s="27">
        <f t="shared" si="251"/>
        <v>0</v>
      </c>
      <c r="FS258" s="27">
        <f t="shared" si="251"/>
        <v>0</v>
      </c>
      <c r="FT258" s="27">
        <f t="shared" si="251"/>
        <v>0</v>
      </c>
      <c r="FU258" s="27">
        <f t="shared" si="251"/>
        <v>0</v>
      </c>
      <c r="FV258" s="27">
        <f t="shared" si="251"/>
        <v>0</v>
      </c>
      <c r="FW258" s="28"/>
      <c r="FX258" s="29">
        <f t="shared" si="3"/>
        <v>0</v>
      </c>
    </row>
    <row r="259" spans="1:180" ht="18" customHeight="1" x14ac:dyDescent="0.25">
      <c r="A259" s="3" t="str">
        <f>IF(C259&lt;&gt;"","DRG-"&amp;TEXT(254,"000"),"")</f>
        <v/>
      </c>
      <c r="B259" s="33"/>
      <c r="C259" s="33"/>
      <c r="D259" s="33"/>
      <c r="E259" s="33"/>
      <c r="F259" s="33"/>
      <c r="G259" s="33"/>
      <c r="H259" s="33"/>
      <c r="I259" s="33"/>
      <c r="J259" s="33"/>
      <c r="K259" s="33"/>
      <c r="L259" s="37">
        <v>4</v>
      </c>
      <c r="M259" s="30" t="str">
        <f t="shared" si="0"/>
        <v>✘ Pending</v>
      </c>
      <c r="N259" s="30">
        <f t="shared" si="1"/>
        <v>0</v>
      </c>
      <c r="O259" s="31"/>
      <c r="P259" s="32"/>
      <c r="Q259" s="33"/>
      <c r="R259" s="33"/>
      <c r="S259" s="33"/>
      <c r="T259" s="33"/>
      <c r="U259" s="33"/>
      <c r="V259" s="33"/>
      <c r="W259" s="33"/>
      <c r="X259" s="33"/>
      <c r="Y259" s="33"/>
      <c r="Z259" s="33"/>
      <c r="AA259" s="33"/>
      <c r="AB259" s="31"/>
      <c r="AC259" s="32"/>
      <c r="AD259" s="33"/>
      <c r="AE259" s="33"/>
      <c r="AF259" s="33"/>
      <c r="AG259" s="33"/>
      <c r="AH259" s="33"/>
      <c r="AI259" s="33"/>
      <c r="AJ259" s="33"/>
      <c r="AK259" s="33"/>
      <c r="AL259" s="33"/>
      <c r="AM259" s="33"/>
      <c r="AN259" s="33"/>
      <c r="AO259" s="31"/>
      <c r="AP259" s="32"/>
      <c r="AQ259" s="33"/>
      <c r="AR259" s="33"/>
      <c r="AS259" s="33"/>
      <c r="AT259" s="33"/>
      <c r="AU259" s="33"/>
      <c r="AV259" s="33"/>
      <c r="AW259" s="33"/>
      <c r="AX259" s="33"/>
      <c r="AY259" s="33"/>
      <c r="AZ259" s="33"/>
      <c r="BA259" s="33"/>
      <c r="BB259" s="31"/>
      <c r="BC259" s="32"/>
      <c r="BD259" s="33"/>
      <c r="BE259" s="33"/>
      <c r="BF259" s="33"/>
      <c r="BG259" s="33"/>
      <c r="BH259" s="33"/>
      <c r="BI259" s="33"/>
      <c r="BJ259" s="33"/>
      <c r="BK259" s="33"/>
      <c r="BL259" s="33"/>
      <c r="BM259" s="33"/>
      <c r="BN259" s="33"/>
      <c r="BO259" s="31"/>
      <c r="BP259" s="32"/>
      <c r="BQ259" s="33"/>
      <c r="BR259" s="33"/>
      <c r="BS259" s="33"/>
      <c r="BT259" s="33"/>
      <c r="BU259" s="33"/>
      <c r="BV259" s="33"/>
      <c r="BW259" s="33"/>
      <c r="BX259" s="33"/>
      <c r="BY259" s="33"/>
      <c r="BZ259" s="33"/>
      <c r="CA259" s="33"/>
      <c r="CB259" s="31"/>
      <c r="CC259" s="32"/>
      <c r="CD259" s="33"/>
      <c r="CE259" s="33"/>
      <c r="CF259" s="33"/>
      <c r="CG259" s="33"/>
      <c r="CH259" s="33"/>
      <c r="CI259" s="33"/>
      <c r="CJ259" s="33"/>
      <c r="CK259" s="33"/>
      <c r="CL259" s="33"/>
      <c r="CM259" s="33"/>
      <c r="CN259" s="33"/>
      <c r="CO259" s="31"/>
      <c r="CP259" s="32"/>
      <c r="CQ259" s="33"/>
      <c r="CR259" s="33"/>
      <c r="CS259" s="33"/>
      <c r="CT259" s="33"/>
      <c r="CU259" s="33"/>
      <c r="CV259" s="33"/>
      <c r="CW259" s="33"/>
      <c r="CX259" s="33"/>
      <c r="CY259" s="33"/>
      <c r="CZ259" s="33"/>
      <c r="DA259" s="33"/>
      <c r="DB259" s="31"/>
      <c r="DC259" s="32"/>
      <c r="DD259" s="33"/>
      <c r="DE259" s="33"/>
      <c r="DF259" s="33"/>
      <c r="DG259" s="33"/>
      <c r="DH259" s="33"/>
      <c r="DI259" s="33"/>
      <c r="DJ259" s="33"/>
      <c r="DK259" s="33"/>
      <c r="DL259" s="33"/>
      <c r="DM259" s="33"/>
      <c r="DN259" s="33"/>
      <c r="DO259" s="31"/>
      <c r="DP259" s="32"/>
      <c r="DQ259" s="33"/>
      <c r="DR259" s="33"/>
      <c r="DS259" s="33"/>
      <c r="DT259" s="33"/>
      <c r="DU259" s="33"/>
      <c r="DV259" s="33"/>
      <c r="DW259" s="33"/>
      <c r="DX259" s="33"/>
      <c r="DY259" s="33"/>
      <c r="DZ259" s="33"/>
      <c r="EA259" s="33"/>
      <c r="EB259" s="31"/>
      <c r="EC259" s="32"/>
      <c r="ED259" s="33"/>
      <c r="EE259" s="33"/>
      <c r="EF259" s="33"/>
      <c r="EG259" s="33"/>
      <c r="EH259" s="33"/>
      <c r="EI259" s="33"/>
      <c r="EJ259" s="33"/>
      <c r="EK259" s="33"/>
      <c r="EL259" s="33"/>
      <c r="EM259" s="33"/>
      <c r="EN259" s="33"/>
      <c r="EO259" s="31"/>
      <c r="EP259" s="32"/>
      <c r="EQ259" s="33"/>
      <c r="ER259" s="33"/>
      <c r="ES259" s="33"/>
      <c r="ET259" s="33"/>
      <c r="EU259" s="33"/>
      <c r="EV259" s="33"/>
      <c r="EW259" s="33"/>
      <c r="EX259" s="33"/>
      <c r="EY259" s="33"/>
      <c r="EZ259" s="33"/>
      <c r="FA259" s="33"/>
      <c r="FB259" s="31"/>
      <c r="FC259" s="32"/>
      <c r="FD259" s="33"/>
      <c r="FE259" s="33"/>
      <c r="FF259" s="33"/>
      <c r="FG259" s="33"/>
      <c r="FH259" s="33"/>
      <c r="FI259" s="33"/>
      <c r="FJ259" s="33"/>
      <c r="FK259" s="33"/>
      <c r="FL259" s="33"/>
      <c r="FM259" s="33"/>
      <c r="FN259" s="33"/>
      <c r="FO259" s="34">
        <f t="shared" ref="FO259:FV259" si="252">IFERROR(R259*1,0)+IFERROR(AE259*1,0)+IFERROR(AR259*1,0)+IFERROR(BE259*1,0)+IFERROR(BR259*1,0)+IFERROR(CE259*1,0)+IFERROR(CR259*1,0)+IFERROR(DE259*1,0)+IFERROR(DR259*1,0)+IFERROR(EE259*1,0)+IFERROR(ER259*1,0)+IFERROR(FE259*1,0)</f>
        <v>0</v>
      </c>
      <c r="FP259" s="34">
        <f t="shared" si="252"/>
        <v>0</v>
      </c>
      <c r="FQ259" s="34">
        <f t="shared" si="252"/>
        <v>0</v>
      </c>
      <c r="FR259" s="34">
        <f t="shared" si="252"/>
        <v>0</v>
      </c>
      <c r="FS259" s="34">
        <f t="shared" si="252"/>
        <v>0</v>
      </c>
      <c r="FT259" s="34">
        <f t="shared" si="252"/>
        <v>0</v>
      </c>
      <c r="FU259" s="34">
        <f t="shared" si="252"/>
        <v>0</v>
      </c>
      <c r="FV259" s="34">
        <f t="shared" si="252"/>
        <v>0</v>
      </c>
      <c r="FW259" s="28"/>
      <c r="FX259" s="29">
        <f t="shared" si="3"/>
        <v>0</v>
      </c>
    </row>
    <row r="260" spans="1:180" ht="18" customHeight="1" x14ac:dyDescent="0.25">
      <c r="A260" s="3" t="str">
        <f>IF(C260&lt;&gt;"","DRG-"&amp;TEXT(255,"000"),"")</f>
        <v/>
      </c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38">
        <v>4</v>
      </c>
      <c r="M260" s="23" t="str">
        <f t="shared" si="0"/>
        <v>✘ Pending</v>
      </c>
      <c r="N260" s="23">
        <f t="shared" si="1"/>
        <v>0</v>
      </c>
      <c r="O260" s="25"/>
      <c r="P260" s="26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  <c r="AB260" s="25"/>
      <c r="AC260" s="26"/>
      <c r="AD260" s="24"/>
      <c r="AE260" s="24"/>
      <c r="AF260" s="24"/>
      <c r="AG260" s="24"/>
      <c r="AH260" s="24"/>
      <c r="AI260" s="24"/>
      <c r="AJ260" s="24"/>
      <c r="AK260" s="24"/>
      <c r="AL260" s="24"/>
      <c r="AM260" s="24"/>
      <c r="AN260" s="24"/>
      <c r="AO260" s="25"/>
      <c r="AP260" s="26"/>
      <c r="AQ260" s="24"/>
      <c r="AR260" s="24"/>
      <c r="AS260" s="24"/>
      <c r="AT260" s="24"/>
      <c r="AU260" s="24"/>
      <c r="AV260" s="24"/>
      <c r="AW260" s="24"/>
      <c r="AX260" s="24"/>
      <c r="AY260" s="24"/>
      <c r="AZ260" s="24"/>
      <c r="BA260" s="24"/>
      <c r="BB260" s="25"/>
      <c r="BC260" s="26"/>
      <c r="BD260" s="24"/>
      <c r="BE260" s="24"/>
      <c r="BF260" s="24"/>
      <c r="BG260" s="24"/>
      <c r="BH260" s="24"/>
      <c r="BI260" s="24"/>
      <c r="BJ260" s="24"/>
      <c r="BK260" s="24"/>
      <c r="BL260" s="24"/>
      <c r="BM260" s="24"/>
      <c r="BN260" s="24"/>
      <c r="BO260" s="25"/>
      <c r="BP260" s="26"/>
      <c r="BQ260" s="24"/>
      <c r="BR260" s="24"/>
      <c r="BS260" s="24"/>
      <c r="BT260" s="24"/>
      <c r="BU260" s="24"/>
      <c r="BV260" s="24"/>
      <c r="BW260" s="24"/>
      <c r="BX260" s="24"/>
      <c r="BY260" s="24"/>
      <c r="BZ260" s="24"/>
      <c r="CA260" s="24"/>
      <c r="CB260" s="25"/>
      <c r="CC260" s="26"/>
      <c r="CD260" s="24"/>
      <c r="CE260" s="24"/>
      <c r="CF260" s="24"/>
      <c r="CG260" s="24"/>
      <c r="CH260" s="24"/>
      <c r="CI260" s="24"/>
      <c r="CJ260" s="24"/>
      <c r="CK260" s="24"/>
      <c r="CL260" s="24"/>
      <c r="CM260" s="24"/>
      <c r="CN260" s="24"/>
      <c r="CO260" s="25"/>
      <c r="CP260" s="26"/>
      <c r="CQ260" s="24"/>
      <c r="CR260" s="24"/>
      <c r="CS260" s="24"/>
      <c r="CT260" s="24"/>
      <c r="CU260" s="24"/>
      <c r="CV260" s="24"/>
      <c r="CW260" s="24"/>
      <c r="CX260" s="24"/>
      <c r="CY260" s="24"/>
      <c r="CZ260" s="24"/>
      <c r="DA260" s="24"/>
      <c r="DB260" s="25"/>
      <c r="DC260" s="26"/>
      <c r="DD260" s="24"/>
      <c r="DE260" s="24"/>
      <c r="DF260" s="24"/>
      <c r="DG260" s="24"/>
      <c r="DH260" s="24"/>
      <c r="DI260" s="24"/>
      <c r="DJ260" s="24"/>
      <c r="DK260" s="24"/>
      <c r="DL260" s="24"/>
      <c r="DM260" s="24"/>
      <c r="DN260" s="24"/>
      <c r="DO260" s="25"/>
      <c r="DP260" s="26"/>
      <c r="DQ260" s="24"/>
      <c r="DR260" s="24"/>
      <c r="DS260" s="24"/>
      <c r="DT260" s="24"/>
      <c r="DU260" s="24"/>
      <c r="DV260" s="24"/>
      <c r="DW260" s="24"/>
      <c r="DX260" s="24"/>
      <c r="DY260" s="24"/>
      <c r="DZ260" s="24"/>
      <c r="EA260" s="24"/>
      <c r="EB260" s="25"/>
      <c r="EC260" s="26"/>
      <c r="ED260" s="24"/>
      <c r="EE260" s="24"/>
      <c r="EF260" s="24"/>
      <c r="EG260" s="24"/>
      <c r="EH260" s="24"/>
      <c r="EI260" s="24"/>
      <c r="EJ260" s="24"/>
      <c r="EK260" s="24"/>
      <c r="EL260" s="24"/>
      <c r="EM260" s="24"/>
      <c r="EN260" s="24"/>
      <c r="EO260" s="25"/>
      <c r="EP260" s="26"/>
      <c r="EQ260" s="24"/>
      <c r="ER260" s="24"/>
      <c r="ES260" s="24"/>
      <c r="ET260" s="24"/>
      <c r="EU260" s="24"/>
      <c r="EV260" s="24"/>
      <c r="EW260" s="24"/>
      <c r="EX260" s="24"/>
      <c r="EY260" s="24"/>
      <c r="EZ260" s="24"/>
      <c r="FA260" s="24"/>
      <c r="FB260" s="25"/>
      <c r="FC260" s="26"/>
      <c r="FD260" s="24"/>
      <c r="FE260" s="24"/>
      <c r="FF260" s="24"/>
      <c r="FG260" s="24"/>
      <c r="FH260" s="24"/>
      <c r="FI260" s="24"/>
      <c r="FJ260" s="24"/>
      <c r="FK260" s="24"/>
      <c r="FL260" s="24"/>
      <c r="FM260" s="24"/>
      <c r="FN260" s="24"/>
      <c r="FO260" s="27">
        <f t="shared" ref="FO260:FV260" si="253">IFERROR(R260*1,0)+IFERROR(AE260*1,0)+IFERROR(AR260*1,0)+IFERROR(BE260*1,0)+IFERROR(BR260*1,0)+IFERROR(CE260*1,0)+IFERROR(CR260*1,0)+IFERROR(DE260*1,0)+IFERROR(DR260*1,0)+IFERROR(EE260*1,0)+IFERROR(ER260*1,0)+IFERROR(FE260*1,0)</f>
        <v>0</v>
      </c>
      <c r="FP260" s="27">
        <f t="shared" si="253"/>
        <v>0</v>
      </c>
      <c r="FQ260" s="27">
        <f t="shared" si="253"/>
        <v>0</v>
      </c>
      <c r="FR260" s="27">
        <f t="shared" si="253"/>
        <v>0</v>
      </c>
      <c r="FS260" s="27">
        <f t="shared" si="253"/>
        <v>0</v>
      </c>
      <c r="FT260" s="27">
        <f t="shared" si="253"/>
        <v>0</v>
      </c>
      <c r="FU260" s="27">
        <f t="shared" si="253"/>
        <v>0</v>
      </c>
      <c r="FV260" s="27">
        <f t="shared" si="253"/>
        <v>0</v>
      </c>
      <c r="FW260" s="28"/>
      <c r="FX260" s="29">
        <f t="shared" si="3"/>
        <v>0</v>
      </c>
    </row>
    <row r="261" spans="1:180" ht="18" customHeight="1" x14ac:dyDescent="0.25">
      <c r="A261" s="3" t="str">
        <f>IF(C261&lt;&gt;"","DRG-"&amp;TEXT(256,"000"),"")</f>
        <v/>
      </c>
      <c r="B261" s="33"/>
      <c r="C261" s="33"/>
      <c r="D261" s="33"/>
      <c r="E261" s="33"/>
      <c r="F261" s="33"/>
      <c r="G261" s="33"/>
      <c r="H261" s="33"/>
      <c r="I261" s="33"/>
      <c r="J261" s="33"/>
      <c r="K261" s="33"/>
      <c r="L261" s="37">
        <v>4</v>
      </c>
      <c r="M261" s="30" t="str">
        <f t="shared" si="0"/>
        <v>✘ Pending</v>
      </c>
      <c r="N261" s="30">
        <f t="shared" si="1"/>
        <v>0</v>
      </c>
      <c r="O261" s="31"/>
      <c r="P261" s="32"/>
      <c r="Q261" s="33"/>
      <c r="R261" s="33"/>
      <c r="S261" s="33"/>
      <c r="T261" s="33"/>
      <c r="U261" s="33"/>
      <c r="V261" s="33"/>
      <c r="W261" s="33"/>
      <c r="X261" s="33"/>
      <c r="Y261" s="33"/>
      <c r="Z261" s="33"/>
      <c r="AA261" s="33"/>
      <c r="AB261" s="31"/>
      <c r="AC261" s="32"/>
      <c r="AD261" s="33"/>
      <c r="AE261" s="33"/>
      <c r="AF261" s="33"/>
      <c r="AG261" s="33"/>
      <c r="AH261" s="33"/>
      <c r="AI261" s="33"/>
      <c r="AJ261" s="33"/>
      <c r="AK261" s="33"/>
      <c r="AL261" s="33"/>
      <c r="AM261" s="33"/>
      <c r="AN261" s="33"/>
      <c r="AO261" s="31"/>
      <c r="AP261" s="32"/>
      <c r="AQ261" s="33"/>
      <c r="AR261" s="33"/>
      <c r="AS261" s="33"/>
      <c r="AT261" s="33"/>
      <c r="AU261" s="33"/>
      <c r="AV261" s="33"/>
      <c r="AW261" s="33"/>
      <c r="AX261" s="33"/>
      <c r="AY261" s="33"/>
      <c r="AZ261" s="33"/>
      <c r="BA261" s="33"/>
      <c r="BB261" s="31"/>
      <c r="BC261" s="32"/>
      <c r="BD261" s="33"/>
      <c r="BE261" s="33"/>
      <c r="BF261" s="33"/>
      <c r="BG261" s="33"/>
      <c r="BH261" s="33"/>
      <c r="BI261" s="33"/>
      <c r="BJ261" s="33"/>
      <c r="BK261" s="33"/>
      <c r="BL261" s="33"/>
      <c r="BM261" s="33"/>
      <c r="BN261" s="33"/>
      <c r="BO261" s="31"/>
      <c r="BP261" s="32"/>
      <c r="BQ261" s="33"/>
      <c r="BR261" s="33"/>
      <c r="BS261" s="33"/>
      <c r="BT261" s="33"/>
      <c r="BU261" s="33"/>
      <c r="BV261" s="33"/>
      <c r="BW261" s="33"/>
      <c r="BX261" s="33"/>
      <c r="BY261" s="33"/>
      <c r="BZ261" s="33"/>
      <c r="CA261" s="33"/>
      <c r="CB261" s="31"/>
      <c r="CC261" s="32"/>
      <c r="CD261" s="33"/>
      <c r="CE261" s="33"/>
      <c r="CF261" s="33"/>
      <c r="CG261" s="33"/>
      <c r="CH261" s="33"/>
      <c r="CI261" s="33"/>
      <c r="CJ261" s="33"/>
      <c r="CK261" s="33"/>
      <c r="CL261" s="33"/>
      <c r="CM261" s="33"/>
      <c r="CN261" s="33"/>
      <c r="CO261" s="31"/>
      <c r="CP261" s="32"/>
      <c r="CQ261" s="33"/>
      <c r="CR261" s="33"/>
      <c r="CS261" s="33"/>
      <c r="CT261" s="33"/>
      <c r="CU261" s="33"/>
      <c r="CV261" s="33"/>
      <c r="CW261" s="33"/>
      <c r="CX261" s="33"/>
      <c r="CY261" s="33"/>
      <c r="CZ261" s="33"/>
      <c r="DA261" s="33"/>
      <c r="DB261" s="31"/>
      <c r="DC261" s="32"/>
      <c r="DD261" s="33"/>
      <c r="DE261" s="33"/>
      <c r="DF261" s="33"/>
      <c r="DG261" s="33"/>
      <c r="DH261" s="33"/>
      <c r="DI261" s="33"/>
      <c r="DJ261" s="33"/>
      <c r="DK261" s="33"/>
      <c r="DL261" s="33"/>
      <c r="DM261" s="33"/>
      <c r="DN261" s="33"/>
      <c r="DO261" s="31"/>
      <c r="DP261" s="32"/>
      <c r="DQ261" s="33"/>
      <c r="DR261" s="33"/>
      <c r="DS261" s="33"/>
      <c r="DT261" s="33"/>
      <c r="DU261" s="33"/>
      <c r="DV261" s="33"/>
      <c r="DW261" s="33"/>
      <c r="DX261" s="33"/>
      <c r="DY261" s="33"/>
      <c r="DZ261" s="33"/>
      <c r="EA261" s="33"/>
      <c r="EB261" s="31"/>
      <c r="EC261" s="32"/>
      <c r="ED261" s="33"/>
      <c r="EE261" s="33"/>
      <c r="EF261" s="33"/>
      <c r="EG261" s="33"/>
      <c r="EH261" s="33"/>
      <c r="EI261" s="33"/>
      <c r="EJ261" s="33"/>
      <c r="EK261" s="33"/>
      <c r="EL261" s="33"/>
      <c r="EM261" s="33"/>
      <c r="EN261" s="33"/>
      <c r="EO261" s="31"/>
      <c r="EP261" s="32"/>
      <c r="EQ261" s="33"/>
      <c r="ER261" s="33"/>
      <c r="ES261" s="33"/>
      <c r="ET261" s="33"/>
      <c r="EU261" s="33"/>
      <c r="EV261" s="33"/>
      <c r="EW261" s="33"/>
      <c r="EX261" s="33"/>
      <c r="EY261" s="33"/>
      <c r="EZ261" s="33"/>
      <c r="FA261" s="33"/>
      <c r="FB261" s="31"/>
      <c r="FC261" s="32"/>
      <c r="FD261" s="33"/>
      <c r="FE261" s="33"/>
      <c r="FF261" s="33"/>
      <c r="FG261" s="33"/>
      <c r="FH261" s="33"/>
      <c r="FI261" s="33"/>
      <c r="FJ261" s="33"/>
      <c r="FK261" s="33"/>
      <c r="FL261" s="33"/>
      <c r="FM261" s="33"/>
      <c r="FN261" s="33"/>
      <c r="FO261" s="34">
        <f t="shared" ref="FO261:FV261" si="254">IFERROR(R261*1,0)+IFERROR(AE261*1,0)+IFERROR(AR261*1,0)+IFERROR(BE261*1,0)+IFERROR(BR261*1,0)+IFERROR(CE261*1,0)+IFERROR(CR261*1,0)+IFERROR(DE261*1,0)+IFERROR(DR261*1,0)+IFERROR(EE261*1,0)+IFERROR(ER261*1,0)+IFERROR(FE261*1,0)</f>
        <v>0</v>
      </c>
      <c r="FP261" s="34">
        <f t="shared" si="254"/>
        <v>0</v>
      </c>
      <c r="FQ261" s="34">
        <f t="shared" si="254"/>
        <v>0</v>
      </c>
      <c r="FR261" s="34">
        <f t="shared" si="254"/>
        <v>0</v>
      </c>
      <c r="FS261" s="34">
        <f t="shared" si="254"/>
        <v>0</v>
      </c>
      <c r="FT261" s="34">
        <f t="shared" si="254"/>
        <v>0</v>
      </c>
      <c r="FU261" s="34">
        <f t="shared" si="254"/>
        <v>0</v>
      </c>
      <c r="FV261" s="34">
        <f t="shared" si="254"/>
        <v>0</v>
      </c>
      <c r="FW261" s="28"/>
      <c r="FX261" s="29">
        <f t="shared" si="3"/>
        <v>0</v>
      </c>
    </row>
    <row r="262" spans="1:180" ht="18" customHeight="1" x14ac:dyDescent="0.25">
      <c r="A262" s="3" t="str">
        <f>IF(C262&lt;&gt;"","DRG-"&amp;TEXT(257,"000"),"")</f>
        <v/>
      </c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38">
        <v>4</v>
      </c>
      <c r="M262" s="23" t="str">
        <f t="shared" si="0"/>
        <v>✘ Pending</v>
      </c>
      <c r="N262" s="23">
        <f t="shared" si="1"/>
        <v>0</v>
      </c>
      <c r="O262" s="25"/>
      <c r="P262" s="26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  <c r="AB262" s="25"/>
      <c r="AC262" s="26"/>
      <c r="AD262" s="24"/>
      <c r="AE262" s="24"/>
      <c r="AF262" s="24"/>
      <c r="AG262" s="24"/>
      <c r="AH262" s="24"/>
      <c r="AI262" s="24"/>
      <c r="AJ262" s="24"/>
      <c r="AK262" s="24"/>
      <c r="AL262" s="24"/>
      <c r="AM262" s="24"/>
      <c r="AN262" s="24"/>
      <c r="AO262" s="25"/>
      <c r="AP262" s="26"/>
      <c r="AQ262" s="24"/>
      <c r="AR262" s="24"/>
      <c r="AS262" s="24"/>
      <c r="AT262" s="24"/>
      <c r="AU262" s="24"/>
      <c r="AV262" s="24"/>
      <c r="AW262" s="24"/>
      <c r="AX262" s="24"/>
      <c r="AY262" s="24"/>
      <c r="AZ262" s="24"/>
      <c r="BA262" s="24"/>
      <c r="BB262" s="25"/>
      <c r="BC262" s="26"/>
      <c r="BD262" s="24"/>
      <c r="BE262" s="24"/>
      <c r="BF262" s="24"/>
      <c r="BG262" s="24"/>
      <c r="BH262" s="24"/>
      <c r="BI262" s="24"/>
      <c r="BJ262" s="24"/>
      <c r="BK262" s="24"/>
      <c r="BL262" s="24"/>
      <c r="BM262" s="24"/>
      <c r="BN262" s="24"/>
      <c r="BO262" s="25"/>
      <c r="BP262" s="26"/>
      <c r="BQ262" s="24"/>
      <c r="BR262" s="24"/>
      <c r="BS262" s="24"/>
      <c r="BT262" s="24"/>
      <c r="BU262" s="24"/>
      <c r="BV262" s="24"/>
      <c r="BW262" s="24"/>
      <c r="BX262" s="24"/>
      <c r="BY262" s="24"/>
      <c r="BZ262" s="24"/>
      <c r="CA262" s="24"/>
      <c r="CB262" s="25"/>
      <c r="CC262" s="26"/>
      <c r="CD262" s="24"/>
      <c r="CE262" s="24"/>
      <c r="CF262" s="24"/>
      <c r="CG262" s="24"/>
      <c r="CH262" s="24"/>
      <c r="CI262" s="24"/>
      <c r="CJ262" s="24"/>
      <c r="CK262" s="24"/>
      <c r="CL262" s="24"/>
      <c r="CM262" s="24"/>
      <c r="CN262" s="24"/>
      <c r="CO262" s="25"/>
      <c r="CP262" s="26"/>
      <c r="CQ262" s="24"/>
      <c r="CR262" s="24"/>
      <c r="CS262" s="24"/>
      <c r="CT262" s="24"/>
      <c r="CU262" s="24"/>
      <c r="CV262" s="24"/>
      <c r="CW262" s="24"/>
      <c r="CX262" s="24"/>
      <c r="CY262" s="24"/>
      <c r="CZ262" s="24"/>
      <c r="DA262" s="24"/>
      <c r="DB262" s="25"/>
      <c r="DC262" s="26"/>
      <c r="DD262" s="24"/>
      <c r="DE262" s="24"/>
      <c r="DF262" s="24"/>
      <c r="DG262" s="24"/>
      <c r="DH262" s="24"/>
      <c r="DI262" s="24"/>
      <c r="DJ262" s="24"/>
      <c r="DK262" s="24"/>
      <c r="DL262" s="24"/>
      <c r="DM262" s="24"/>
      <c r="DN262" s="24"/>
      <c r="DO262" s="25"/>
      <c r="DP262" s="26"/>
      <c r="DQ262" s="24"/>
      <c r="DR262" s="24"/>
      <c r="DS262" s="24"/>
      <c r="DT262" s="24"/>
      <c r="DU262" s="24"/>
      <c r="DV262" s="24"/>
      <c r="DW262" s="24"/>
      <c r="DX262" s="24"/>
      <c r="DY262" s="24"/>
      <c r="DZ262" s="24"/>
      <c r="EA262" s="24"/>
      <c r="EB262" s="25"/>
      <c r="EC262" s="26"/>
      <c r="ED262" s="24"/>
      <c r="EE262" s="24"/>
      <c r="EF262" s="24"/>
      <c r="EG262" s="24"/>
      <c r="EH262" s="24"/>
      <c r="EI262" s="24"/>
      <c r="EJ262" s="24"/>
      <c r="EK262" s="24"/>
      <c r="EL262" s="24"/>
      <c r="EM262" s="24"/>
      <c r="EN262" s="24"/>
      <c r="EO262" s="25"/>
      <c r="EP262" s="26"/>
      <c r="EQ262" s="24"/>
      <c r="ER262" s="24"/>
      <c r="ES262" s="24"/>
      <c r="ET262" s="24"/>
      <c r="EU262" s="24"/>
      <c r="EV262" s="24"/>
      <c r="EW262" s="24"/>
      <c r="EX262" s="24"/>
      <c r="EY262" s="24"/>
      <c r="EZ262" s="24"/>
      <c r="FA262" s="24"/>
      <c r="FB262" s="25"/>
      <c r="FC262" s="26"/>
      <c r="FD262" s="24"/>
      <c r="FE262" s="24"/>
      <c r="FF262" s="24"/>
      <c r="FG262" s="24"/>
      <c r="FH262" s="24"/>
      <c r="FI262" s="24"/>
      <c r="FJ262" s="24"/>
      <c r="FK262" s="24"/>
      <c r="FL262" s="24"/>
      <c r="FM262" s="24"/>
      <c r="FN262" s="24"/>
      <c r="FO262" s="27">
        <f t="shared" ref="FO262:FV262" si="255">IFERROR(R262*1,0)+IFERROR(AE262*1,0)+IFERROR(AR262*1,0)+IFERROR(BE262*1,0)+IFERROR(BR262*1,0)+IFERROR(CE262*1,0)+IFERROR(CR262*1,0)+IFERROR(DE262*1,0)+IFERROR(DR262*1,0)+IFERROR(EE262*1,0)+IFERROR(ER262*1,0)+IFERROR(FE262*1,0)</f>
        <v>0</v>
      </c>
      <c r="FP262" s="27">
        <f t="shared" si="255"/>
        <v>0</v>
      </c>
      <c r="FQ262" s="27">
        <f t="shared" si="255"/>
        <v>0</v>
      </c>
      <c r="FR262" s="27">
        <f t="shared" si="255"/>
        <v>0</v>
      </c>
      <c r="FS262" s="27">
        <f t="shared" si="255"/>
        <v>0</v>
      </c>
      <c r="FT262" s="27">
        <f t="shared" si="255"/>
        <v>0</v>
      </c>
      <c r="FU262" s="27">
        <f t="shared" si="255"/>
        <v>0</v>
      </c>
      <c r="FV262" s="27">
        <f t="shared" si="255"/>
        <v>0</v>
      </c>
      <c r="FW262" s="28"/>
      <c r="FX262" s="29">
        <f t="shared" si="3"/>
        <v>0</v>
      </c>
    </row>
    <row r="263" spans="1:180" ht="18" customHeight="1" x14ac:dyDescent="0.25">
      <c r="A263" s="3" t="str">
        <f>IF(C263&lt;&gt;"","DRG-"&amp;TEXT(258,"000"),"")</f>
        <v/>
      </c>
      <c r="B263" s="33"/>
      <c r="C263" s="33"/>
      <c r="D263" s="33"/>
      <c r="E263" s="33"/>
      <c r="F263" s="33"/>
      <c r="G263" s="33"/>
      <c r="H263" s="33"/>
      <c r="I263" s="33"/>
      <c r="J263" s="33"/>
      <c r="K263" s="33"/>
      <c r="L263" s="37">
        <v>4</v>
      </c>
      <c r="M263" s="30" t="str">
        <f t="shared" si="0"/>
        <v>✘ Pending</v>
      </c>
      <c r="N263" s="30">
        <f t="shared" si="1"/>
        <v>0</v>
      </c>
      <c r="O263" s="31"/>
      <c r="P263" s="32"/>
      <c r="Q263" s="33"/>
      <c r="R263" s="33"/>
      <c r="S263" s="33"/>
      <c r="T263" s="33"/>
      <c r="U263" s="33"/>
      <c r="V263" s="33"/>
      <c r="W263" s="33"/>
      <c r="X263" s="33"/>
      <c r="Y263" s="33"/>
      <c r="Z263" s="33"/>
      <c r="AA263" s="33"/>
      <c r="AB263" s="31"/>
      <c r="AC263" s="32"/>
      <c r="AD263" s="33"/>
      <c r="AE263" s="33"/>
      <c r="AF263" s="33"/>
      <c r="AG263" s="33"/>
      <c r="AH263" s="33"/>
      <c r="AI263" s="33"/>
      <c r="AJ263" s="33"/>
      <c r="AK263" s="33"/>
      <c r="AL263" s="33"/>
      <c r="AM263" s="33"/>
      <c r="AN263" s="33"/>
      <c r="AO263" s="31"/>
      <c r="AP263" s="32"/>
      <c r="AQ263" s="33"/>
      <c r="AR263" s="33"/>
      <c r="AS263" s="33"/>
      <c r="AT263" s="33"/>
      <c r="AU263" s="33"/>
      <c r="AV263" s="33"/>
      <c r="AW263" s="33"/>
      <c r="AX263" s="33"/>
      <c r="AY263" s="33"/>
      <c r="AZ263" s="33"/>
      <c r="BA263" s="33"/>
      <c r="BB263" s="31"/>
      <c r="BC263" s="32"/>
      <c r="BD263" s="33"/>
      <c r="BE263" s="33"/>
      <c r="BF263" s="33"/>
      <c r="BG263" s="33"/>
      <c r="BH263" s="33"/>
      <c r="BI263" s="33"/>
      <c r="BJ263" s="33"/>
      <c r="BK263" s="33"/>
      <c r="BL263" s="33"/>
      <c r="BM263" s="33"/>
      <c r="BN263" s="33"/>
      <c r="BO263" s="31"/>
      <c r="BP263" s="32"/>
      <c r="BQ263" s="33"/>
      <c r="BR263" s="33"/>
      <c r="BS263" s="33"/>
      <c r="BT263" s="33"/>
      <c r="BU263" s="33"/>
      <c r="BV263" s="33"/>
      <c r="BW263" s="33"/>
      <c r="BX263" s="33"/>
      <c r="BY263" s="33"/>
      <c r="BZ263" s="33"/>
      <c r="CA263" s="33"/>
      <c r="CB263" s="31"/>
      <c r="CC263" s="32"/>
      <c r="CD263" s="33"/>
      <c r="CE263" s="33"/>
      <c r="CF263" s="33"/>
      <c r="CG263" s="33"/>
      <c r="CH263" s="33"/>
      <c r="CI263" s="33"/>
      <c r="CJ263" s="33"/>
      <c r="CK263" s="33"/>
      <c r="CL263" s="33"/>
      <c r="CM263" s="33"/>
      <c r="CN263" s="33"/>
      <c r="CO263" s="31"/>
      <c r="CP263" s="32"/>
      <c r="CQ263" s="33"/>
      <c r="CR263" s="33"/>
      <c r="CS263" s="33"/>
      <c r="CT263" s="33"/>
      <c r="CU263" s="33"/>
      <c r="CV263" s="33"/>
      <c r="CW263" s="33"/>
      <c r="CX263" s="33"/>
      <c r="CY263" s="33"/>
      <c r="CZ263" s="33"/>
      <c r="DA263" s="33"/>
      <c r="DB263" s="31"/>
      <c r="DC263" s="32"/>
      <c r="DD263" s="33"/>
      <c r="DE263" s="33"/>
      <c r="DF263" s="33"/>
      <c r="DG263" s="33"/>
      <c r="DH263" s="33"/>
      <c r="DI263" s="33"/>
      <c r="DJ263" s="33"/>
      <c r="DK263" s="33"/>
      <c r="DL263" s="33"/>
      <c r="DM263" s="33"/>
      <c r="DN263" s="33"/>
      <c r="DO263" s="31"/>
      <c r="DP263" s="32"/>
      <c r="DQ263" s="33"/>
      <c r="DR263" s="33"/>
      <c r="DS263" s="33"/>
      <c r="DT263" s="33"/>
      <c r="DU263" s="33"/>
      <c r="DV263" s="33"/>
      <c r="DW263" s="33"/>
      <c r="DX263" s="33"/>
      <c r="DY263" s="33"/>
      <c r="DZ263" s="33"/>
      <c r="EA263" s="33"/>
      <c r="EB263" s="31"/>
      <c r="EC263" s="32"/>
      <c r="ED263" s="33"/>
      <c r="EE263" s="33"/>
      <c r="EF263" s="33"/>
      <c r="EG263" s="33"/>
      <c r="EH263" s="33"/>
      <c r="EI263" s="33"/>
      <c r="EJ263" s="33"/>
      <c r="EK263" s="33"/>
      <c r="EL263" s="33"/>
      <c r="EM263" s="33"/>
      <c r="EN263" s="33"/>
      <c r="EO263" s="31"/>
      <c r="EP263" s="32"/>
      <c r="EQ263" s="33"/>
      <c r="ER263" s="33"/>
      <c r="ES263" s="33"/>
      <c r="ET263" s="33"/>
      <c r="EU263" s="33"/>
      <c r="EV263" s="33"/>
      <c r="EW263" s="33"/>
      <c r="EX263" s="33"/>
      <c r="EY263" s="33"/>
      <c r="EZ263" s="33"/>
      <c r="FA263" s="33"/>
      <c r="FB263" s="31"/>
      <c r="FC263" s="32"/>
      <c r="FD263" s="33"/>
      <c r="FE263" s="33"/>
      <c r="FF263" s="33"/>
      <c r="FG263" s="33"/>
      <c r="FH263" s="33"/>
      <c r="FI263" s="33"/>
      <c r="FJ263" s="33"/>
      <c r="FK263" s="33"/>
      <c r="FL263" s="33"/>
      <c r="FM263" s="33"/>
      <c r="FN263" s="33"/>
      <c r="FO263" s="34">
        <f t="shared" ref="FO263:FV263" si="256">IFERROR(R263*1,0)+IFERROR(AE263*1,0)+IFERROR(AR263*1,0)+IFERROR(BE263*1,0)+IFERROR(BR263*1,0)+IFERROR(CE263*1,0)+IFERROR(CR263*1,0)+IFERROR(DE263*1,0)+IFERROR(DR263*1,0)+IFERROR(EE263*1,0)+IFERROR(ER263*1,0)+IFERROR(FE263*1,0)</f>
        <v>0</v>
      </c>
      <c r="FP263" s="34">
        <f t="shared" si="256"/>
        <v>0</v>
      </c>
      <c r="FQ263" s="34">
        <f t="shared" si="256"/>
        <v>0</v>
      </c>
      <c r="FR263" s="34">
        <f t="shared" si="256"/>
        <v>0</v>
      </c>
      <c r="FS263" s="34">
        <f t="shared" si="256"/>
        <v>0</v>
      </c>
      <c r="FT263" s="34">
        <f t="shared" si="256"/>
        <v>0</v>
      </c>
      <c r="FU263" s="34">
        <f t="shared" si="256"/>
        <v>0</v>
      </c>
      <c r="FV263" s="34">
        <f t="shared" si="256"/>
        <v>0</v>
      </c>
      <c r="FW263" s="28"/>
      <c r="FX263" s="29">
        <f t="shared" si="3"/>
        <v>0</v>
      </c>
    </row>
    <row r="264" spans="1:180" ht="18" customHeight="1" x14ac:dyDescent="0.25">
      <c r="A264" s="3" t="str">
        <f>IF(C264&lt;&gt;"","DRG-"&amp;TEXT(259,"000"),"")</f>
        <v/>
      </c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38">
        <v>4</v>
      </c>
      <c r="M264" s="23" t="str">
        <f t="shared" si="0"/>
        <v>✘ Pending</v>
      </c>
      <c r="N264" s="23">
        <f t="shared" si="1"/>
        <v>0</v>
      </c>
      <c r="O264" s="25"/>
      <c r="P264" s="26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  <c r="AB264" s="25"/>
      <c r="AC264" s="26"/>
      <c r="AD264" s="24"/>
      <c r="AE264" s="24"/>
      <c r="AF264" s="24"/>
      <c r="AG264" s="24"/>
      <c r="AH264" s="24"/>
      <c r="AI264" s="24"/>
      <c r="AJ264" s="24"/>
      <c r="AK264" s="24"/>
      <c r="AL264" s="24"/>
      <c r="AM264" s="24"/>
      <c r="AN264" s="24"/>
      <c r="AO264" s="25"/>
      <c r="AP264" s="26"/>
      <c r="AQ264" s="24"/>
      <c r="AR264" s="24"/>
      <c r="AS264" s="24"/>
      <c r="AT264" s="24"/>
      <c r="AU264" s="24"/>
      <c r="AV264" s="24"/>
      <c r="AW264" s="24"/>
      <c r="AX264" s="24"/>
      <c r="AY264" s="24"/>
      <c r="AZ264" s="24"/>
      <c r="BA264" s="24"/>
      <c r="BB264" s="25"/>
      <c r="BC264" s="26"/>
      <c r="BD264" s="24"/>
      <c r="BE264" s="24"/>
      <c r="BF264" s="24"/>
      <c r="BG264" s="24"/>
      <c r="BH264" s="24"/>
      <c r="BI264" s="24"/>
      <c r="BJ264" s="24"/>
      <c r="BK264" s="24"/>
      <c r="BL264" s="24"/>
      <c r="BM264" s="24"/>
      <c r="BN264" s="24"/>
      <c r="BO264" s="25"/>
      <c r="BP264" s="26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5"/>
      <c r="CC264" s="26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5"/>
      <c r="CP264" s="26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5"/>
      <c r="DC264" s="26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5"/>
      <c r="DP264" s="26"/>
      <c r="DQ264" s="24"/>
      <c r="DR264" s="24"/>
      <c r="DS264" s="24"/>
      <c r="DT264" s="24"/>
      <c r="DU264" s="24"/>
      <c r="DV264" s="24"/>
      <c r="DW264" s="24"/>
      <c r="DX264" s="24"/>
      <c r="DY264" s="24"/>
      <c r="DZ264" s="24"/>
      <c r="EA264" s="24"/>
      <c r="EB264" s="25"/>
      <c r="EC264" s="26"/>
      <c r="ED264" s="24"/>
      <c r="EE264" s="24"/>
      <c r="EF264" s="24"/>
      <c r="EG264" s="24"/>
      <c r="EH264" s="24"/>
      <c r="EI264" s="24"/>
      <c r="EJ264" s="24"/>
      <c r="EK264" s="24"/>
      <c r="EL264" s="24"/>
      <c r="EM264" s="24"/>
      <c r="EN264" s="24"/>
      <c r="EO264" s="25"/>
      <c r="EP264" s="26"/>
      <c r="EQ264" s="24"/>
      <c r="ER264" s="24"/>
      <c r="ES264" s="24"/>
      <c r="ET264" s="24"/>
      <c r="EU264" s="24"/>
      <c r="EV264" s="24"/>
      <c r="EW264" s="24"/>
      <c r="EX264" s="24"/>
      <c r="EY264" s="24"/>
      <c r="EZ264" s="24"/>
      <c r="FA264" s="24"/>
      <c r="FB264" s="25"/>
      <c r="FC264" s="26"/>
      <c r="FD264" s="24"/>
      <c r="FE264" s="24"/>
      <c r="FF264" s="24"/>
      <c r="FG264" s="24"/>
      <c r="FH264" s="24"/>
      <c r="FI264" s="24"/>
      <c r="FJ264" s="24"/>
      <c r="FK264" s="24"/>
      <c r="FL264" s="24"/>
      <c r="FM264" s="24"/>
      <c r="FN264" s="24"/>
      <c r="FO264" s="27">
        <f t="shared" ref="FO264:FV264" si="257">IFERROR(R264*1,0)+IFERROR(AE264*1,0)+IFERROR(AR264*1,0)+IFERROR(BE264*1,0)+IFERROR(BR264*1,0)+IFERROR(CE264*1,0)+IFERROR(CR264*1,0)+IFERROR(DE264*1,0)+IFERROR(DR264*1,0)+IFERROR(EE264*1,0)+IFERROR(ER264*1,0)+IFERROR(FE264*1,0)</f>
        <v>0</v>
      </c>
      <c r="FP264" s="27">
        <f t="shared" si="257"/>
        <v>0</v>
      </c>
      <c r="FQ264" s="27">
        <f t="shared" si="257"/>
        <v>0</v>
      </c>
      <c r="FR264" s="27">
        <f t="shared" si="257"/>
        <v>0</v>
      </c>
      <c r="FS264" s="27">
        <f t="shared" si="257"/>
        <v>0</v>
      </c>
      <c r="FT264" s="27">
        <f t="shared" si="257"/>
        <v>0</v>
      </c>
      <c r="FU264" s="27">
        <f t="shared" si="257"/>
        <v>0</v>
      </c>
      <c r="FV264" s="27">
        <f t="shared" si="257"/>
        <v>0</v>
      </c>
      <c r="FW264" s="28"/>
      <c r="FX264" s="29">
        <f t="shared" si="3"/>
        <v>0</v>
      </c>
    </row>
    <row r="265" spans="1:180" ht="18" customHeight="1" x14ac:dyDescent="0.25">
      <c r="A265" s="3" t="str">
        <f>IF(C265&lt;&gt;"","DRG-"&amp;TEXT(260,"000"),"")</f>
        <v/>
      </c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7">
        <v>4</v>
      </c>
      <c r="M265" s="30" t="str">
        <f t="shared" si="0"/>
        <v>✘ Pending</v>
      </c>
      <c r="N265" s="30">
        <f t="shared" si="1"/>
        <v>0</v>
      </c>
      <c r="O265" s="31"/>
      <c r="P265" s="32"/>
      <c r="Q265" s="33"/>
      <c r="R265" s="33"/>
      <c r="S265" s="33"/>
      <c r="T265" s="33"/>
      <c r="U265" s="33"/>
      <c r="V265" s="33"/>
      <c r="W265" s="33"/>
      <c r="X265" s="33"/>
      <c r="Y265" s="33"/>
      <c r="Z265" s="33"/>
      <c r="AA265" s="33"/>
      <c r="AB265" s="31"/>
      <c r="AC265" s="32"/>
      <c r="AD265" s="33"/>
      <c r="AE265" s="33"/>
      <c r="AF265" s="33"/>
      <c r="AG265" s="33"/>
      <c r="AH265" s="33"/>
      <c r="AI265" s="33"/>
      <c r="AJ265" s="33"/>
      <c r="AK265" s="33"/>
      <c r="AL265" s="33"/>
      <c r="AM265" s="33"/>
      <c r="AN265" s="33"/>
      <c r="AO265" s="31"/>
      <c r="AP265" s="32"/>
      <c r="AQ265" s="33"/>
      <c r="AR265" s="33"/>
      <c r="AS265" s="33"/>
      <c r="AT265" s="33"/>
      <c r="AU265" s="33"/>
      <c r="AV265" s="33"/>
      <c r="AW265" s="33"/>
      <c r="AX265" s="33"/>
      <c r="AY265" s="33"/>
      <c r="AZ265" s="33"/>
      <c r="BA265" s="33"/>
      <c r="BB265" s="31"/>
      <c r="BC265" s="32"/>
      <c r="BD265" s="33"/>
      <c r="BE265" s="33"/>
      <c r="BF265" s="33"/>
      <c r="BG265" s="33"/>
      <c r="BH265" s="33"/>
      <c r="BI265" s="33"/>
      <c r="BJ265" s="33"/>
      <c r="BK265" s="33"/>
      <c r="BL265" s="33"/>
      <c r="BM265" s="33"/>
      <c r="BN265" s="33"/>
      <c r="BO265" s="31"/>
      <c r="BP265" s="32"/>
      <c r="BQ265" s="33"/>
      <c r="BR265" s="33"/>
      <c r="BS265" s="33"/>
      <c r="BT265" s="33"/>
      <c r="BU265" s="33"/>
      <c r="BV265" s="33"/>
      <c r="BW265" s="33"/>
      <c r="BX265" s="33"/>
      <c r="BY265" s="33"/>
      <c r="BZ265" s="33"/>
      <c r="CA265" s="33"/>
      <c r="CB265" s="31"/>
      <c r="CC265" s="32"/>
      <c r="CD265" s="33"/>
      <c r="CE265" s="33"/>
      <c r="CF265" s="33"/>
      <c r="CG265" s="33"/>
      <c r="CH265" s="33"/>
      <c r="CI265" s="33"/>
      <c r="CJ265" s="33"/>
      <c r="CK265" s="33"/>
      <c r="CL265" s="33"/>
      <c r="CM265" s="33"/>
      <c r="CN265" s="33"/>
      <c r="CO265" s="31"/>
      <c r="CP265" s="32"/>
      <c r="CQ265" s="33"/>
      <c r="CR265" s="33"/>
      <c r="CS265" s="33"/>
      <c r="CT265" s="33"/>
      <c r="CU265" s="33"/>
      <c r="CV265" s="33"/>
      <c r="CW265" s="33"/>
      <c r="CX265" s="33"/>
      <c r="CY265" s="33"/>
      <c r="CZ265" s="33"/>
      <c r="DA265" s="33"/>
      <c r="DB265" s="31"/>
      <c r="DC265" s="32"/>
      <c r="DD265" s="33"/>
      <c r="DE265" s="33"/>
      <c r="DF265" s="33"/>
      <c r="DG265" s="33"/>
      <c r="DH265" s="33"/>
      <c r="DI265" s="33"/>
      <c r="DJ265" s="33"/>
      <c r="DK265" s="33"/>
      <c r="DL265" s="33"/>
      <c r="DM265" s="33"/>
      <c r="DN265" s="33"/>
      <c r="DO265" s="31"/>
      <c r="DP265" s="32"/>
      <c r="DQ265" s="33"/>
      <c r="DR265" s="33"/>
      <c r="DS265" s="33"/>
      <c r="DT265" s="33"/>
      <c r="DU265" s="33"/>
      <c r="DV265" s="33"/>
      <c r="DW265" s="33"/>
      <c r="DX265" s="33"/>
      <c r="DY265" s="33"/>
      <c r="DZ265" s="33"/>
      <c r="EA265" s="33"/>
      <c r="EB265" s="31"/>
      <c r="EC265" s="32"/>
      <c r="ED265" s="33"/>
      <c r="EE265" s="33"/>
      <c r="EF265" s="33"/>
      <c r="EG265" s="33"/>
      <c r="EH265" s="33"/>
      <c r="EI265" s="33"/>
      <c r="EJ265" s="33"/>
      <c r="EK265" s="33"/>
      <c r="EL265" s="33"/>
      <c r="EM265" s="33"/>
      <c r="EN265" s="33"/>
      <c r="EO265" s="31"/>
      <c r="EP265" s="32"/>
      <c r="EQ265" s="33"/>
      <c r="ER265" s="33"/>
      <c r="ES265" s="33"/>
      <c r="ET265" s="33"/>
      <c r="EU265" s="33"/>
      <c r="EV265" s="33"/>
      <c r="EW265" s="33"/>
      <c r="EX265" s="33"/>
      <c r="EY265" s="33"/>
      <c r="EZ265" s="33"/>
      <c r="FA265" s="33"/>
      <c r="FB265" s="31"/>
      <c r="FC265" s="32"/>
      <c r="FD265" s="33"/>
      <c r="FE265" s="33"/>
      <c r="FF265" s="33"/>
      <c r="FG265" s="33"/>
      <c r="FH265" s="33"/>
      <c r="FI265" s="33"/>
      <c r="FJ265" s="33"/>
      <c r="FK265" s="33"/>
      <c r="FL265" s="33"/>
      <c r="FM265" s="33"/>
      <c r="FN265" s="33"/>
      <c r="FO265" s="34">
        <f t="shared" ref="FO265:FV265" si="258">IFERROR(R265*1,0)+IFERROR(AE265*1,0)+IFERROR(AR265*1,0)+IFERROR(BE265*1,0)+IFERROR(BR265*1,0)+IFERROR(CE265*1,0)+IFERROR(CR265*1,0)+IFERROR(DE265*1,0)+IFERROR(DR265*1,0)+IFERROR(EE265*1,0)+IFERROR(ER265*1,0)+IFERROR(FE265*1,0)</f>
        <v>0</v>
      </c>
      <c r="FP265" s="34">
        <f t="shared" si="258"/>
        <v>0</v>
      </c>
      <c r="FQ265" s="34">
        <f t="shared" si="258"/>
        <v>0</v>
      </c>
      <c r="FR265" s="34">
        <f t="shared" si="258"/>
        <v>0</v>
      </c>
      <c r="FS265" s="34">
        <f t="shared" si="258"/>
        <v>0</v>
      </c>
      <c r="FT265" s="34">
        <f t="shared" si="258"/>
        <v>0</v>
      </c>
      <c r="FU265" s="34">
        <f t="shared" si="258"/>
        <v>0</v>
      </c>
      <c r="FV265" s="34">
        <f t="shared" si="258"/>
        <v>0</v>
      </c>
      <c r="FW265" s="28"/>
      <c r="FX265" s="29">
        <f t="shared" si="3"/>
        <v>0</v>
      </c>
    </row>
    <row r="266" spans="1:180" ht="18" customHeight="1" x14ac:dyDescent="0.25">
      <c r="A266" s="3" t="str">
        <f>IF(C266&lt;&gt;"","DRG-"&amp;TEXT(261,"000"),"")</f>
        <v/>
      </c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38">
        <v>4</v>
      </c>
      <c r="M266" s="23" t="str">
        <f t="shared" si="0"/>
        <v>✘ Pending</v>
      </c>
      <c r="N266" s="23">
        <f t="shared" si="1"/>
        <v>0</v>
      </c>
      <c r="O266" s="25"/>
      <c r="P266" s="26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  <c r="AB266" s="25"/>
      <c r="AC266" s="26"/>
      <c r="AD266" s="24"/>
      <c r="AE266" s="24"/>
      <c r="AF266" s="24"/>
      <c r="AG266" s="24"/>
      <c r="AH266" s="24"/>
      <c r="AI266" s="24"/>
      <c r="AJ266" s="24"/>
      <c r="AK266" s="24"/>
      <c r="AL266" s="24"/>
      <c r="AM266" s="24"/>
      <c r="AN266" s="24"/>
      <c r="AO266" s="25"/>
      <c r="AP266" s="26"/>
      <c r="AQ266" s="24"/>
      <c r="AR266" s="24"/>
      <c r="AS266" s="24"/>
      <c r="AT266" s="24"/>
      <c r="AU266" s="24"/>
      <c r="AV266" s="24"/>
      <c r="AW266" s="24"/>
      <c r="AX266" s="24"/>
      <c r="AY266" s="24"/>
      <c r="AZ266" s="24"/>
      <c r="BA266" s="24"/>
      <c r="BB266" s="25"/>
      <c r="BC266" s="26"/>
      <c r="BD266" s="24"/>
      <c r="BE266" s="24"/>
      <c r="BF266" s="24"/>
      <c r="BG266" s="24"/>
      <c r="BH266" s="24"/>
      <c r="BI266" s="24"/>
      <c r="BJ266" s="24"/>
      <c r="BK266" s="24"/>
      <c r="BL266" s="24"/>
      <c r="BM266" s="24"/>
      <c r="BN266" s="24"/>
      <c r="BO266" s="25"/>
      <c r="BP266" s="26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5"/>
      <c r="CC266" s="26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5"/>
      <c r="CP266" s="26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5"/>
      <c r="DC266" s="26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5"/>
      <c r="DP266" s="26"/>
      <c r="DQ266" s="24"/>
      <c r="DR266" s="24"/>
      <c r="DS266" s="24"/>
      <c r="DT266" s="24"/>
      <c r="DU266" s="24"/>
      <c r="DV266" s="24"/>
      <c r="DW266" s="24"/>
      <c r="DX266" s="24"/>
      <c r="DY266" s="24"/>
      <c r="DZ266" s="24"/>
      <c r="EA266" s="24"/>
      <c r="EB266" s="25"/>
      <c r="EC266" s="26"/>
      <c r="ED266" s="24"/>
      <c r="EE266" s="24"/>
      <c r="EF266" s="24"/>
      <c r="EG266" s="24"/>
      <c r="EH266" s="24"/>
      <c r="EI266" s="24"/>
      <c r="EJ266" s="24"/>
      <c r="EK266" s="24"/>
      <c r="EL266" s="24"/>
      <c r="EM266" s="24"/>
      <c r="EN266" s="24"/>
      <c r="EO266" s="25"/>
      <c r="EP266" s="26"/>
      <c r="EQ266" s="24"/>
      <c r="ER266" s="24"/>
      <c r="ES266" s="24"/>
      <c r="ET266" s="24"/>
      <c r="EU266" s="24"/>
      <c r="EV266" s="24"/>
      <c r="EW266" s="24"/>
      <c r="EX266" s="24"/>
      <c r="EY266" s="24"/>
      <c r="EZ266" s="24"/>
      <c r="FA266" s="24"/>
      <c r="FB266" s="25"/>
      <c r="FC266" s="26"/>
      <c r="FD266" s="24"/>
      <c r="FE266" s="24"/>
      <c r="FF266" s="24"/>
      <c r="FG266" s="24"/>
      <c r="FH266" s="24"/>
      <c r="FI266" s="24"/>
      <c r="FJ266" s="24"/>
      <c r="FK266" s="24"/>
      <c r="FL266" s="24"/>
      <c r="FM266" s="24"/>
      <c r="FN266" s="24"/>
      <c r="FO266" s="27">
        <f t="shared" ref="FO266:FV266" si="259">IFERROR(R266*1,0)+IFERROR(AE266*1,0)+IFERROR(AR266*1,0)+IFERROR(BE266*1,0)+IFERROR(BR266*1,0)+IFERROR(CE266*1,0)+IFERROR(CR266*1,0)+IFERROR(DE266*1,0)+IFERROR(DR266*1,0)+IFERROR(EE266*1,0)+IFERROR(ER266*1,0)+IFERROR(FE266*1,0)</f>
        <v>0</v>
      </c>
      <c r="FP266" s="27">
        <f t="shared" si="259"/>
        <v>0</v>
      </c>
      <c r="FQ266" s="27">
        <f t="shared" si="259"/>
        <v>0</v>
      </c>
      <c r="FR266" s="27">
        <f t="shared" si="259"/>
        <v>0</v>
      </c>
      <c r="FS266" s="27">
        <f t="shared" si="259"/>
        <v>0</v>
      </c>
      <c r="FT266" s="27">
        <f t="shared" si="259"/>
        <v>0</v>
      </c>
      <c r="FU266" s="27">
        <f t="shared" si="259"/>
        <v>0</v>
      </c>
      <c r="FV266" s="27">
        <f t="shared" si="259"/>
        <v>0</v>
      </c>
      <c r="FW266" s="28"/>
      <c r="FX266" s="29">
        <f t="shared" si="3"/>
        <v>0</v>
      </c>
    </row>
    <row r="267" spans="1:180" ht="18" customHeight="1" x14ac:dyDescent="0.25">
      <c r="A267" s="3" t="str">
        <f>IF(C267&lt;&gt;"","DRG-"&amp;TEXT(262,"000"),"")</f>
        <v/>
      </c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7">
        <v>4</v>
      </c>
      <c r="M267" s="30" t="str">
        <f t="shared" si="0"/>
        <v>✘ Pending</v>
      </c>
      <c r="N267" s="30">
        <f t="shared" si="1"/>
        <v>0</v>
      </c>
      <c r="O267" s="31"/>
      <c r="P267" s="32"/>
      <c r="Q267" s="33"/>
      <c r="R267" s="33"/>
      <c r="S267" s="33"/>
      <c r="T267" s="33"/>
      <c r="U267" s="33"/>
      <c r="V267" s="33"/>
      <c r="W267" s="33"/>
      <c r="X267" s="33"/>
      <c r="Y267" s="33"/>
      <c r="Z267" s="33"/>
      <c r="AA267" s="33"/>
      <c r="AB267" s="31"/>
      <c r="AC267" s="32"/>
      <c r="AD267" s="33"/>
      <c r="AE267" s="33"/>
      <c r="AF267" s="33"/>
      <c r="AG267" s="33"/>
      <c r="AH267" s="33"/>
      <c r="AI267" s="33"/>
      <c r="AJ267" s="33"/>
      <c r="AK267" s="33"/>
      <c r="AL267" s="33"/>
      <c r="AM267" s="33"/>
      <c r="AN267" s="33"/>
      <c r="AO267" s="31"/>
      <c r="AP267" s="32"/>
      <c r="AQ267" s="33"/>
      <c r="AR267" s="33"/>
      <c r="AS267" s="33"/>
      <c r="AT267" s="33"/>
      <c r="AU267" s="33"/>
      <c r="AV267" s="33"/>
      <c r="AW267" s="33"/>
      <c r="AX267" s="33"/>
      <c r="AY267" s="33"/>
      <c r="AZ267" s="33"/>
      <c r="BA267" s="33"/>
      <c r="BB267" s="31"/>
      <c r="BC267" s="32"/>
      <c r="BD267" s="33"/>
      <c r="BE267" s="33"/>
      <c r="BF267" s="33"/>
      <c r="BG267" s="33"/>
      <c r="BH267" s="33"/>
      <c r="BI267" s="33"/>
      <c r="BJ267" s="33"/>
      <c r="BK267" s="33"/>
      <c r="BL267" s="33"/>
      <c r="BM267" s="33"/>
      <c r="BN267" s="33"/>
      <c r="BO267" s="31"/>
      <c r="BP267" s="32"/>
      <c r="BQ267" s="33"/>
      <c r="BR267" s="33"/>
      <c r="BS267" s="33"/>
      <c r="BT267" s="33"/>
      <c r="BU267" s="33"/>
      <c r="BV267" s="33"/>
      <c r="BW267" s="33"/>
      <c r="BX267" s="33"/>
      <c r="BY267" s="33"/>
      <c r="BZ267" s="33"/>
      <c r="CA267" s="33"/>
      <c r="CB267" s="31"/>
      <c r="CC267" s="32"/>
      <c r="CD267" s="33"/>
      <c r="CE267" s="33"/>
      <c r="CF267" s="33"/>
      <c r="CG267" s="33"/>
      <c r="CH267" s="33"/>
      <c r="CI267" s="33"/>
      <c r="CJ267" s="33"/>
      <c r="CK267" s="33"/>
      <c r="CL267" s="33"/>
      <c r="CM267" s="33"/>
      <c r="CN267" s="33"/>
      <c r="CO267" s="31"/>
      <c r="CP267" s="32"/>
      <c r="CQ267" s="33"/>
      <c r="CR267" s="33"/>
      <c r="CS267" s="33"/>
      <c r="CT267" s="33"/>
      <c r="CU267" s="33"/>
      <c r="CV267" s="33"/>
      <c r="CW267" s="33"/>
      <c r="CX267" s="33"/>
      <c r="CY267" s="33"/>
      <c r="CZ267" s="33"/>
      <c r="DA267" s="33"/>
      <c r="DB267" s="31"/>
      <c r="DC267" s="32"/>
      <c r="DD267" s="33"/>
      <c r="DE267" s="33"/>
      <c r="DF267" s="33"/>
      <c r="DG267" s="33"/>
      <c r="DH267" s="33"/>
      <c r="DI267" s="33"/>
      <c r="DJ267" s="33"/>
      <c r="DK267" s="33"/>
      <c r="DL267" s="33"/>
      <c r="DM267" s="33"/>
      <c r="DN267" s="33"/>
      <c r="DO267" s="31"/>
      <c r="DP267" s="32"/>
      <c r="DQ267" s="33"/>
      <c r="DR267" s="33"/>
      <c r="DS267" s="33"/>
      <c r="DT267" s="33"/>
      <c r="DU267" s="33"/>
      <c r="DV267" s="33"/>
      <c r="DW267" s="33"/>
      <c r="DX267" s="33"/>
      <c r="DY267" s="33"/>
      <c r="DZ267" s="33"/>
      <c r="EA267" s="33"/>
      <c r="EB267" s="31"/>
      <c r="EC267" s="32"/>
      <c r="ED267" s="33"/>
      <c r="EE267" s="33"/>
      <c r="EF267" s="33"/>
      <c r="EG267" s="33"/>
      <c r="EH267" s="33"/>
      <c r="EI267" s="33"/>
      <c r="EJ267" s="33"/>
      <c r="EK267" s="33"/>
      <c r="EL267" s="33"/>
      <c r="EM267" s="33"/>
      <c r="EN267" s="33"/>
      <c r="EO267" s="31"/>
      <c r="EP267" s="32"/>
      <c r="EQ267" s="33"/>
      <c r="ER267" s="33"/>
      <c r="ES267" s="33"/>
      <c r="ET267" s="33"/>
      <c r="EU267" s="33"/>
      <c r="EV267" s="33"/>
      <c r="EW267" s="33"/>
      <c r="EX267" s="33"/>
      <c r="EY267" s="33"/>
      <c r="EZ267" s="33"/>
      <c r="FA267" s="33"/>
      <c r="FB267" s="31"/>
      <c r="FC267" s="32"/>
      <c r="FD267" s="33"/>
      <c r="FE267" s="33"/>
      <c r="FF267" s="33"/>
      <c r="FG267" s="33"/>
      <c r="FH267" s="33"/>
      <c r="FI267" s="33"/>
      <c r="FJ267" s="33"/>
      <c r="FK267" s="33"/>
      <c r="FL267" s="33"/>
      <c r="FM267" s="33"/>
      <c r="FN267" s="33"/>
      <c r="FO267" s="34">
        <f t="shared" ref="FO267:FV267" si="260">IFERROR(R267*1,0)+IFERROR(AE267*1,0)+IFERROR(AR267*1,0)+IFERROR(BE267*1,0)+IFERROR(BR267*1,0)+IFERROR(CE267*1,0)+IFERROR(CR267*1,0)+IFERROR(DE267*1,0)+IFERROR(DR267*1,0)+IFERROR(EE267*1,0)+IFERROR(ER267*1,0)+IFERROR(FE267*1,0)</f>
        <v>0</v>
      </c>
      <c r="FP267" s="34">
        <f t="shared" si="260"/>
        <v>0</v>
      </c>
      <c r="FQ267" s="34">
        <f t="shared" si="260"/>
        <v>0</v>
      </c>
      <c r="FR267" s="34">
        <f t="shared" si="260"/>
        <v>0</v>
      </c>
      <c r="FS267" s="34">
        <f t="shared" si="260"/>
        <v>0</v>
      </c>
      <c r="FT267" s="34">
        <f t="shared" si="260"/>
        <v>0</v>
      </c>
      <c r="FU267" s="34">
        <f t="shared" si="260"/>
        <v>0</v>
      </c>
      <c r="FV267" s="34">
        <f t="shared" si="260"/>
        <v>0</v>
      </c>
      <c r="FW267" s="28"/>
      <c r="FX267" s="29">
        <f t="shared" si="3"/>
        <v>0</v>
      </c>
    </row>
    <row r="268" spans="1:180" ht="18" customHeight="1" x14ac:dyDescent="0.25">
      <c r="A268" s="3" t="str">
        <f>IF(C268&lt;&gt;"","DRG-"&amp;TEXT(263,"000"),"")</f>
        <v/>
      </c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38">
        <v>4</v>
      </c>
      <c r="M268" s="23" t="str">
        <f t="shared" si="0"/>
        <v>✘ Pending</v>
      </c>
      <c r="N268" s="23">
        <f t="shared" si="1"/>
        <v>0</v>
      </c>
      <c r="O268" s="25"/>
      <c r="P268" s="26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  <c r="AB268" s="25"/>
      <c r="AC268" s="26"/>
      <c r="AD268" s="24"/>
      <c r="AE268" s="24"/>
      <c r="AF268" s="24"/>
      <c r="AG268" s="24"/>
      <c r="AH268" s="24"/>
      <c r="AI268" s="24"/>
      <c r="AJ268" s="24"/>
      <c r="AK268" s="24"/>
      <c r="AL268" s="24"/>
      <c r="AM268" s="24"/>
      <c r="AN268" s="24"/>
      <c r="AO268" s="25"/>
      <c r="AP268" s="26"/>
      <c r="AQ268" s="24"/>
      <c r="AR268" s="24"/>
      <c r="AS268" s="24"/>
      <c r="AT268" s="24"/>
      <c r="AU268" s="24"/>
      <c r="AV268" s="24"/>
      <c r="AW268" s="24"/>
      <c r="AX268" s="24"/>
      <c r="AY268" s="24"/>
      <c r="AZ268" s="24"/>
      <c r="BA268" s="24"/>
      <c r="BB268" s="25"/>
      <c r="BC268" s="26"/>
      <c r="BD268" s="24"/>
      <c r="BE268" s="24"/>
      <c r="BF268" s="24"/>
      <c r="BG268" s="24"/>
      <c r="BH268" s="24"/>
      <c r="BI268" s="24"/>
      <c r="BJ268" s="24"/>
      <c r="BK268" s="24"/>
      <c r="BL268" s="24"/>
      <c r="BM268" s="24"/>
      <c r="BN268" s="24"/>
      <c r="BO268" s="25"/>
      <c r="BP268" s="26"/>
      <c r="BQ268" s="24"/>
      <c r="BR268" s="24"/>
      <c r="BS268" s="24"/>
      <c r="BT268" s="24"/>
      <c r="BU268" s="24"/>
      <c r="BV268" s="24"/>
      <c r="BW268" s="24"/>
      <c r="BX268" s="24"/>
      <c r="BY268" s="24"/>
      <c r="BZ268" s="24"/>
      <c r="CA268" s="24"/>
      <c r="CB268" s="25"/>
      <c r="CC268" s="26"/>
      <c r="CD268" s="24"/>
      <c r="CE268" s="24"/>
      <c r="CF268" s="24"/>
      <c r="CG268" s="24"/>
      <c r="CH268" s="24"/>
      <c r="CI268" s="24"/>
      <c r="CJ268" s="24"/>
      <c r="CK268" s="24"/>
      <c r="CL268" s="24"/>
      <c r="CM268" s="24"/>
      <c r="CN268" s="24"/>
      <c r="CO268" s="25"/>
      <c r="CP268" s="26"/>
      <c r="CQ268" s="24"/>
      <c r="CR268" s="24"/>
      <c r="CS268" s="24"/>
      <c r="CT268" s="24"/>
      <c r="CU268" s="24"/>
      <c r="CV268" s="24"/>
      <c r="CW268" s="24"/>
      <c r="CX268" s="24"/>
      <c r="CY268" s="24"/>
      <c r="CZ268" s="24"/>
      <c r="DA268" s="24"/>
      <c r="DB268" s="25"/>
      <c r="DC268" s="26"/>
      <c r="DD268" s="24"/>
      <c r="DE268" s="24"/>
      <c r="DF268" s="24"/>
      <c r="DG268" s="24"/>
      <c r="DH268" s="24"/>
      <c r="DI268" s="24"/>
      <c r="DJ268" s="24"/>
      <c r="DK268" s="24"/>
      <c r="DL268" s="24"/>
      <c r="DM268" s="24"/>
      <c r="DN268" s="24"/>
      <c r="DO268" s="25"/>
      <c r="DP268" s="26"/>
      <c r="DQ268" s="24"/>
      <c r="DR268" s="24"/>
      <c r="DS268" s="24"/>
      <c r="DT268" s="24"/>
      <c r="DU268" s="24"/>
      <c r="DV268" s="24"/>
      <c r="DW268" s="24"/>
      <c r="DX268" s="24"/>
      <c r="DY268" s="24"/>
      <c r="DZ268" s="24"/>
      <c r="EA268" s="24"/>
      <c r="EB268" s="25"/>
      <c r="EC268" s="26"/>
      <c r="ED268" s="24"/>
      <c r="EE268" s="24"/>
      <c r="EF268" s="24"/>
      <c r="EG268" s="24"/>
      <c r="EH268" s="24"/>
      <c r="EI268" s="24"/>
      <c r="EJ268" s="24"/>
      <c r="EK268" s="24"/>
      <c r="EL268" s="24"/>
      <c r="EM268" s="24"/>
      <c r="EN268" s="24"/>
      <c r="EO268" s="25"/>
      <c r="EP268" s="26"/>
      <c r="EQ268" s="24"/>
      <c r="ER268" s="24"/>
      <c r="ES268" s="24"/>
      <c r="ET268" s="24"/>
      <c r="EU268" s="24"/>
      <c r="EV268" s="24"/>
      <c r="EW268" s="24"/>
      <c r="EX268" s="24"/>
      <c r="EY268" s="24"/>
      <c r="EZ268" s="24"/>
      <c r="FA268" s="24"/>
      <c r="FB268" s="25"/>
      <c r="FC268" s="26"/>
      <c r="FD268" s="24"/>
      <c r="FE268" s="24"/>
      <c r="FF268" s="24"/>
      <c r="FG268" s="24"/>
      <c r="FH268" s="24"/>
      <c r="FI268" s="24"/>
      <c r="FJ268" s="24"/>
      <c r="FK268" s="24"/>
      <c r="FL268" s="24"/>
      <c r="FM268" s="24"/>
      <c r="FN268" s="24"/>
      <c r="FO268" s="27">
        <f t="shared" ref="FO268:FV268" si="261">IFERROR(R268*1,0)+IFERROR(AE268*1,0)+IFERROR(AR268*1,0)+IFERROR(BE268*1,0)+IFERROR(BR268*1,0)+IFERROR(CE268*1,0)+IFERROR(CR268*1,0)+IFERROR(DE268*1,0)+IFERROR(DR268*1,0)+IFERROR(EE268*1,0)+IFERROR(ER268*1,0)+IFERROR(FE268*1,0)</f>
        <v>0</v>
      </c>
      <c r="FP268" s="27">
        <f t="shared" si="261"/>
        <v>0</v>
      </c>
      <c r="FQ268" s="27">
        <f t="shared" si="261"/>
        <v>0</v>
      </c>
      <c r="FR268" s="27">
        <f t="shared" si="261"/>
        <v>0</v>
      </c>
      <c r="FS268" s="27">
        <f t="shared" si="261"/>
        <v>0</v>
      </c>
      <c r="FT268" s="27">
        <f t="shared" si="261"/>
        <v>0</v>
      </c>
      <c r="FU268" s="27">
        <f t="shared" si="261"/>
        <v>0</v>
      </c>
      <c r="FV268" s="27">
        <f t="shared" si="261"/>
        <v>0</v>
      </c>
      <c r="FW268" s="28"/>
      <c r="FX268" s="29">
        <f t="shared" si="3"/>
        <v>0</v>
      </c>
    </row>
    <row r="269" spans="1:180" ht="18" customHeight="1" x14ac:dyDescent="0.25">
      <c r="A269" s="3" t="str">
        <f>IF(C269&lt;&gt;"","DRG-"&amp;TEXT(264,"000"),"")</f>
        <v/>
      </c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7">
        <v>4</v>
      </c>
      <c r="M269" s="30" t="str">
        <f t="shared" si="0"/>
        <v>✘ Pending</v>
      </c>
      <c r="N269" s="30">
        <f t="shared" si="1"/>
        <v>0</v>
      </c>
      <c r="O269" s="31"/>
      <c r="P269" s="32"/>
      <c r="Q269" s="33"/>
      <c r="R269" s="33"/>
      <c r="S269" s="33"/>
      <c r="T269" s="33"/>
      <c r="U269" s="33"/>
      <c r="V269" s="33"/>
      <c r="W269" s="33"/>
      <c r="X269" s="33"/>
      <c r="Y269" s="33"/>
      <c r="Z269" s="33"/>
      <c r="AA269" s="33"/>
      <c r="AB269" s="31"/>
      <c r="AC269" s="32"/>
      <c r="AD269" s="33"/>
      <c r="AE269" s="33"/>
      <c r="AF269" s="33"/>
      <c r="AG269" s="33"/>
      <c r="AH269" s="33"/>
      <c r="AI269" s="33"/>
      <c r="AJ269" s="33"/>
      <c r="AK269" s="33"/>
      <c r="AL269" s="33"/>
      <c r="AM269" s="33"/>
      <c r="AN269" s="33"/>
      <c r="AO269" s="31"/>
      <c r="AP269" s="32"/>
      <c r="AQ269" s="33"/>
      <c r="AR269" s="33"/>
      <c r="AS269" s="33"/>
      <c r="AT269" s="33"/>
      <c r="AU269" s="33"/>
      <c r="AV269" s="33"/>
      <c r="AW269" s="33"/>
      <c r="AX269" s="33"/>
      <c r="AY269" s="33"/>
      <c r="AZ269" s="33"/>
      <c r="BA269" s="33"/>
      <c r="BB269" s="31"/>
      <c r="BC269" s="32"/>
      <c r="BD269" s="33"/>
      <c r="BE269" s="33"/>
      <c r="BF269" s="33"/>
      <c r="BG269" s="33"/>
      <c r="BH269" s="33"/>
      <c r="BI269" s="33"/>
      <c r="BJ269" s="33"/>
      <c r="BK269" s="33"/>
      <c r="BL269" s="33"/>
      <c r="BM269" s="33"/>
      <c r="BN269" s="33"/>
      <c r="BO269" s="31"/>
      <c r="BP269" s="32"/>
      <c r="BQ269" s="33"/>
      <c r="BR269" s="33"/>
      <c r="BS269" s="33"/>
      <c r="BT269" s="33"/>
      <c r="BU269" s="33"/>
      <c r="BV269" s="33"/>
      <c r="BW269" s="33"/>
      <c r="BX269" s="33"/>
      <c r="BY269" s="33"/>
      <c r="BZ269" s="33"/>
      <c r="CA269" s="33"/>
      <c r="CB269" s="31"/>
      <c r="CC269" s="32"/>
      <c r="CD269" s="33"/>
      <c r="CE269" s="33"/>
      <c r="CF269" s="33"/>
      <c r="CG269" s="33"/>
      <c r="CH269" s="33"/>
      <c r="CI269" s="33"/>
      <c r="CJ269" s="33"/>
      <c r="CK269" s="33"/>
      <c r="CL269" s="33"/>
      <c r="CM269" s="33"/>
      <c r="CN269" s="33"/>
      <c r="CO269" s="31"/>
      <c r="CP269" s="32"/>
      <c r="CQ269" s="33"/>
      <c r="CR269" s="33"/>
      <c r="CS269" s="33"/>
      <c r="CT269" s="33"/>
      <c r="CU269" s="33"/>
      <c r="CV269" s="33"/>
      <c r="CW269" s="33"/>
      <c r="CX269" s="33"/>
      <c r="CY269" s="33"/>
      <c r="CZ269" s="33"/>
      <c r="DA269" s="33"/>
      <c r="DB269" s="31"/>
      <c r="DC269" s="32"/>
      <c r="DD269" s="33"/>
      <c r="DE269" s="33"/>
      <c r="DF269" s="33"/>
      <c r="DG269" s="33"/>
      <c r="DH269" s="33"/>
      <c r="DI269" s="33"/>
      <c r="DJ269" s="33"/>
      <c r="DK269" s="33"/>
      <c r="DL269" s="33"/>
      <c r="DM269" s="33"/>
      <c r="DN269" s="33"/>
      <c r="DO269" s="31"/>
      <c r="DP269" s="32"/>
      <c r="DQ269" s="33"/>
      <c r="DR269" s="33"/>
      <c r="DS269" s="33"/>
      <c r="DT269" s="33"/>
      <c r="DU269" s="33"/>
      <c r="DV269" s="33"/>
      <c r="DW269" s="33"/>
      <c r="DX269" s="33"/>
      <c r="DY269" s="33"/>
      <c r="DZ269" s="33"/>
      <c r="EA269" s="33"/>
      <c r="EB269" s="31"/>
      <c r="EC269" s="32"/>
      <c r="ED269" s="33"/>
      <c r="EE269" s="33"/>
      <c r="EF269" s="33"/>
      <c r="EG269" s="33"/>
      <c r="EH269" s="33"/>
      <c r="EI269" s="33"/>
      <c r="EJ269" s="33"/>
      <c r="EK269" s="33"/>
      <c r="EL269" s="33"/>
      <c r="EM269" s="33"/>
      <c r="EN269" s="33"/>
      <c r="EO269" s="31"/>
      <c r="EP269" s="32"/>
      <c r="EQ269" s="33"/>
      <c r="ER269" s="33"/>
      <c r="ES269" s="33"/>
      <c r="ET269" s="33"/>
      <c r="EU269" s="33"/>
      <c r="EV269" s="33"/>
      <c r="EW269" s="33"/>
      <c r="EX269" s="33"/>
      <c r="EY269" s="33"/>
      <c r="EZ269" s="33"/>
      <c r="FA269" s="33"/>
      <c r="FB269" s="31"/>
      <c r="FC269" s="32"/>
      <c r="FD269" s="33"/>
      <c r="FE269" s="33"/>
      <c r="FF269" s="33"/>
      <c r="FG269" s="33"/>
      <c r="FH269" s="33"/>
      <c r="FI269" s="33"/>
      <c r="FJ269" s="33"/>
      <c r="FK269" s="33"/>
      <c r="FL269" s="33"/>
      <c r="FM269" s="33"/>
      <c r="FN269" s="33"/>
      <c r="FO269" s="34">
        <f t="shared" ref="FO269:FV269" si="262">IFERROR(R269*1,0)+IFERROR(AE269*1,0)+IFERROR(AR269*1,0)+IFERROR(BE269*1,0)+IFERROR(BR269*1,0)+IFERROR(CE269*1,0)+IFERROR(CR269*1,0)+IFERROR(DE269*1,0)+IFERROR(DR269*1,0)+IFERROR(EE269*1,0)+IFERROR(ER269*1,0)+IFERROR(FE269*1,0)</f>
        <v>0</v>
      </c>
      <c r="FP269" s="34">
        <f t="shared" si="262"/>
        <v>0</v>
      </c>
      <c r="FQ269" s="34">
        <f t="shared" si="262"/>
        <v>0</v>
      </c>
      <c r="FR269" s="34">
        <f t="shared" si="262"/>
        <v>0</v>
      </c>
      <c r="FS269" s="34">
        <f t="shared" si="262"/>
        <v>0</v>
      </c>
      <c r="FT269" s="34">
        <f t="shared" si="262"/>
        <v>0</v>
      </c>
      <c r="FU269" s="34">
        <f t="shared" si="262"/>
        <v>0</v>
      </c>
      <c r="FV269" s="34">
        <f t="shared" si="262"/>
        <v>0</v>
      </c>
      <c r="FW269" s="28"/>
      <c r="FX269" s="29">
        <f t="shared" si="3"/>
        <v>0</v>
      </c>
    </row>
    <row r="270" spans="1:180" ht="18" customHeight="1" x14ac:dyDescent="0.25">
      <c r="A270" s="3" t="str">
        <f>IF(C270&lt;&gt;"","DRG-"&amp;TEXT(265,"000"),"")</f>
        <v/>
      </c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38">
        <v>4</v>
      </c>
      <c r="M270" s="23" t="str">
        <f t="shared" si="0"/>
        <v>✘ Pending</v>
      </c>
      <c r="N270" s="23">
        <f t="shared" si="1"/>
        <v>0</v>
      </c>
      <c r="O270" s="25"/>
      <c r="P270" s="26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  <c r="AB270" s="25"/>
      <c r="AC270" s="26"/>
      <c r="AD270" s="24"/>
      <c r="AE270" s="24"/>
      <c r="AF270" s="24"/>
      <c r="AG270" s="24"/>
      <c r="AH270" s="24"/>
      <c r="AI270" s="24"/>
      <c r="AJ270" s="24"/>
      <c r="AK270" s="24"/>
      <c r="AL270" s="24"/>
      <c r="AM270" s="24"/>
      <c r="AN270" s="24"/>
      <c r="AO270" s="25"/>
      <c r="AP270" s="26"/>
      <c r="AQ270" s="24"/>
      <c r="AR270" s="24"/>
      <c r="AS270" s="24"/>
      <c r="AT270" s="24"/>
      <c r="AU270" s="24"/>
      <c r="AV270" s="24"/>
      <c r="AW270" s="24"/>
      <c r="AX270" s="24"/>
      <c r="AY270" s="24"/>
      <c r="AZ270" s="24"/>
      <c r="BA270" s="24"/>
      <c r="BB270" s="25"/>
      <c r="BC270" s="26"/>
      <c r="BD270" s="24"/>
      <c r="BE270" s="24"/>
      <c r="BF270" s="24"/>
      <c r="BG270" s="24"/>
      <c r="BH270" s="24"/>
      <c r="BI270" s="24"/>
      <c r="BJ270" s="24"/>
      <c r="BK270" s="24"/>
      <c r="BL270" s="24"/>
      <c r="BM270" s="24"/>
      <c r="BN270" s="24"/>
      <c r="BO270" s="25"/>
      <c r="BP270" s="26"/>
      <c r="BQ270" s="24"/>
      <c r="BR270" s="24"/>
      <c r="BS270" s="24"/>
      <c r="BT270" s="24"/>
      <c r="BU270" s="24"/>
      <c r="BV270" s="24"/>
      <c r="BW270" s="24"/>
      <c r="BX270" s="24"/>
      <c r="BY270" s="24"/>
      <c r="BZ270" s="24"/>
      <c r="CA270" s="24"/>
      <c r="CB270" s="25"/>
      <c r="CC270" s="26"/>
      <c r="CD270" s="24"/>
      <c r="CE270" s="24"/>
      <c r="CF270" s="24"/>
      <c r="CG270" s="24"/>
      <c r="CH270" s="24"/>
      <c r="CI270" s="24"/>
      <c r="CJ270" s="24"/>
      <c r="CK270" s="24"/>
      <c r="CL270" s="24"/>
      <c r="CM270" s="24"/>
      <c r="CN270" s="24"/>
      <c r="CO270" s="25"/>
      <c r="CP270" s="26"/>
      <c r="CQ270" s="24"/>
      <c r="CR270" s="24"/>
      <c r="CS270" s="24"/>
      <c r="CT270" s="24"/>
      <c r="CU270" s="24"/>
      <c r="CV270" s="24"/>
      <c r="CW270" s="24"/>
      <c r="CX270" s="24"/>
      <c r="CY270" s="24"/>
      <c r="CZ270" s="24"/>
      <c r="DA270" s="24"/>
      <c r="DB270" s="25"/>
      <c r="DC270" s="26"/>
      <c r="DD270" s="24"/>
      <c r="DE270" s="24"/>
      <c r="DF270" s="24"/>
      <c r="DG270" s="24"/>
      <c r="DH270" s="24"/>
      <c r="DI270" s="24"/>
      <c r="DJ270" s="24"/>
      <c r="DK270" s="24"/>
      <c r="DL270" s="24"/>
      <c r="DM270" s="24"/>
      <c r="DN270" s="24"/>
      <c r="DO270" s="25"/>
      <c r="DP270" s="26"/>
      <c r="DQ270" s="24"/>
      <c r="DR270" s="24"/>
      <c r="DS270" s="24"/>
      <c r="DT270" s="24"/>
      <c r="DU270" s="24"/>
      <c r="DV270" s="24"/>
      <c r="DW270" s="24"/>
      <c r="DX270" s="24"/>
      <c r="DY270" s="24"/>
      <c r="DZ270" s="24"/>
      <c r="EA270" s="24"/>
      <c r="EB270" s="25"/>
      <c r="EC270" s="26"/>
      <c r="ED270" s="24"/>
      <c r="EE270" s="24"/>
      <c r="EF270" s="24"/>
      <c r="EG270" s="24"/>
      <c r="EH270" s="24"/>
      <c r="EI270" s="24"/>
      <c r="EJ270" s="24"/>
      <c r="EK270" s="24"/>
      <c r="EL270" s="24"/>
      <c r="EM270" s="24"/>
      <c r="EN270" s="24"/>
      <c r="EO270" s="25"/>
      <c r="EP270" s="26"/>
      <c r="EQ270" s="24"/>
      <c r="ER270" s="24"/>
      <c r="ES270" s="24"/>
      <c r="ET270" s="24"/>
      <c r="EU270" s="24"/>
      <c r="EV270" s="24"/>
      <c r="EW270" s="24"/>
      <c r="EX270" s="24"/>
      <c r="EY270" s="24"/>
      <c r="EZ270" s="24"/>
      <c r="FA270" s="24"/>
      <c r="FB270" s="25"/>
      <c r="FC270" s="26"/>
      <c r="FD270" s="24"/>
      <c r="FE270" s="24"/>
      <c r="FF270" s="24"/>
      <c r="FG270" s="24"/>
      <c r="FH270" s="24"/>
      <c r="FI270" s="24"/>
      <c r="FJ270" s="24"/>
      <c r="FK270" s="24"/>
      <c r="FL270" s="24"/>
      <c r="FM270" s="24"/>
      <c r="FN270" s="24"/>
      <c r="FO270" s="27">
        <f t="shared" ref="FO270:FV270" si="263">IFERROR(R270*1,0)+IFERROR(AE270*1,0)+IFERROR(AR270*1,0)+IFERROR(BE270*1,0)+IFERROR(BR270*1,0)+IFERROR(CE270*1,0)+IFERROR(CR270*1,0)+IFERROR(DE270*1,0)+IFERROR(DR270*1,0)+IFERROR(EE270*1,0)+IFERROR(ER270*1,0)+IFERROR(FE270*1,0)</f>
        <v>0</v>
      </c>
      <c r="FP270" s="27">
        <f t="shared" si="263"/>
        <v>0</v>
      </c>
      <c r="FQ270" s="27">
        <f t="shared" si="263"/>
        <v>0</v>
      </c>
      <c r="FR270" s="27">
        <f t="shared" si="263"/>
        <v>0</v>
      </c>
      <c r="FS270" s="27">
        <f t="shared" si="263"/>
        <v>0</v>
      </c>
      <c r="FT270" s="27">
        <f t="shared" si="263"/>
        <v>0</v>
      </c>
      <c r="FU270" s="27">
        <f t="shared" si="263"/>
        <v>0</v>
      </c>
      <c r="FV270" s="27">
        <f t="shared" si="263"/>
        <v>0</v>
      </c>
      <c r="FW270" s="28"/>
      <c r="FX270" s="29">
        <f t="shared" si="3"/>
        <v>0</v>
      </c>
    </row>
    <row r="271" spans="1:180" ht="18" customHeight="1" x14ac:dyDescent="0.25">
      <c r="A271" s="3" t="str">
        <f>IF(C271&lt;&gt;"","DRG-"&amp;TEXT(266,"000"),"")</f>
        <v/>
      </c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7">
        <v>4</v>
      </c>
      <c r="M271" s="30" t="str">
        <f t="shared" si="0"/>
        <v>✘ Pending</v>
      </c>
      <c r="N271" s="30">
        <f t="shared" si="1"/>
        <v>0</v>
      </c>
      <c r="O271" s="31"/>
      <c r="P271" s="32"/>
      <c r="Q271" s="33"/>
      <c r="R271" s="33"/>
      <c r="S271" s="33"/>
      <c r="T271" s="33"/>
      <c r="U271" s="33"/>
      <c r="V271" s="33"/>
      <c r="W271" s="33"/>
      <c r="X271" s="33"/>
      <c r="Y271" s="33"/>
      <c r="Z271" s="33"/>
      <c r="AA271" s="33"/>
      <c r="AB271" s="31"/>
      <c r="AC271" s="32"/>
      <c r="AD271" s="33"/>
      <c r="AE271" s="33"/>
      <c r="AF271" s="33"/>
      <c r="AG271" s="33"/>
      <c r="AH271" s="33"/>
      <c r="AI271" s="33"/>
      <c r="AJ271" s="33"/>
      <c r="AK271" s="33"/>
      <c r="AL271" s="33"/>
      <c r="AM271" s="33"/>
      <c r="AN271" s="33"/>
      <c r="AO271" s="31"/>
      <c r="AP271" s="32"/>
      <c r="AQ271" s="33"/>
      <c r="AR271" s="33"/>
      <c r="AS271" s="33"/>
      <c r="AT271" s="33"/>
      <c r="AU271" s="33"/>
      <c r="AV271" s="33"/>
      <c r="AW271" s="33"/>
      <c r="AX271" s="33"/>
      <c r="AY271" s="33"/>
      <c r="AZ271" s="33"/>
      <c r="BA271" s="33"/>
      <c r="BB271" s="31"/>
      <c r="BC271" s="32"/>
      <c r="BD271" s="33"/>
      <c r="BE271" s="33"/>
      <c r="BF271" s="33"/>
      <c r="BG271" s="33"/>
      <c r="BH271" s="33"/>
      <c r="BI271" s="33"/>
      <c r="BJ271" s="33"/>
      <c r="BK271" s="33"/>
      <c r="BL271" s="33"/>
      <c r="BM271" s="33"/>
      <c r="BN271" s="33"/>
      <c r="BO271" s="31"/>
      <c r="BP271" s="32"/>
      <c r="BQ271" s="33"/>
      <c r="BR271" s="33"/>
      <c r="BS271" s="33"/>
      <c r="BT271" s="33"/>
      <c r="BU271" s="33"/>
      <c r="BV271" s="33"/>
      <c r="BW271" s="33"/>
      <c r="BX271" s="33"/>
      <c r="BY271" s="33"/>
      <c r="BZ271" s="33"/>
      <c r="CA271" s="33"/>
      <c r="CB271" s="31"/>
      <c r="CC271" s="32"/>
      <c r="CD271" s="33"/>
      <c r="CE271" s="33"/>
      <c r="CF271" s="33"/>
      <c r="CG271" s="33"/>
      <c r="CH271" s="33"/>
      <c r="CI271" s="33"/>
      <c r="CJ271" s="33"/>
      <c r="CK271" s="33"/>
      <c r="CL271" s="33"/>
      <c r="CM271" s="33"/>
      <c r="CN271" s="33"/>
      <c r="CO271" s="31"/>
      <c r="CP271" s="32"/>
      <c r="CQ271" s="33"/>
      <c r="CR271" s="33"/>
      <c r="CS271" s="33"/>
      <c r="CT271" s="33"/>
      <c r="CU271" s="33"/>
      <c r="CV271" s="33"/>
      <c r="CW271" s="33"/>
      <c r="CX271" s="33"/>
      <c r="CY271" s="33"/>
      <c r="CZ271" s="33"/>
      <c r="DA271" s="33"/>
      <c r="DB271" s="31"/>
      <c r="DC271" s="32"/>
      <c r="DD271" s="33"/>
      <c r="DE271" s="33"/>
      <c r="DF271" s="33"/>
      <c r="DG271" s="33"/>
      <c r="DH271" s="33"/>
      <c r="DI271" s="33"/>
      <c r="DJ271" s="33"/>
      <c r="DK271" s="33"/>
      <c r="DL271" s="33"/>
      <c r="DM271" s="33"/>
      <c r="DN271" s="33"/>
      <c r="DO271" s="31"/>
      <c r="DP271" s="32"/>
      <c r="DQ271" s="33"/>
      <c r="DR271" s="33"/>
      <c r="DS271" s="33"/>
      <c r="DT271" s="33"/>
      <c r="DU271" s="33"/>
      <c r="DV271" s="33"/>
      <c r="DW271" s="33"/>
      <c r="DX271" s="33"/>
      <c r="DY271" s="33"/>
      <c r="DZ271" s="33"/>
      <c r="EA271" s="33"/>
      <c r="EB271" s="31"/>
      <c r="EC271" s="32"/>
      <c r="ED271" s="33"/>
      <c r="EE271" s="33"/>
      <c r="EF271" s="33"/>
      <c r="EG271" s="33"/>
      <c r="EH271" s="33"/>
      <c r="EI271" s="33"/>
      <c r="EJ271" s="33"/>
      <c r="EK271" s="33"/>
      <c r="EL271" s="33"/>
      <c r="EM271" s="33"/>
      <c r="EN271" s="33"/>
      <c r="EO271" s="31"/>
      <c r="EP271" s="32"/>
      <c r="EQ271" s="33"/>
      <c r="ER271" s="33"/>
      <c r="ES271" s="33"/>
      <c r="ET271" s="33"/>
      <c r="EU271" s="33"/>
      <c r="EV271" s="33"/>
      <c r="EW271" s="33"/>
      <c r="EX271" s="33"/>
      <c r="EY271" s="33"/>
      <c r="EZ271" s="33"/>
      <c r="FA271" s="33"/>
      <c r="FB271" s="31"/>
      <c r="FC271" s="32"/>
      <c r="FD271" s="33"/>
      <c r="FE271" s="33"/>
      <c r="FF271" s="33"/>
      <c r="FG271" s="33"/>
      <c r="FH271" s="33"/>
      <c r="FI271" s="33"/>
      <c r="FJ271" s="33"/>
      <c r="FK271" s="33"/>
      <c r="FL271" s="33"/>
      <c r="FM271" s="33"/>
      <c r="FN271" s="33"/>
      <c r="FO271" s="34">
        <f t="shared" ref="FO271:FV271" si="264">IFERROR(R271*1,0)+IFERROR(AE271*1,0)+IFERROR(AR271*1,0)+IFERROR(BE271*1,0)+IFERROR(BR271*1,0)+IFERROR(CE271*1,0)+IFERROR(CR271*1,0)+IFERROR(DE271*1,0)+IFERROR(DR271*1,0)+IFERROR(EE271*1,0)+IFERROR(ER271*1,0)+IFERROR(FE271*1,0)</f>
        <v>0</v>
      </c>
      <c r="FP271" s="34">
        <f t="shared" si="264"/>
        <v>0</v>
      </c>
      <c r="FQ271" s="34">
        <f t="shared" si="264"/>
        <v>0</v>
      </c>
      <c r="FR271" s="34">
        <f t="shared" si="264"/>
        <v>0</v>
      </c>
      <c r="FS271" s="34">
        <f t="shared" si="264"/>
        <v>0</v>
      </c>
      <c r="FT271" s="34">
        <f t="shared" si="264"/>
        <v>0</v>
      </c>
      <c r="FU271" s="34">
        <f t="shared" si="264"/>
        <v>0</v>
      </c>
      <c r="FV271" s="34">
        <f t="shared" si="264"/>
        <v>0</v>
      </c>
      <c r="FW271" s="28"/>
      <c r="FX271" s="29">
        <f t="shared" si="3"/>
        <v>0</v>
      </c>
    </row>
    <row r="272" spans="1:180" ht="18" customHeight="1" x14ac:dyDescent="0.25">
      <c r="A272" s="3" t="str">
        <f>IF(C272&lt;&gt;"","DRG-"&amp;TEXT(267,"000"),"")</f>
        <v/>
      </c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38">
        <v>4</v>
      </c>
      <c r="M272" s="23" t="str">
        <f t="shared" si="0"/>
        <v>✘ Pending</v>
      </c>
      <c r="N272" s="23">
        <f t="shared" si="1"/>
        <v>0</v>
      </c>
      <c r="O272" s="25"/>
      <c r="P272" s="26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  <c r="AB272" s="25"/>
      <c r="AC272" s="26"/>
      <c r="AD272" s="24"/>
      <c r="AE272" s="24"/>
      <c r="AF272" s="24"/>
      <c r="AG272" s="24"/>
      <c r="AH272" s="24"/>
      <c r="AI272" s="24"/>
      <c r="AJ272" s="24"/>
      <c r="AK272" s="24"/>
      <c r="AL272" s="24"/>
      <c r="AM272" s="24"/>
      <c r="AN272" s="24"/>
      <c r="AO272" s="25"/>
      <c r="AP272" s="26"/>
      <c r="AQ272" s="24"/>
      <c r="AR272" s="24"/>
      <c r="AS272" s="24"/>
      <c r="AT272" s="24"/>
      <c r="AU272" s="24"/>
      <c r="AV272" s="24"/>
      <c r="AW272" s="24"/>
      <c r="AX272" s="24"/>
      <c r="AY272" s="24"/>
      <c r="AZ272" s="24"/>
      <c r="BA272" s="24"/>
      <c r="BB272" s="25"/>
      <c r="BC272" s="26"/>
      <c r="BD272" s="24"/>
      <c r="BE272" s="24"/>
      <c r="BF272" s="24"/>
      <c r="BG272" s="24"/>
      <c r="BH272" s="24"/>
      <c r="BI272" s="24"/>
      <c r="BJ272" s="24"/>
      <c r="BK272" s="24"/>
      <c r="BL272" s="24"/>
      <c r="BM272" s="24"/>
      <c r="BN272" s="24"/>
      <c r="BO272" s="25"/>
      <c r="BP272" s="26"/>
      <c r="BQ272" s="24"/>
      <c r="BR272" s="24"/>
      <c r="BS272" s="24"/>
      <c r="BT272" s="24"/>
      <c r="BU272" s="24"/>
      <c r="BV272" s="24"/>
      <c r="BW272" s="24"/>
      <c r="BX272" s="24"/>
      <c r="BY272" s="24"/>
      <c r="BZ272" s="24"/>
      <c r="CA272" s="24"/>
      <c r="CB272" s="25"/>
      <c r="CC272" s="26"/>
      <c r="CD272" s="24"/>
      <c r="CE272" s="24"/>
      <c r="CF272" s="24"/>
      <c r="CG272" s="24"/>
      <c r="CH272" s="24"/>
      <c r="CI272" s="24"/>
      <c r="CJ272" s="24"/>
      <c r="CK272" s="24"/>
      <c r="CL272" s="24"/>
      <c r="CM272" s="24"/>
      <c r="CN272" s="24"/>
      <c r="CO272" s="25"/>
      <c r="CP272" s="26"/>
      <c r="CQ272" s="24"/>
      <c r="CR272" s="24"/>
      <c r="CS272" s="24"/>
      <c r="CT272" s="24"/>
      <c r="CU272" s="24"/>
      <c r="CV272" s="24"/>
      <c r="CW272" s="24"/>
      <c r="CX272" s="24"/>
      <c r="CY272" s="24"/>
      <c r="CZ272" s="24"/>
      <c r="DA272" s="24"/>
      <c r="DB272" s="25"/>
      <c r="DC272" s="26"/>
      <c r="DD272" s="24"/>
      <c r="DE272" s="24"/>
      <c r="DF272" s="24"/>
      <c r="DG272" s="24"/>
      <c r="DH272" s="24"/>
      <c r="DI272" s="24"/>
      <c r="DJ272" s="24"/>
      <c r="DK272" s="24"/>
      <c r="DL272" s="24"/>
      <c r="DM272" s="24"/>
      <c r="DN272" s="24"/>
      <c r="DO272" s="25"/>
      <c r="DP272" s="26"/>
      <c r="DQ272" s="24"/>
      <c r="DR272" s="24"/>
      <c r="DS272" s="24"/>
      <c r="DT272" s="24"/>
      <c r="DU272" s="24"/>
      <c r="DV272" s="24"/>
      <c r="DW272" s="24"/>
      <c r="DX272" s="24"/>
      <c r="DY272" s="24"/>
      <c r="DZ272" s="24"/>
      <c r="EA272" s="24"/>
      <c r="EB272" s="25"/>
      <c r="EC272" s="26"/>
      <c r="ED272" s="24"/>
      <c r="EE272" s="24"/>
      <c r="EF272" s="24"/>
      <c r="EG272" s="24"/>
      <c r="EH272" s="24"/>
      <c r="EI272" s="24"/>
      <c r="EJ272" s="24"/>
      <c r="EK272" s="24"/>
      <c r="EL272" s="24"/>
      <c r="EM272" s="24"/>
      <c r="EN272" s="24"/>
      <c r="EO272" s="25"/>
      <c r="EP272" s="26"/>
      <c r="EQ272" s="24"/>
      <c r="ER272" s="24"/>
      <c r="ES272" s="24"/>
      <c r="ET272" s="24"/>
      <c r="EU272" s="24"/>
      <c r="EV272" s="24"/>
      <c r="EW272" s="24"/>
      <c r="EX272" s="24"/>
      <c r="EY272" s="24"/>
      <c r="EZ272" s="24"/>
      <c r="FA272" s="24"/>
      <c r="FB272" s="25"/>
      <c r="FC272" s="26"/>
      <c r="FD272" s="24"/>
      <c r="FE272" s="24"/>
      <c r="FF272" s="24"/>
      <c r="FG272" s="24"/>
      <c r="FH272" s="24"/>
      <c r="FI272" s="24"/>
      <c r="FJ272" s="24"/>
      <c r="FK272" s="24"/>
      <c r="FL272" s="24"/>
      <c r="FM272" s="24"/>
      <c r="FN272" s="24"/>
      <c r="FO272" s="27">
        <f t="shared" ref="FO272:FV272" si="265">IFERROR(R272*1,0)+IFERROR(AE272*1,0)+IFERROR(AR272*1,0)+IFERROR(BE272*1,0)+IFERROR(BR272*1,0)+IFERROR(CE272*1,0)+IFERROR(CR272*1,0)+IFERROR(DE272*1,0)+IFERROR(DR272*1,0)+IFERROR(EE272*1,0)+IFERROR(ER272*1,0)+IFERROR(FE272*1,0)</f>
        <v>0</v>
      </c>
      <c r="FP272" s="27">
        <f t="shared" si="265"/>
        <v>0</v>
      </c>
      <c r="FQ272" s="27">
        <f t="shared" si="265"/>
        <v>0</v>
      </c>
      <c r="FR272" s="27">
        <f t="shared" si="265"/>
        <v>0</v>
      </c>
      <c r="FS272" s="27">
        <f t="shared" si="265"/>
        <v>0</v>
      </c>
      <c r="FT272" s="27">
        <f t="shared" si="265"/>
        <v>0</v>
      </c>
      <c r="FU272" s="27">
        <f t="shared" si="265"/>
        <v>0</v>
      </c>
      <c r="FV272" s="27">
        <f t="shared" si="265"/>
        <v>0</v>
      </c>
      <c r="FW272" s="28"/>
      <c r="FX272" s="29">
        <f t="shared" si="3"/>
        <v>0</v>
      </c>
    </row>
    <row r="273" spans="1:180" ht="18" customHeight="1" x14ac:dyDescent="0.25">
      <c r="A273" s="3" t="str">
        <f>IF(C273&lt;&gt;"","DRG-"&amp;TEXT(268,"000"),"")</f>
        <v/>
      </c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7">
        <v>4</v>
      </c>
      <c r="M273" s="30" t="str">
        <f t="shared" si="0"/>
        <v>✘ Pending</v>
      </c>
      <c r="N273" s="30">
        <f t="shared" si="1"/>
        <v>0</v>
      </c>
      <c r="O273" s="31"/>
      <c r="P273" s="32"/>
      <c r="Q273" s="33"/>
      <c r="R273" s="33"/>
      <c r="S273" s="33"/>
      <c r="T273" s="33"/>
      <c r="U273" s="33"/>
      <c r="V273" s="33"/>
      <c r="W273" s="33"/>
      <c r="X273" s="33"/>
      <c r="Y273" s="33"/>
      <c r="Z273" s="33"/>
      <c r="AA273" s="33"/>
      <c r="AB273" s="31"/>
      <c r="AC273" s="32"/>
      <c r="AD273" s="33"/>
      <c r="AE273" s="33"/>
      <c r="AF273" s="33"/>
      <c r="AG273" s="33"/>
      <c r="AH273" s="33"/>
      <c r="AI273" s="33"/>
      <c r="AJ273" s="33"/>
      <c r="AK273" s="33"/>
      <c r="AL273" s="33"/>
      <c r="AM273" s="33"/>
      <c r="AN273" s="33"/>
      <c r="AO273" s="31"/>
      <c r="AP273" s="32"/>
      <c r="AQ273" s="33"/>
      <c r="AR273" s="33"/>
      <c r="AS273" s="33"/>
      <c r="AT273" s="33"/>
      <c r="AU273" s="33"/>
      <c r="AV273" s="33"/>
      <c r="AW273" s="33"/>
      <c r="AX273" s="33"/>
      <c r="AY273" s="33"/>
      <c r="AZ273" s="33"/>
      <c r="BA273" s="33"/>
      <c r="BB273" s="31"/>
      <c r="BC273" s="32"/>
      <c r="BD273" s="33"/>
      <c r="BE273" s="33"/>
      <c r="BF273" s="33"/>
      <c r="BG273" s="33"/>
      <c r="BH273" s="33"/>
      <c r="BI273" s="33"/>
      <c r="BJ273" s="33"/>
      <c r="BK273" s="33"/>
      <c r="BL273" s="33"/>
      <c r="BM273" s="33"/>
      <c r="BN273" s="33"/>
      <c r="BO273" s="31"/>
      <c r="BP273" s="32"/>
      <c r="BQ273" s="33"/>
      <c r="BR273" s="33"/>
      <c r="BS273" s="33"/>
      <c r="BT273" s="33"/>
      <c r="BU273" s="33"/>
      <c r="BV273" s="33"/>
      <c r="BW273" s="33"/>
      <c r="BX273" s="33"/>
      <c r="BY273" s="33"/>
      <c r="BZ273" s="33"/>
      <c r="CA273" s="33"/>
      <c r="CB273" s="31"/>
      <c r="CC273" s="32"/>
      <c r="CD273" s="33"/>
      <c r="CE273" s="33"/>
      <c r="CF273" s="33"/>
      <c r="CG273" s="33"/>
      <c r="CH273" s="33"/>
      <c r="CI273" s="33"/>
      <c r="CJ273" s="33"/>
      <c r="CK273" s="33"/>
      <c r="CL273" s="33"/>
      <c r="CM273" s="33"/>
      <c r="CN273" s="33"/>
      <c r="CO273" s="31"/>
      <c r="CP273" s="32"/>
      <c r="CQ273" s="33"/>
      <c r="CR273" s="33"/>
      <c r="CS273" s="33"/>
      <c r="CT273" s="33"/>
      <c r="CU273" s="33"/>
      <c r="CV273" s="33"/>
      <c r="CW273" s="33"/>
      <c r="CX273" s="33"/>
      <c r="CY273" s="33"/>
      <c r="CZ273" s="33"/>
      <c r="DA273" s="33"/>
      <c r="DB273" s="31"/>
      <c r="DC273" s="32"/>
      <c r="DD273" s="33"/>
      <c r="DE273" s="33"/>
      <c r="DF273" s="33"/>
      <c r="DG273" s="33"/>
      <c r="DH273" s="33"/>
      <c r="DI273" s="33"/>
      <c r="DJ273" s="33"/>
      <c r="DK273" s="33"/>
      <c r="DL273" s="33"/>
      <c r="DM273" s="33"/>
      <c r="DN273" s="33"/>
      <c r="DO273" s="31"/>
      <c r="DP273" s="32"/>
      <c r="DQ273" s="33"/>
      <c r="DR273" s="33"/>
      <c r="DS273" s="33"/>
      <c r="DT273" s="33"/>
      <c r="DU273" s="33"/>
      <c r="DV273" s="33"/>
      <c r="DW273" s="33"/>
      <c r="DX273" s="33"/>
      <c r="DY273" s="33"/>
      <c r="DZ273" s="33"/>
      <c r="EA273" s="33"/>
      <c r="EB273" s="31"/>
      <c r="EC273" s="32"/>
      <c r="ED273" s="33"/>
      <c r="EE273" s="33"/>
      <c r="EF273" s="33"/>
      <c r="EG273" s="33"/>
      <c r="EH273" s="33"/>
      <c r="EI273" s="33"/>
      <c r="EJ273" s="33"/>
      <c r="EK273" s="33"/>
      <c r="EL273" s="33"/>
      <c r="EM273" s="33"/>
      <c r="EN273" s="33"/>
      <c r="EO273" s="31"/>
      <c r="EP273" s="32"/>
      <c r="EQ273" s="33"/>
      <c r="ER273" s="33"/>
      <c r="ES273" s="33"/>
      <c r="ET273" s="33"/>
      <c r="EU273" s="33"/>
      <c r="EV273" s="33"/>
      <c r="EW273" s="33"/>
      <c r="EX273" s="33"/>
      <c r="EY273" s="33"/>
      <c r="EZ273" s="33"/>
      <c r="FA273" s="33"/>
      <c r="FB273" s="31"/>
      <c r="FC273" s="32"/>
      <c r="FD273" s="33"/>
      <c r="FE273" s="33"/>
      <c r="FF273" s="33"/>
      <c r="FG273" s="33"/>
      <c r="FH273" s="33"/>
      <c r="FI273" s="33"/>
      <c r="FJ273" s="33"/>
      <c r="FK273" s="33"/>
      <c r="FL273" s="33"/>
      <c r="FM273" s="33"/>
      <c r="FN273" s="33"/>
      <c r="FO273" s="34">
        <f t="shared" ref="FO273:FV273" si="266">IFERROR(R273*1,0)+IFERROR(AE273*1,0)+IFERROR(AR273*1,0)+IFERROR(BE273*1,0)+IFERROR(BR273*1,0)+IFERROR(CE273*1,0)+IFERROR(CR273*1,0)+IFERROR(DE273*1,0)+IFERROR(DR273*1,0)+IFERROR(EE273*1,0)+IFERROR(ER273*1,0)+IFERROR(FE273*1,0)</f>
        <v>0</v>
      </c>
      <c r="FP273" s="34">
        <f t="shared" si="266"/>
        <v>0</v>
      </c>
      <c r="FQ273" s="34">
        <f t="shared" si="266"/>
        <v>0</v>
      </c>
      <c r="FR273" s="34">
        <f t="shared" si="266"/>
        <v>0</v>
      </c>
      <c r="FS273" s="34">
        <f t="shared" si="266"/>
        <v>0</v>
      </c>
      <c r="FT273" s="34">
        <f t="shared" si="266"/>
        <v>0</v>
      </c>
      <c r="FU273" s="34">
        <f t="shared" si="266"/>
        <v>0</v>
      </c>
      <c r="FV273" s="34">
        <f t="shared" si="266"/>
        <v>0</v>
      </c>
      <c r="FW273" s="28"/>
      <c r="FX273" s="29">
        <f t="shared" si="3"/>
        <v>0</v>
      </c>
    </row>
    <row r="274" spans="1:180" ht="18" customHeight="1" x14ac:dyDescent="0.25">
      <c r="A274" s="3" t="str">
        <f>IF(C274&lt;&gt;"","DRG-"&amp;TEXT(269,"000"),"")</f>
        <v/>
      </c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38">
        <v>4</v>
      </c>
      <c r="M274" s="23" t="str">
        <f t="shared" si="0"/>
        <v>✘ Pending</v>
      </c>
      <c r="N274" s="23">
        <f t="shared" si="1"/>
        <v>0</v>
      </c>
      <c r="O274" s="25"/>
      <c r="P274" s="26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  <c r="AB274" s="25"/>
      <c r="AC274" s="26"/>
      <c r="AD274" s="24"/>
      <c r="AE274" s="24"/>
      <c r="AF274" s="24"/>
      <c r="AG274" s="24"/>
      <c r="AH274" s="24"/>
      <c r="AI274" s="24"/>
      <c r="AJ274" s="24"/>
      <c r="AK274" s="24"/>
      <c r="AL274" s="24"/>
      <c r="AM274" s="24"/>
      <c r="AN274" s="24"/>
      <c r="AO274" s="25"/>
      <c r="AP274" s="26"/>
      <c r="AQ274" s="24"/>
      <c r="AR274" s="24"/>
      <c r="AS274" s="24"/>
      <c r="AT274" s="24"/>
      <c r="AU274" s="24"/>
      <c r="AV274" s="24"/>
      <c r="AW274" s="24"/>
      <c r="AX274" s="24"/>
      <c r="AY274" s="24"/>
      <c r="AZ274" s="24"/>
      <c r="BA274" s="24"/>
      <c r="BB274" s="25"/>
      <c r="BC274" s="26"/>
      <c r="BD274" s="24"/>
      <c r="BE274" s="24"/>
      <c r="BF274" s="24"/>
      <c r="BG274" s="24"/>
      <c r="BH274" s="24"/>
      <c r="BI274" s="24"/>
      <c r="BJ274" s="24"/>
      <c r="BK274" s="24"/>
      <c r="BL274" s="24"/>
      <c r="BM274" s="24"/>
      <c r="BN274" s="24"/>
      <c r="BO274" s="25"/>
      <c r="BP274" s="26"/>
      <c r="BQ274" s="24"/>
      <c r="BR274" s="24"/>
      <c r="BS274" s="24"/>
      <c r="BT274" s="24"/>
      <c r="BU274" s="24"/>
      <c r="BV274" s="24"/>
      <c r="BW274" s="24"/>
      <c r="BX274" s="24"/>
      <c r="BY274" s="24"/>
      <c r="BZ274" s="24"/>
      <c r="CA274" s="24"/>
      <c r="CB274" s="25"/>
      <c r="CC274" s="26"/>
      <c r="CD274" s="24"/>
      <c r="CE274" s="24"/>
      <c r="CF274" s="24"/>
      <c r="CG274" s="24"/>
      <c r="CH274" s="24"/>
      <c r="CI274" s="24"/>
      <c r="CJ274" s="24"/>
      <c r="CK274" s="24"/>
      <c r="CL274" s="24"/>
      <c r="CM274" s="24"/>
      <c r="CN274" s="24"/>
      <c r="CO274" s="25"/>
      <c r="CP274" s="26"/>
      <c r="CQ274" s="24"/>
      <c r="CR274" s="24"/>
      <c r="CS274" s="24"/>
      <c r="CT274" s="24"/>
      <c r="CU274" s="24"/>
      <c r="CV274" s="24"/>
      <c r="CW274" s="24"/>
      <c r="CX274" s="24"/>
      <c r="CY274" s="24"/>
      <c r="CZ274" s="24"/>
      <c r="DA274" s="24"/>
      <c r="DB274" s="25"/>
      <c r="DC274" s="26"/>
      <c r="DD274" s="24"/>
      <c r="DE274" s="24"/>
      <c r="DF274" s="24"/>
      <c r="DG274" s="24"/>
      <c r="DH274" s="24"/>
      <c r="DI274" s="24"/>
      <c r="DJ274" s="24"/>
      <c r="DK274" s="24"/>
      <c r="DL274" s="24"/>
      <c r="DM274" s="24"/>
      <c r="DN274" s="24"/>
      <c r="DO274" s="25"/>
      <c r="DP274" s="26"/>
      <c r="DQ274" s="24"/>
      <c r="DR274" s="24"/>
      <c r="DS274" s="24"/>
      <c r="DT274" s="24"/>
      <c r="DU274" s="24"/>
      <c r="DV274" s="24"/>
      <c r="DW274" s="24"/>
      <c r="DX274" s="24"/>
      <c r="DY274" s="24"/>
      <c r="DZ274" s="24"/>
      <c r="EA274" s="24"/>
      <c r="EB274" s="25"/>
      <c r="EC274" s="26"/>
      <c r="ED274" s="24"/>
      <c r="EE274" s="24"/>
      <c r="EF274" s="24"/>
      <c r="EG274" s="24"/>
      <c r="EH274" s="24"/>
      <c r="EI274" s="24"/>
      <c r="EJ274" s="24"/>
      <c r="EK274" s="24"/>
      <c r="EL274" s="24"/>
      <c r="EM274" s="24"/>
      <c r="EN274" s="24"/>
      <c r="EO274" s="25"/>
      <c r="EP274" s="26"/>
      <c r="EQ274" s="24"/>
      <c r="ER274" s="24"/>
      <c r="ES274" s="24"/>
      <c r="ET274" s="24"/>
      <c r="EU274" s="24"/>
      <c r="EV274" s="24"/>
      <c r="EW274" s="24"/>
      <c r="EX274" s="24"/>
      <c r="EY274" s="24"/>
      <c r="EZ274" s="24"/>
      <c r="FA274" s="24"/>
      <c r="FB274" s="25"/>
      <c r="FC274" s="26"/>
      <c r="FD274" s="24"/>
      <c r="FE274" s="24"/>
      <c r="FF274" s="24"/>
      <c r="FG274" s="24"/>
      <c r="FH274" s="24"/>
      <c r="FI274" s="24"/>
      <c r="FJ274" s="24"/>
      <c r="FK274" s="24"/>
      <c r="FL274" s="24"/>
      <c r="FM274" s="24"/>
      <c r="FN274" s="24"/>
      <c r="FO274" s="27">
        <f t="shared" ref="FO274:FV274" si="267">IFERROR(R274*1,0)+IFERROR(AE274*1,0)+IFERROR(AR274*1,0)+IFERROR(BE274*1,0)+IFERROR(BR274*1,0)+IFERROR(CE274*1,0)+IFERROR(CR274*1,0)+IFERROR(DE274*1,0)+IFERROR(DR274*1,0)+IFERROR(EE274*1,0)+IFERROR(ER274*1,0)+IFERROR(FE274*1,0)</f>
        <v>0</v>
      </c>
      <c r="FP274" s="27">
        <f t="shared" si="267"/>
        <v>0</v>
      </c>
      <c r="FQ274" s="27">
        <f t="shared" si="267"/>
        <v>0</v>
      </c>
      <c r="FR274" s="27">
        <f t="shared" si="267"/>
        <v>0</v>
      </c>
      <c r="FS274" s="27">
        <f t="shared" si="267"/>
        <v>0</v>
      </c>
      <c r="FT274" s="27">
        <f t="shared" si="267"/>
        <v>0</v>
      </c>
      <c r="FU274" s="27">
        <f t="shared" si="267"/>
        <v>0</v>
      </c>
      <c r="FV274" s="27">
        <f t="shared" si="267"/>
        <v>0</v>
      </c>
      <c r="FW274" s="28"/>
      <c r="FX274" s="29">
        <f t="shared" si="3"/>
        <v>0</v>
      </c>
    </row>
    <row r="275" spans="1:180" ht="18" customHeight="1" x14ac:dyDescent="0.25">
      <c r="A275" s="3" t="str">
        <f>IF(C275&lt;&gt;"","DRG-"&amp;TEXT(270,"000"),"")</f>
        <v/>
      </c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7">
        <v>4</v>
      </c>
      <c r="M275" s="30" t="str">
        <f t="shared" si="0"/>
        <v>✘ Pending</v>
      </c>
      <c r="N275" s="30">
        <f t="shared" si="1"/>
        <v>0</v>
      </c>
      <c r="O275" s="31"/>
      <c r="P275" s="32"/>
      <c r="Q275" s="33"/>
      <c r="R275" s="33"/>
      <c r="S275" s="33"/>
      <c r="T275" s="33"/>
      <c r="U275" s="33"/>
      <c r="V275" s="33"/>
      <c r="W275" s="33"/>
      <c r="X275" s="33"/>
      <c r="Y275" s="33"/>
      <c r="Z275" s="33"/>
      <c r="AA275" s="33"/>
      <c r="AB275" s="31"/>
      <c r="AC275" s="32"/>
      <c r="AD275" s="33"/>
      <c r="AE275" s="33"/>
      <c r="AF275" s="33"/>
      <c r="AG275" s="33"/>
      <c r="AH275" s="33"/>
      <c r="AI275" s="33"/>
      <c r="AJ275" s="33"/>
      <c r="AK275" s="33"/>
      <c r="AL275" s="33"/>
      <c r="AM275" s="33"/>
      <c r="AN275" s="33"/>
      <c r="AO275" s="31"/>
      <c r="AP275" s="32"/>
      <c r="AQ275" s="33"/>
      <c r="AR275" s="33"/>
      <c r="AS275" s="33"/>
      <c r="AT275" s="33"/>
      <c r="AU275" s="33"/>
      <c r="AV275" s="33"/>
      <c r="AW275" s="33"/>
      <c r="AX275" s="33"/>
      <c r="AY275" s="33"/>
      <c r="AZ275" s="33"/>
      <c r="BA275" s="33"/>
      <c r="BB275" s="31"/>
      <c r="BC275" s="32"/>
      <c r="BD275" s="33"/>
      <c r="BE275" s="33"/>
      <c r="BF275" s="33"/>
      <c r="BG275" s="33"/>
      <c r="BH275" s="33"/>
      <c r="BI275" s="33"/>
      <c r="BJ275" s="33"/>
      <c r="BK275" s="33"/>
      <c r="BL275" s="33"/>
      <c r="BM275" s="33"/>
      <c r="BN275" s="33"/>
      <c r="BO275" s="31"/>
      <c r="BP275" s="32"/>
      <c r="BQ275" s="33"/>
      <c r="BR275" s="33"/>
      <c r="BS275" s="33"/>
      <c r="BT275" s="33"/>
      <c r="BU275" s="33"/>
      <c r="BV275" s="33"/>
      <c r="BW275" s="33"/>
      <c r="BX275" s="33"/>
      <c r="BY275" s="33"/>
      <c r="BZ275" s="33"/>
      <c r="CA275" s="33"/>
      <c r="CB275" s="31"/>
      <c r="CC275" s="32"/>
      <c r="CD275" s="33"/>
      <c r="CE275" s="33"/>
      <c r="CF275" s="33"/>
      <c r="CG275" s="33"/>
      <c r="CH275" s="33"/>
      <c r="CI275" s="33"/>
      <c r="CJ275" s="33"/>
      <c r="CK275" s="33"/>
      <c r="CL275" s="33"/>
      <c r="CM275" s="33"/>
      <c r="CN275" s="33"/>
      <c r="CO275" s="31"/>
      <c r="CP275" s="32"/>
      <c r="CQ275" s="33"/>
      <c r="CR275" s="33"/>
      <c r="CS275" s="33"/>
      <c r="CT275" s="33"/>
      <c r="CU275" s="33"/>
      <c r="CV275" s="33"/>
      <c r="CW275" s="33"/>
      <c r="CX275" s="33"/>
      <c r="CY275" s="33"/>
      <c r="CZ275" s="33"/>
      <c r="DA275" s="33"/>
      <c r="DB275" s="31"/>
      <c r="DC275" s="32"/>
      <c r="DD275" s="33"/>
      <c r="DE275" s="33"/>
      <c r="DF275" s="33"/>
      <c r="DG275" s="33"/>
      <c r="DH275" s="33"/>
      <c r="DI275" s="33"/>
      <c r="DJ275" s="33"/>
      <c r="DK275" s="33"/>
      <c r="DL275" s="33"/>
      <c r="DM275" s="33"/>
      <c r="DN275" s="33"/>
      <c r="DO275" s="31"/>
      <c r="DP275" s="32"/>
      <c r="DQ275" s="33"/>
      <c r="DR275" s="33"/>
      <c r="DS275" s="33"/>
      <c r="DT275" s="33"/>
      <c r="DU275" s="33"/>
      <c r="DV275" s="33"/>
      <c r="DW275" s="33"/>
      <c r="DX275" s="33"/>
      <c r="DY275" s="33"/>
      <c r="DZ275" s="33"/>
      <c r="EA275" s="33"/>
      <c r="EB275" s="31"/>
      <c r="EC275" s="32"/>
      <c r="ED275" s="33"/>
      <c r="EE275" s="33"/>
      <c r="EF275" s="33"/>
      <c r="EG275" s="33"/>
      <c r="EH275" s="33"/>
      <c r="EI275" s="33"/>
      <c r="EJ275" s="33"/>
      <c r="EK275" s="33"/>
      <c r="EL275" s="33"/>
      <c r="EM275" s="33"/>
      <c r="EN275" s="33"/>
      <c r="EO275" s="31"/>
      <c r="EP275" s="32"/>
      <c r="EQ275" s="33"/>
      <c r="ER275" s="33"/>
      <c r="ES275" s="33"/>
      <c r="ET275" s="33"/>
      <c r="EU275" s="33"/>
      <c r="EV275" s="33"/>
      <c r="EW275" s="33"/>
      <c r="EX275" s="33"/>
      <c r="EY275" s="33"/>
      <c r="EZ275" s="33"/>
      <c r="FA275" s="33"/>
      <c r="FB275" s="31"/>
      <c r="FC275" s="32"/>
      <c r="FD275" s="33"/>
      <c r="FE275" s="33"/>
      <c r="FF275" s="33"/>
      <c r="FG275" s="33"/>
      <c r="FH275" s="33"/>
      <c r="FI275" s="33"/>
      <c r="FJ275" s="33"/>
      <c r="FK275" s="33"/>
      <c r="FL275" s="33"/>
      <c r="FM275" s="33"/>
      <c r="FN275" s="33"/>
      <c r="FO275" s="34">
        <f t="shared" ref="FO275:FV275" si="268">IFERROR(R275*1,0)+IFERROR(AE275*1,0)+IFERROR(AR275*1,0)+IFERROR(BE275*1,0)+IFERROR(BR275*1,0)+IFERROR(CE275*1,0)+IFERROR(CR275*1,0)+IFERROR(DE275*1,0)+IFERROR(DR275*1,0)+IFERROR(EE275*1,0)+IFERROR(ER275*1,0)+IFERROR(FE275*1,0)</f>
        <v>0</v>
      </c>
      <c r="FP275" s="34">
        <f t="shared" si="268"/>
        <v>0</v>
      </c>
      <c r="FQ275" s="34">
        <f t="shared" si="268"/>
        <v>0</v>
      </c>
      <c r="FR275" s="34">
        <f t="shared" si="268"/>
        <v>0</v>
      </c>
      <c r="FS275" s="34">
        <f t="shared" si="268"/>
        <v>0</v>
      </c>
      <c r="FT275" s="34">
        <f t="shared" si="268"/>
        <v>0</v>
      </c>
      <c r="FU275" s="34">
        <f t="shared" si="268"/>
        <v>0</v>
      </c>
      <c r="FV275" s="34">
        <f t="shared" si="268"/>
        <v>0</v>
      </c>
      <c r="FW275" s="28"/>
      <c r="FX275" s="29">
        <f t="shared" si="3"/>
        <v>0</v>
      </c>
    </row>
    <row r="276" spans="1:180" ht="18" customHeight="1" x14ac:dyDescent="0.25">
      <c r="A276" s="3" t="str">
        <f>IF(C276&lt;&gt;"","DRG-"&amp;TEXT(271,"000"),"")</f>
        <v/>
      </c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38">
        <v>4</v>
      </c>
      <c r="M276" s="23" t="str">
        <f t="shared" si="0"/>
        <v>✘ Pending</v>
      </c>
      <c r="N276" s="23">
        <f t="shared" si="1"/>
        <v>0</v>
      </c>
      <c r="O276" s="25"/>
      <c r="P276" s="26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  <c r="AB276" s="25"/>
      <c r="AC276" s="26"/>
      <c r="AD276" s="24"/>
      <c r="AE276" s="24"/>
      <c r="AF276" s="24"/>
      <c r="AG276" s="24"/>
      <c r="AH276" s="24"/>
      <c r="AI276" s="24"/>
      <c r="AJ276" s="24"/>
      <c r="AK276" s="24"/>
      <c r="AL276" s="24"/>
      <c r="AM276" s="24"/>
      <c r="AN276" s="24"/>
      <c r="AO276" s="25"/>
      <c r="AP276" s="26"/>
      <c r="AQ276" s="24"/>
      <c r="AR276" s="24"/>
      <c r="AS276" s="24"/>
      <c r="AT276" s="24"/>
      <c r="AU276" s="24"/>
      <c r="AV276" s="24"/>
      <c r="AW276" s="24"/>
      <c r="AX276" s="24"/>
      <c r="AY276" s="24"/>
      <c r="AZ276" s="24"/>
      <c r="BA276" s="24"/>
      <c r="BB276" s="25"/>
      <c r="BC276" s="26"/>
      <c r="BD276" s="24"/>
      <c r="BE276" s="24"/>
      <c r="BF276" s="24"/>
      <c r="BG276" s="24"/>
      <c r="BH276" s="24"/>
      <c r="BI276" s="24"/>
      <c r="BJ276" s="24"/>
      <c r="BK276" s="24"/>
      <c r="BL276" s="24"/>
      <c r="BM276" s="24"/>
      <c r="BN276" s="24"/>
      <c r="BO276" s="25"/>
      <c r="BP276" s="26"/>
      <c r="BQ276" s="24"/>
      <c r="BR276" s="24"/>
      <c r="BS276" s="24"/>
      <c r="BT276" s="24"/>
      <c r="BU276" s="24"/>
      <c r="BV276" s="24"/>
      <c r="BW276" s="24"/>
      <c r="BX276" s="24"/>
      <c r="BY276" s="24"/>
      <c r="BZ276" s="24"/>
      <c r="CA276" s="24"/>
      <c r="CB276" s="25"/>
      <c r="CC276" s="26"/>
      <c r="CD276" s="24"/>
      <c r="CE276" s="24"/>
      <c r="CF276" s="24"/>
      <c r="CG276" s="24"/>
      <c r="CH276" s="24"/>
      <c r="CI276" s="24"/>
      <c r="CJ276" s="24"/>
      <c r="CK276" s="24"/>
      <c r="CL276" s="24"/>
      <c r="CM276" s="24"/>
      <c r="CN276" s="24"/>
      <c r="CO276" s="25"/>
      <c r="CP276" s="26"/>
      <c r="CQ276" s="24"/>
      <c r="CR276" s="24"/>
      <c r="CS276" s="24"/>
      <c r="CT276" s="24"/>
      <c r="CU276" s="24"/>
      <c r="CV276" s="24"/>
      <c r="CW276" s="24"/>
      <c r="CX276" s="24"/>
      <c r="CY276" s="24"/>
      <c r="CZ276" s="24"/>
      <c r="DA276" s="24"/>
      <c r="DB276" s="25"/>
      <c r="DC276" s="26"/>
      <c r="DD276" s="24"/>
      <c r="DE276" s="24"/>
      <c r="DF276" s="24"/>
      <c r="DG276" s="24"/>
      <c r="DH276" s="24"/>
      <c r="DI276" s="24"/>
      <c r="DJ276" s="24"/>
      <c r="DK276" s="24"/>
      <c r="DL276" s="24"/>
      <c r="DM276" s="24"/>
      <c r="DN276" s="24"/>
      <c r="DO276" s="25"/>
      <c r="DP276" s="26"/>
      <c r="DQ276" s="24"/>
      <c r="DR276" s="24"/>
      <c r="DS276" s="24"/>
      <c r="DT276" s="24"/>
      <c r="DU276" s="24"/>
      <c r="DV276" s="24"/>
      <c r="DW276" s="24"/>
      <c r="DX276" s="24"/>
      <c r="DY276" s="24"/>
      <c r="DZ276" s="24"/>
      <c r="EA276" s="24"/>
      <c r="EB276" s="25"/>
      <c r="EC276" s="26"/>
      <c r="ED276" s="24"/>
      <c r="EE276" s="24"/>
      <c r="EF276" s="24"/>
      <c r="EG276" s="24"/>
      <c r="EH276" s="24"/>
      <c r="EI276" s="24"/>
      <c r="EJ276" s="24"/>
      <c r="EK276" s="24"/>
      <c r="EL276" s="24"/>
      <c r="EM276" s="24"/>
      <c r="EN276" s="24"/>
      <c r="EO276" s="25"/>
      <c r="EP276" s="26"/>
      <c r="EQ276" s="24"/>
      <c r="ER276" s="24"/>
      <c r="ES276" s="24"/>
      <c r="ET276" s="24"/>
      <c r="EU276" s="24"/>
      <c r="EV276" s="24"/>
      <c r="EW276" s="24"/>
      <c r="EX276" s="24"/>
      <c r="EY276" s="24"/>
      <c r="EZ276" s="24"/>
      <c r="FA276" s="24"/>
      <c r="FB276" s="25"/>
      <c r="FC276" s="26"/>
      <c r="FD276" s="24"/>
      <c r="FE276" s="24"/>
      <c r="FF276" s="24"/>
      <c r="FG276" s="24"/>
      <c r="FH276" s="24"/>
      <c r="FI276" s="24"/>
      <c r="FJ276" s="24"/>
      <c r="FK276" s="24"/>
      <c r="FL276" s="24"/>
      <c r="FM276" s="24"/>
      <c r="FN276" s="24"/>
      <c r="FO276" s="27">
        <f t="shared" ref="FO276:FV276" si="269">IFERROR(R276*1,0)+IFERROR(AE276*1,0)+IFERROR(AR276*1,0)+IFERROR(BE276*1,0)+IFERROR(BR276*1,0)+IFERROR(CE276*1,0)+IFERROR(CR276*1,0)+IFERROR(DE276*1,0)+IFERROR(DR276*1,0)+IFERROR(EE276*1,0)+IFERROR(ER276*1,0)+IFERROR(FE276*1,0)</f>
        <v>0</v>
      </c>
      <c r="FP276" s="27">
        <f t="shared" si="269"/>
        <v>0</v>
      </c>
      <c r="FQ276" s="27">
        <f t="shared" si="269"/>
        <v>0</v>
      </c>
      <c r="FR276" s="27">
        <f t="shared" si="269"/>
        <v>0</v>
      </c>
      <c r="FS276" s="27">
        <f t="shared" si="269"/>
        <v>0</v>
      </c>
      <c r="FT276" s="27">
        <f t="shared" si="269"/>
        <v>0</v>
      </c>
      <c r="FU276" s="27">
        <f t="shared" si="269"/>
        <v>0</v>
      </c>
      <c r="FV276" s="27">
        <f t="shared" si="269"/>
        <v>0</v>
      </c>
      <c r="FW276" s="28"/>
      <c r="FX276" s="29">
        <f t="shared" si="3"/>
        <v>0</v>
      </c>
    </row>
    <row r="277" spans="1:180" ht="18" customHeight="1" x14ac:dyDescent="0.25">
      <c r="A277" s="3" t="str">
        <f>IF(C277&lt;&gt;"","DRG-"&amp;TEXT(272,"000"),"")</f>
        <v/>
      </c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7">
        <v>4</v>
      </c>
      <c r="M277" s="30" t="str">
        <f t="shared" si="0"/>
        <v>✘ Pending</v>
      </c>
      <c r="N277" s="30">
        <f t="shared" si="1"/>
        <v>0</v>
      </c>
      <c r="O277" s="31"/>
      <c r="P277" s="32"/>
      <c r="Q277" s="33"/>
      <c r="R277" s="33"/>
      <c r="S277" s="33"/>
      <c r="T277" s="33"/>
      <c r="U277" s="33"/>
      <c r="V277" s="33"/>
      <c r="W277" s="33"/>
      <c r="X277" s="33"/>
      <c r="Y277" s="33"/>
      <c r="Z277" s="33"/>
      <c r="AA277" s="33"/>
      <c r="AB277" s="31"/>
      <c r="AC277" s="32"/>
      <c r="AD277" s="33"/>
      <c r="AE277" s="33"/>
      <c r="AF277" s="33"/>
      <c r="AG277" s="33"/>
      <c r="AH277" s="33"/>
      <c r="AI277" s="33"/>
      <c r="AJ277" s="33"/>
      <c r="AK277" s="33"/>
      <c r="AL277" s="33"/>
      <c r="AM277" s="33"/>
      <c r="AN277" s="33"/>
      <c r="AO277" s="31"/>
      <c r="AP277" s="32"/>
      <c r="AQ277" s="33"/>
      <c r="AR277" s="33"/>
      <c r="AS277" s="33"/>
      <c r="AT277" s="33"/>
      <c r="AU277" s="33"/>
      <c r="AV277" s="33"/>
      <c r="AW277" s="33"/>
      <c r="AX277" s="33"/>
      <c r="AY277" s="33"/>
      <c r="AZ277" s="33"/>
      <c r="BA277" s="33"/>
      <c r="BB277" s="31"/>
      <c r="BC277" s="32"/>
      <c r="BD277" s="33"/>
      <c r="BE277" s="33"/>
      <c r="BF277" s="33"/>
      <c r="BG277" s="33"/>
      <c r="BH277" s="33"/>
      <c r="BI277" s="33"/>
      <c r="BJ277" s="33"/>
      <c r="BK277" s="33"/>
      <c r="BL277" s="33"/>
      <c r="BM277" s="33"/>
      <c r="BN277" s="33"/>
      <c r="BO277" s="31"/>
      <c r="BP277" s="32"/>
      <c r="BQ277" s="33"/>
      <c r="BR277" s="33"/>
      <c r="BS277" s="33"/>
      <c r="BT277" s="33"/>
      <c r="BU277" s="33"/>
      <c r="BV277" s="33"/>
      <c r="BW277" s="33"/>
      <c r="BX277" s="33"/>
      <c r="BY277" s="33"/>
      <c r="BZ277" s="33"/>
      <c r="CA277" s="33"/>
      <c r="CB277" s="31"/>
      <c r="CC277" s="32"/>
      <c r="CD277" s="33"/>
      <c r="CE277" s="33"/>
      <c r="CF277" s="33"/>
      <c r="CG277" s="33"/>
      <c r="CH277" s="33"/>
      <c r="CI277" s="33"/>
      <c r="CJ277" s="33"/>
      <c r="CK277" s="33"/>
      <c r="CL277" s="33"/>
      <c r="CM277" s="33"/>
      <c r="CN277" s="33"/>
      <c r="CO277" s="31"/>
      <c r="CP277" s="32"/>
      <c r="CQ277" s="33"/>
      <c r="CR277" s="33"/>
      <c r="CS277" s="33"/>
      <c r="CT277" s="33"/>
      <c r="CU277" s="33"/>
      <c r="CV277" s="33"/>
      <c r="CW277" s="33"/>
      <c r="CX277" s="33"/>
      <c r="CY277" s="33"/>
      <c r="CZ277" s="33"/>
      <c r="DA277" s="33"/>
      <c r="DB277" s="31"/>
      <c r="DC277" s="32"/>
      <c r="DD277" s="33"/>
      <c r="DE277" s="33"/>
      <c r="DF277" s="33"/>
      <c r="DG277" s="33"/>
      <c r="DH277" s="33"/>
      <c r="DI277" s="33"/>
      <c r="DJ277" s="33"/>
      <c r="DK277" s="33"/>
      <c r="DL277" s="33"/>
      <c r="DM277" s="33"/>
      <c r="DN277" s="33"/>
      <c r="DO277" s="31"/>
      <c r="DP277" s="32"/>
      <c r="DQ277" s="33"/>
      <c r="DR277" s="33"/>
      <c r="DS277" s="33"/>
      <c r="DT277" s="33"/>
      <c r="DU277" s="33"/>
      <c r="DV277" s="33"/>
      <c r="DW277" s="33"/>
      <c r="DX277" s="33"/>
      <c r="DY277" s="33"/>
      <c r="DZ277" s="33"/>
      <c r="EA277" s="33"/>
      <c r="EB277" s="31"/>
      <c r="EC277" s="32"/>
      <c r="ED277" s="33"/>
      <c r="EE277" s="33"/>
      <c r="EF277" s="33"/>
      <c r="EG277" s="33"/>
      <c r="EH277" s="33"/>
      <c r="EI277" s="33"/>
      <c r="EJ277" s="33"/>
      <c r="EK277" s="33"/>
      <c r="EL277" s="33"/>
      <c r="EM277" s="33"/>
      <c r="EN277" s="33"/>
      <c r="EO277" s="31"/>
      <c r="EP277" s="32"/>
      <c r="EQ277" s="33"/>
      <c r="ER277" s="33"/>
      <c r="ES277" s="33"/>
      <c r="ET277" s="33"/>
      <c r="EU277" s="33"/>
      <c r="EV277" s="33"/>
      <c r="EW277" s="33"/>
      <c r="EX277" s="33"/>
      <c r="EY277" s="33"/>
      <c r="EZ277" s="33"/>
      <c r="FA277" s="33"/>
      <c r="FB277" s="31"/>
      <c r="FC277" s="32"/>
      <c r="FD277" s="33"/>
      <c r="FE277" s="33"/>
      <c r="FF277" s="33"/>
      <c r="FG277" s="33"/>
      <c r="FH277" s="33"/>
      <c r="FI277" s="33"/>
      <c r="FJ277" s="33"/>
      <c r="FK277" s="33"/>
      <c r="FL277" s="33"/>
      <c r="FM277" s="33"/>
      <c r="FN277" s="33"/>
      <c r="FO277" s="34">
        <f t="shared" ref="FO277:FV277" si="270">IFERROR(R277*1,0)+IFERROR(AE277*1,0)+IFERROR(AR277*1,0)+IFERROR(BE277*1,0)+IFERROR(BR277*1,0)+IFERROR(CE277*1,0)+IFERROR(CR277*1,0)+IFERROR(DE277*1,0)+IFERROR(DR277*1,0)+IFERROR(EE277*1,0)+IFERROR(ER277*1,0)+IFERROR(FE277*1,0)</f>
        <v>0</v>
      </c>
      <c r="FP277" s="34">
        <f t="shared" si="270"/>
        <v>0</v>
      </c>
      <c r="FQ277" s="34">
        <f t="shared" si="270"/>
        <v>0</v>
      </c>
      <c r="FR277" s="34">
        <f t="shared" si="270"/>
        <v>0</v>
      </c>
      <c r="FS277" s="34">
        <f t="shared" si="270"/>
        <v>0</v>
      </c>
      <c r="FT277" s="34">
        <f t="shared" si="270"/>
        <v>0</v>
      </c>
      <c r="FU277" s="34">
        <f t="shared" si="270"/>
        <v>0</v>
      </c>
      <c r="FV277" s="34">
        <f t="shared" si="270"/>
        <v>0</v>
      </c>
      <c r="FW277" s="28"/>
      <c r="FX277" s="29">
        <f t="shared" si="3"/>
        <v>0</v>
      </c>
    </row>
    <row r="278" spans="1:180" ht="18" customHeight="1" x14ac:dyDescent="0.25">
      <c r="A278" s="3" t="str">
        <f>IF(C278&lt;&gt;"","DRG-"&amp;TEXT(273,"000"),"")</f>
        <v/>
      </c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38">
        <v>4</v>
      </c>
      <c r="M278" s="23" t="str">
        <f t="shared" si="0"/>
        <v>✘ Pending</v>
      </c>
      <c r="N278" s="23">
        <f t="shared" si="1"/>
        <v>0</v>
      </c>
      <c r="O278" s="25"/>
      <c r="P278" s="26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  <c r="AB278" s="25"/>
      <c r="AC278" s="26"/>
      <c r="AD278" s="24"/>
      <c r="AE278" s="24"/>
      <c r="AF278" s="24"/>
      <c r="AG278" s="24"/>
      <c r="AH278" s="24"/>
      <c r="AI278" s="24"/>
      <c r="AJ278" s="24"/>
      <c r="AK278" s="24"/>
      <c r="AL278" s="24"/>
      <c r="AM278" s="24"/>
      <c r="AN278" s="24"/>
      <c r="AO278" s="25"/>
      <c r="AP278" s="26"/>
      <c r="AQ278" s="24"/>
      <c r="AR278" s="24"/>
      <c r="AS278" s="24"/>
      <c r="AT278" s="24"/>
      <c r="AU278" s="24"/>
      <c r="AV278" s="24"/>
      <c r="AW278" s="24"/>
      <c r="AX278" s="24"/>
      <c r="AY278" s="24"/>
      <c r="AZ278" s="24"/>
      <c r="BA278" s="24"/>
      <c r="BB278" s="25"/>
      <c r="BC278" s="26"/>
      <c r="BD278" s="24"/>
      <c r="BE278" s="24"/>
      <c r="BF278" s="24"/>
      <c r="BG278" s="24"/>
      <c r="BH278" s="24"/>
      <c r="BI278" s="24"/>
      <c r="BJ278" s="24"/>
      <c r="BK278" s="24"/>
      <c r="BL278" s="24"/>
      <c r="BM278" s="24"/>
      <c r="BN278" s="24"/>
      <c r="BO278" s="25"/>
      <c r="BP278" s="26"/>
      <c r="BQ278" s="24"/>
      <c r="BR278" s="24"/>
      <c r="BS278" s="24"/>
      <c r="BT278" s="24"/>
      <c r="BU278" s="24"/>
      <c r="BV278" s="24"/>
      <c r="BW278" s="24"/>
      <c r="BX278" s="24"/>
      <c r="BY278" s="24"/>
      <c r="BZ278" s="24"/>
      <c r="CA278" s="24"/>
      <c r="CB278" s="25"/>
      <c r="CC278" s="26"/>
      <c r="CD278" s="24"/>
      <c r="CE278" s="24"/>
      <c r="CF278" s="24"/>
      <c r="CG278" s="24"/>
      <c r="CH278" s="24"/>
      <c r="CI278" s="24"/>
      <c r="CJ278" s="24"/>
      <c r="CK278" s="24"/>
      <c r="CL278" s="24"/>
      <c r="CM278" s="24"/>
      <c r="CN278" s="24"/>
      <c r="CO278" s="25"/>
      <c r="CP278" s="26"/>
      <c r="CQ278" s="24"/>
      <c r="CR278" s="24"/>
      <c r="CS278" s="24"/>
      <c r="CT278" s="24"/>
      <c r="CU278" s="24"/>
      <c r="CV278" s="24"/>
      <c r="CW278" s="24"/>
      <c r="CX278" s="24"/>
      <c r="CY278" s="24"/>
      <c r="CZ278" s="24"/>
      <c r="DA278" s="24"/>
      <c r="DB278" s="25"/>
      <c r="DC278" s="26"/>
      <c r="DD278" s="24"/>
      <c r="DE278" s="24"/>
      <c r="DF278" s="24"/>
      <c r="DG278" s="24"/>
      <c r="DH278" s="24"/>
      <c r="DI278" s="24"/>
      <c r="DJ278" s="24"/>
      <c r="DK278" s="24"/>
      <c r="DL278" s="24"/>
      <c r="DM278" s="24"/>
      <c r="DN278" s="24"/>
      <c r="DO278" s="25"/>
      <c r="DP278" s="26"/>
      <c r="DQ278" s="24"/>
      <c r="DR278" s="24"/>
      <c r="DS278" s="24"/>
      <c r="DT278" s="24"/>
      <c r="DU278" s="24"/>
      <c r="DV278" s="24"/>
      <c r="DW278" s="24"/>
      <c r="DX278" s="24"/>
      <c r="DY278" s="24"/>
      <c r="DZ278" s="24"/>
      <c r="EA278" s="24"/>
      <c r="EB278" s="25"/>
      <c r="EC278" s="26"/>
      <c r="ED278" s="24"/>
      <c r="EE278" s="24"/>
      <c r="EF278" s="24"/>
      <c r="EG278" s="24"/>
      <c r="EH278" s="24"/>
      <c r="EI278" s="24"/>
      <c r="EJ278" s="24"/>
      <c r="EK278" s="24"/>
      <c r="EL278" s="24"/>
      <c r="EM278" s="24"/>
      <c r="EN278" s="24"/>
      <c r="EO278" s="25"/>
      <c r="EP278" s="26"/>
      <c r="EQ278" s="24"/>
      <c r="ER278" s="24"/>
      <c r="ES278" s="24"/>
      <c r="ET278" s="24"/>
      <c r="EU278" s="24"/>
      <c r="EV278" s="24"/>
      <c r="EW278" s="24"/>
      <c r="EX278" s="24"/>
      <c r="EY278" s="24"/>
      <c r="EZ278" s="24"/>
      <c r="FA278" s="24"/>
      <c r="FB278" s="25"/>
      <c r="FC278" s="26"/>
      <c r="FD278" s="24"/>
      <c r="FE278" s="24"/>
      <c r="FF278" s="24"/>
      <c r="FG278" s="24"/>
      <c r="FH278" s="24"/>
      <c r="FI278" s="24"/>
      <c r="FJ278" s="24"/>
      <c r="FK278" s="24"/>
      <c r="FL278" s="24"/>
      <c r="FM278" s="24"/>
      <c r="FN278" s="24"/>
      <c r="FO278" s="27">
        <f t="shared" ref="FO278:FV278" si="271">IFERROR(R278*1,0)+IFERROR(AE278*1,0)+IFERROR(AR278*1,0)+IFERROR(BE278*1,0)+IFERROR(BR278*1,0)+IFERROR(CE278*1,0)+IFERROR(CR278*1,0)+IFERROR(DE278*1,0)+IFERROR(DR278*1,0)+IFERROR(EE278*1,0)+IFERROR(ER278*1,0)+IFERROR(FE278*1,0)</f>
        <v>0</v>
      </c>
      <c r="FP278" s="27">
        <f t="shared" si="271"/>
        <v>0</v>
      </c>
      <c r="FQ278" s="27">
        <f t="shared" si="271"/>
        <v>0</v>
      </c>
      <c r="FR278" s="27">
        <f t="shared" si="271"/>
        <v>0</v>
      </c>
      <c r="FS278" s="27">
        <f t="shared" si="271"/>
        <v>0</v>
      </c>
      <c r="FT278" s="27">
        <f t="shared" si="271"/>
        <v>0</v>
      </c>
      <c r="FU278" s="27">
        <f t="shared" si="271"/>
        <v>0</v>
      </c>
      <c r="FV278" s="27">
        <f t="shared" si="271"/>
        <v>0</v>
      </c>
      <c r="FW278" s="28"/>
      <c r="FX278" s="29">
        <f t="shared" si="3"/>
        <v>0</v>
      </c>
    </row>
    <row r="279" spans="1:180" ht="18" customHeight="1" x14ac:dyDescent="0.25">
      <c r="A279" s="3" t="str">
        <f>IF(C279&lt;&gt;"","DRG-"&amp;TEXT(274,"000"),"")</f>
        <v/>
      </c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7">
        <v>4</v>
      </c>
      <c r="M279" s="30" t="str">
        <f t="shared" si="0"/>
        <v>✘ Pending</v>
      </c>
      <c r="N279" s="30">
        <f t="shared" si="1"/>
        <v>0</v>
      </c>
      <c r="O279" s="31"/>
      <c r="P279" s="32"/>
      <c r="Q279" s="33"/>
      <c r="R279" s="33"/>
      <c r="S279" s="33"/>
      <c r="T279" s="33"/>
      <c r="U279" s="33"/>
      <c r="V279" s="33"/>
      <c r="W279" s="33"/>
      <c r="X279" s="33"/>
      <c r="Y279" s="33"/>
      <c r="Z279" s="33"/>
      <c r="AA279" s="33"/>
      <c r="AB279" s="31"/>
      <c r="AC279" s="32"/>
      <c r="AD279" s="33"/>
      <c r="AE279" s="33"/>
      <c r="AF279" s="33"/>
      <c r="AG279" s="33"/>
      <c r="AH279" s="33"/>
      <c r="AI279" s="33"/>
      <c r="AJ279" s="33"/>
      <c r="AK279" s="33"/>
      <c r="AL279" s="33"/>
      <c r="AM279" s="33"/>
      <c r="AN279" s="33"/>
      <c r="AO279" s="31"/>
      <c r="AP279" s="32"/>
      <c r="AQ279" s="33"/>
      <c r="AR279" s="33"/>
      <c r="AS279" s="33"/>
      <c r="AT279" s="33"/>
      <c r="AU279" s="33"/>
      <c r="AV279" s="33"/>
      <c r="AW279" s="33"/>
      <c r="AX279" s="33"/>
      <c r="AY279" s="33"/>
      <c r="AZ279" s="33"/>
      <c r="BA279" s="33"/>
      <c r="BB279" s="31"/>
      <c r="BC279" s="32"/>
      <c r="BD279" s="33"/>
      <c r="BE279" s="33"/>
      <c r="BF279" s="33"/>
      <c r="BG279" s="33"/>
      <c r="BH279" s="33"/>
      <c r="BI279" s="33"/>
      <c r="BJ279" s="33"/>
      <c r="BK279" s="33"/>
      <c r="BL279" s="33"/>
      <c r="BM279" s="33"/>
      <c r="BN279" s="33"/>
      <c r="BO279" s="31"/>
      <c r="BP279" s="32"/>
      <c r="BQ279" s="33"/>
      <c r="BR279" s="33"/>
      <c r="BS279" s="33"/>
      <c r="BT279" s="33"/>
      <c r="BU279" s="33"/>
      <c r="BV279" s="33"/>
      <c r="BW279" s="33"/>
      <c r="BX279" s="33"/>
      <c r="BY279" s="33"/>
      <c r="BZ279" s="33"/>
      <c r="CA279" s="33"/>
      <c r="CB279" s="31"/>
      <c r="CC279" s="32"/>
      <c r="CD279" s="33"/>
      <c r="CE279" s="33"/>
      <c r="CF279" s="33"/>
      <c r="CG279" s="33"/>
      <c r="CH279" s="33"/>
      <c r="CI279" s="33"/>
      <c r="CJ279" s="33"/>
      <c r="CK279" s="33"/>
      <c r="CL279" s="33"/>
      <c r="CM279" s="33"/>
      <c r="CN279" s="33"/>
      <c r="CO279" s="31"/>
      <c r="CP279" s="32"/>
      <c r="CQ279" s="33"/>
      <c r="CR279" s="33"/>
      <c r="CS279" s="33"/>
      <c r="CT279" s="33"/>
      <c r="CU279" s="33"/>
      <c r="CV279" s="33"/>
      <c r="CW279" s="33"/>
      <c r="CX279" s="33"/>
      <c r="CY279" s="33"/>
      <c r="CZ279" s="33"/>
      <c r="DA279" s="33"/>
      <c r="DB279" s="31"/>
      <c r="DC279" s="32"/>
      <c r="DD279" s="33"/>
      <c r="DE279" s="33"/>
      <c r="DF279" s="33"/>
      <c r="DG279" s="33"/>
      <c r="DH279" s="33"/>
      <c r="DI279" s="33"/>
      <c r="DJ279" s="33"/>
      <c r="DK279" s="33"/>
      <c r="DL279" s="33"/>
      <c r="DM279" s="33"/>
      <c r="DN279" s="33"/>
      <c r="DO279" s="31"/>
      <c r="DP279" s="32"/>
      <c r="DQ279" s="33"/>
      <c r="DR279" s="33"/>
      <c r="DS279" s="33"/>
      <c r="DT279" s="33"/>
      <c r="DU279" s="33"/>
      <c r="DV279" s="33"/>
      <c r="DW279" s="33"/>
      <c r="DX279" s="33"/>
      <c r="DY279" s="33"/>
      <c r="DZ279" s="33"/>
      <c r="EA279" s="33"/>
      <c r="EB279" s="31"/>
      <c r="EC279" s="32"/>
      <c r="ED279" s="33"/>
      <c r="EE279" s="33"/>
      <c r="EF279" s="33"/>
      <c r="EG279" s="33"/>
      <c r="EH279" s="33"/>
      <c r="EI279" s="33"/>
      <c r="EJ279" s="33"/>
      <c r="EK279" s="33"/>
      <c r="EL279" s="33"/>
      <c r="EM279" s="33"/>
      <c r="EN279" s="33"/>
      <c r="EO279" s="31"/>
      <c r="EP279" s="32"/>
      <c r="EQ279" s="33"/>
      <c r="ER279" s="33"/>
      <c r="ES279" s="33"/>
      <c r="ET279" s="33"/>
      <c r="EU279" s="33"/>
      <c r="EV279" s="33"/>
      <c r="EW279" s="33"/>
      <c r="EX279" s="33"/>
      <c r="EY279" s="33"/>
      <c r="EZ279" s="33"/>
      <c r="FA279" s="33"/>
      <c r="FB279" s="31"/>
      <c r="FC279" s="32"/>
      <c r="FD279" s="33"/>
      <c r="FE279" s="33"/>
      <c r="FF279" s="33"/>
      <c r="FG279" s="33"/>
      <c r="FH279" s="33"/>
      <c r="FI279" s="33"/>
      <c r="FJ279" s="33"/>
      <c r="FK279" s="33"/>
      <c r="FL279" s="33"/>
      <c r="FM279" s="33"/>
      <c r="FN279" s="33"/>
      <c r="FO279" s="34">
        <f t="shared" ref="FO279:FV279" si="272">IFERROR(R279*1,0)+IFERROR(AE279*1,0)+IFERROR(AR279*1,0)+IFERROR(BE279*1,0)+IFERROR(BR279*1,0)+IFERROR(CE279*1,0)+IFERROR(CR279*1,0)+IFERROR(DE279*1,0)+IFERROR(DR279*1,0)+IFERROR(EE279*1,0)+IFERROR(ER279*1,0)+IFERROR(FE279*1,0)</f>
        <v>0</v>
      </c>
      <c r="FP279" s="34">
        <f t="shared" si="272"/>
        <v>0</v>
      </c>
      <c r="FQ279" s="34">
        <f t="shared" si="272"/>
        <v>0</v>
      </c>
      <c r="FR279" s="34">
        <f t="shared" si="272"/>
        <v>0</v>
      </c>
      <c r="FS279" s="34">
        <f t="shared" si="272"/>
        <v>0</v>
      </c>
      <c r="FT279" s="34">
        <f t="shared" si="272"/>
        <v>0</v>
      </c>
      <c r="FU279" s="34">
        <f t="shared" si="272"/>
        <v>0</v>
      </c>
      <c r="FV279" s="34">
        <f t="shared" si="272"/>
        <v>0</v>
      </c>
      <c r="FW279" s="28"/>
      <c r="FX279" s="29">
        <f t="shared" si="3"/>
        <v>0</v>
      </c>
    </row>
    <row r="280" spans="1:180" ht="18" customHeight="1" x14ac:dyDescent="0.25">
      <c r="A280" s="3" t="str">
        <f>IF(C280&lt;&gt;"","DRG-"&amp;TEXT(275,"000"),"")</f>
        <v/>
      </c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38">
        <v>4</v>
      </c>
      <c r="M280" s="23" t="str">
        <f t="shared" si="0"/>
        <v>✘ Pending</v>
      </c>
      <c r="N280" s="23">
        <f t="shared" si="1"/>
        <v>0</v>
      </c>
      <c r="O280" s="25"/>
      <c r="P280" s="26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  <c r="AB280" s="25"/>
      <c r="AC280" s="26"/>
      <c r="AD280" s="24"/>
      <c r="AE280" s="24"/>
      <c r="AF280" s="24"/>
      <c r="AG280" s="24"/>
      <c r="AH280" s="24"/>
      <c r="AI280" s="24"/>
      <c r="AJ280" s="24"/>
      <c r="AK280" s="24"/>
      <c r="AL280" s="24"/>
      <c r="AM280" s="24"/>
      <c r="AN280" s="24"/>
      <c r="AO280" s="25"/>
      <c r="AP280" s="26"/>
      <c r="AQ280" s="24"/>
      <c r="AR280" s="24"/>
      <c r="AS280" s="24"/>
      <c r="AT280" s="24"/>
      <c r="AU280" s="24"/>
      <c r="AV280" s="24"/>
      <c r="AW280" s="24"/>
      <c r="AX280" s="24"/>
      <c r="AY280" s="24"/>
      <c r="AZ280" s="24"/>
      <c r="BA280" s="24"/>
      <c r="BB280" s="25"/>
      <c r="BC280" s="26"/>
      <c r="BD280" s="24"/>
      <c r="BE280" s="24"/>
      <c r="BF280" s="24"/>
      <c r="BG280" s="24"/>
      <c r="BH280" s="24"/>
      <c r="BI280" s="24"/>
      <c r="BJ280" s="24"/>
      <c r="BK280" s="24"/>
      <c r="BL280" s="24"/>
      <c r="BM280" s="24"/>
      <c r="BN280" s="24"/>
      <c r="BO280" s="25"/>
      <c r="BP280" s="26"/>
      <c r="BQ280" s="24"/>
      <c r="BR280" s="24"/>
      <c r="BS280" s="24"/>
      <c r="BT280" s="24"/>
      <c r="BU280" s="24"/>
      <c r="BV280" s="24"/>
      <c r="BW280" s="24"/>
      <c r="BX280" s="24"/>
      <c r="BY280" s="24"/>
      <c r="BZ280" s="24"/>
      <c r="CA280" s="24"/>
      <c r="CB280" s="25"/>
      <c r="CC280" s="26"/>
      <c r="CD280" s="24"/>
      <c r="CE280" s="24"/>
      <c r="CF280" s="24"/>
      <c r="CG280" s="24"/>
      <c r="CH280" s="24"/>
      <c r="CI280" s="24"/>
      <c r="CJ280" s="24"/>
      <c r="CK280" s="24"/>
      <c r="CL280" s="24"/>
      <c r="CM280" s="24"/>
      <c r="CN280" s="24"/>
      <c r="CO280" s="25"/>
      <c r="CP280" s="26"/>
      <c r="CQ280" s="24"/>
      <c r="CR280" s="24"/>
      <c r="CS280" s="24"/>
      <c r="CT280" s="24"/>
      <c r="CU280" s="24"/>
      <c r="CV280" s="24"/>
      <c r="CW280" s="24"/>
      <c r="CX280" s="24"/>
      <c r="CY280" s="24"/>
      <c r="CZ280" s="24"/>
      <c r="DA280" s="24"/>
      <c r="DB280" s="25"/>
      <c r="DC280" s="26"/>
      <c r="DD280" s="24"/>
      <c r="DE280" s="24"/>
      <c r="DF280" s="24"/>
      <c r="DG280" s="24"/>
      <c r="DH280" s="24"/>
      <c r="DI280" s="24"/>
      <c r="DJ280" s="24"/>
      <c r="DK280" s="24"/>
      <c r="DL280" s="24"/>
      <c r="DM280" s="24"/>
      <c r="DN280" s="24"/>
      <c r="DO280" s="25"/>
      <c r="DP280" s="26"/>
      <c r="DQ280" s="24"/>
      <c r="DR280" s="24"/>
      <c r="DS280" s="24"/>
      <c r="DT280" s="24"/>
      <c r="DU280" s="24"/>
      <c r="DV280" s="24"/>
      <c r="DW280" s="24"/>
      <c r="DX280" s="24"/>
      <c r="DY280" s="24"/>
      <c r="DZ280" s="24"/>
      <c r="EA280" s="24"/>
      <c r="EB280" s="25"/>
      <c r="EC280" s="26"/>
      <c r="ED280" s="24"/>
      <c r="EE280" s="24"/>
      <c r="EF280" s="24"/>
      <c r="EG280" s="24"/>
      <c r="EH280" s="24"/>
      <c r="EI280" s="24"/>
      <c r="EJ280" s="24"/>
      <c r="EK280" s="24"/>
      <c r="EL280" s="24"/>
      <c r="EM280" s="24"/>
      <c r="EN280" s="24"/>
      <c r="EO280" s="25"/>
      <c r="EP280" s="26"/>
      <c r="EQ280" s="24"/>
      <c r="ER280" s="24"/>
      <c r="ES280" s="24"/>
      <c r="ET280" s="24"/>
      <c r="EU280" s="24"/>
      <c r="EV280" s="24"/>
      <c r="EW280" s="24"/>
      <c r="EX280" s="24"/>
      <c r="EY280" s="24"/>
      <c r="EZ280" s="24"/>
      <c r="FA280" s="24"/>
      <c r="FB280" s="25"/>
      <c r="FC280" s="26"/>
      <c r="FD280" s="24"/>
      <c r="FE280" s="24"/>
      <c r="FF280" s="24"/>
      <c r="FG280" s="24"/>
      <c r="FH280" s="24"/>
      <c r="FI280" s="24"/>
      <c r="FJ280" s="24"/>
      <c r="FK280" s="24"/>
      <c r="FL280" s="24"/>
      <c r="FM280" s="24"/>
      <c r="FN280" s="24"/>
      <c r="FO280" s="27">
        <f t="shared" ref="FO280:FV280" si="273">IFERROR(R280*1,0)+IFERROR(AE280*1,0)+IFERROR(AR280*1,0)+IFERROR(BE280*1,0)+IFERROR(BR280*1,0)+IFERROR(CE280*1,0)+IFERROR(CR280*1,0)+IFERROR(DE280*1,0)+IFERROR(DR280*1,0)+IFERROR(EE280*1,0)+IFERROR(ER280*1,0)+IFERROR(FE280*1,0)</f>
        <v>0</v>
      </c>
      <c r="FP280" s="27">
        <f t="shared" si="273"/>
        <v>0</v>
      </c>
      <c r="FQ280" s="27">
        <f t="shared" si="273"/>
        <v>0</v>
      </c>
      <c r="FR280" s="27">
        <f t="shared" si="273"/>
        <v>0</v>
      </c>
      <c r="FS280" s="27">
        <f t="shared" si="273"/>
        <v>0</v>
      </c>
      <c r="FT280" s="27">
        <f t="shared" si="273"/>
        <v>0</v>
      </c>
      <c r="FU280" s="27">
        <f t="shared" si="273"/>
        <v>0</v>
      </c>
      <c r="FV280" s="27">
        <f t="shared" si="273"/>
        <v>0</v>
      </c>
      <c r="FW280" s="28"/>
      <c r="FX280" s="29">
        <f t="shared" si="3"/>
        <v>0</v>
      </c>
    </row>
    <row r="281" spans="1:180" ht="18" customHeight="1" x14ac:dyDescent="0.25">
      <c r="A281" s="3" t="str">
        <f>IF(C281&lt;&gt;"","DRG-"&amp;TEXT(276,"000"),"")</f>
        <v/>
      </c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7">
        <v>4</v>
      </c>
      <c r="M281" s="30" t="str">
        <f t="shared" si="0"/>
        <v>✘ Pending</v>
      </c>
      <c r="N281" s="30">
        <f t="shared" si="1"/>
        <v>0</v>
      </c>
      <c r="O281" s="31"/>
      <c r="P281" s="32"/>
      <c r="Q281" s="33"/>
      <c r="R281" s="33"/>
      <c r="S281" s="33"/>
      <c r="T281" s="33"/>
      <c r="U281" s="33"/>
      <c r="V281" s="33"/>
      <c r="W281" s="33"/>
      <c r="X281" s="33"/>
      <c r="Y281" s="33"/>
      <c r="Z281" s="33"/>
      <c r="AA281" s="33"/>
      <c r="AB281" s="31"/>
      <c r="AC281" s="32"/>
      <c r="AD281" s="33"/>
      <c r="AE281" s="33"/>
      <c r="AF281" s="33"/>
      <c r="AG281" s="33"/>
      <c r="AH281" s="33"/>
      <c r="AI281" s="33"/>
      <c r="AJ281" s="33"/>
      <c r="AK281" s="33"/>
      <c r="AL281" s="33"/>
      <c r="AM281" s="33"/>
      <c r="AN281" s="33"/>
      <c r="AO281" s="31"/>
      <c r="AP281" s="32"/>
      <c r="AQ281" s="33"/>
      <c r="AR281" s="33"/>
      <c r="AS281" s="33"/>
      <c r="AT281" s="33"/>
      <c r="AU281" s="33"/>
      <c r="AV281" s="33"/>
      <c r="AW281" s="33"/>
      <c r="AX281" s="33"/>
      <c r="AY281" s="33"/>
      <c r="AZ281" s="33"/>
      <c r="BA281" s="33"/>
      <c r="BB281" s="31"/>
      <c r="BC281" s="32"/>
      <c r="BD281" s="33"/>
      <c r="BE281" s="33"/>
      <c r="BF281" s="33"/>
      <c r="BG281" s="33"/>
      <c r="BH281" s="33"/>
      <c r="BI281" s="33"/>
      <c r="BJ281" s="33"/>
      <c r="BK281" s="33"/>
      <c r="BL281" s="33"/>
      <c r="BM281" s="33"/>
      <c r="BN281" s="33"/>
      <c r="BO281" s="31"/>
      <c r="BP281" s="32"/>
      <c r="BQ281" s="33"/>
      <c r="BR281" s="33"/>
      <c r="BS281" s="33"/>
      <c r="BT281" s="33"/>
      <c r="BU281" s="33"/>
      <c r="BV281" s="33"/>
      <c r="BW281" s="33"/>
      <c r="BX281" s="33"/>
      <c r="BY281" s="33"/>
      <c r="BZ281" s="33"/>
      <c r="CA281" s="33"/>
      <c r="CB281" s="31"/>
      <c r="CC281" s="32"/>
      <c r="CD281" s="33"/>
      <c r="CE281" s="33"/>
      <c r="CF281" s="33"/>
      <c r="CG281" s="33"/>
      <c r="CH281" s="33"/>
      <c r="CI281" s="33"/>
      <c r="CJ281" s="33"/>
      <c r="CK281" s="33"/>
      <c r="CL281" s="33"/>
      <c r="CM281" s="33"/>
      <c r="CN281" s="33"/>
      <c r="CO281" s="31"/>
      <c r="CP281" s="32"/>
      <c r="CQ281" s="33"/>
      <c r="CR281" s="33"/>
      <c r="CS281" s="33"/>
      <c r="CT281" s="33"/>
      <c r="CU281" s="33"/>
      <c r="CV281" s="33"/>
      <c r="CW281" s="33"/>
      <c r="CX281" s="33"/>
      <c r="CY281" s="33"/>
      <c r="CZ281" s="33"/>
      <c r="DA281" s="33"/>
      <c r="DB281" s="31"/>
      <c r="DC281" s="32"/>
      <c r="DD281" s="33"/>
      <c r="DE281" s="33"/>
      <c r="DF281" s="33"/>
      <c r="DG281" s="33"/>
      <c r="DH281" s="33"/>
      <c r="DI281" s="33"/>
      <c r="DJ281" s="33"/>
      <c r="DK281" s="33"/>
      <c r="DL281" s="33"/>
      <c r="DM281" s="33"/>
      <c r="DN281" s="33"/>
      <c r="DO281" s="31"/>
      <c r="DP281" s="32"/>
      <c r="DQ281" s="33"/>
      <c r="DR281" s="33"/>
      <c r="DS281" s="33"/>
      <c r="DT281" s="33"/>
      <c r="DU281" s="33"/>
      <c r="DV281" s="33"/>
      <c r="DW281" s="33"/>
      <c r="DX281" s="33"/>
      <c r="DY281" s="33"/>
      <c r="DZ281" s="33"/>
      <c r="EA281" s="33"/>
      <c r="EB281" s="31"/>
      <c r="EC281" s="32"/>
      <c r="ED281" s="33"/>
      <c r="EE281" s="33"/>
      <c r="EF281" s="33"/>
      <c r="EG281" s="33"/>
      <c r="EH281" s="33"/>
      <c r="EI281" s="33"/>
      <c r="EJ281" s="33"/>
      <c r="EK281" s="33"/>
      <c r="EL281" s="33"/>
      <c r="EM281" s="33"/>
      <c r="EN281" s="33"/>
      <c r="EO281" s="31"/>
      <c r="EP281" s="32"/>
      <c r="EQ281" s="33"/>
      <c r="ER281" s="33"/>
      <c r="ES281" s="33"/>
      <c r="ET281" s="33"/>
      <c r="EU281" s="33"/>
      <c r="EV281" s="33"/>
      <c r="EW281" s="33"/>
      <c r="EX281" s="33"/>
      <c r="EY281" s="33"/>
      <c r="EZ281" s="33"/>
      <c r="FA281" s="33"/>
      <c r="FB281" s="31"/>
      <c r="FC281" s="32"/>
      <c r="FD281" s="33"/>
      <c r="FE281" s="33"/>
      <c r="FF281" s="33"/>
      <c r="FG281" s="33"/>
      <c r="FH281" s="33"/>
      <c r="FI281" s="33"/>
      <c r="FJ281" s="33"/>
      <c r="FK281" s="33"/>
      <c r="FL281" s="33"/>
      <c r="FM281" s="33"/>
      <c r="FN281" s="33"/>
      <c r="FO281" s="34">
        <f t="shared" ref="FO281:FV281" si="274">IFERROR(R281*1,0)+IFERROR(AE281*1,0)+IFERROR(AR281*1,0)+IFERROR(BE281*1,0)+IFERROR(BR281*1,0)+IFERROR(CE281*1,0)+IFERROR(CR281*1,0)+IFERROR(DE281*1,0)+IFERROR(DR281*1,0)+IFERROR(EE281*1,0)+IFERROR(ER281*1,0)+IFERROR(FE281*1,0)</f>
        <v>0</v>
      </c>
      <c r="FP281" s="34">
        <f t="shared" si="274"/>
        <v>0</v>
      </c>
      <c r="FQ281" s="34">
        <f t="shared" si="274"/>
        <v>0</v>
      </c>
      <c r="FR281" s="34">
        <f t="shared" si="274"/>
        <v>0</v>
      </c>
      <c r="FS281" s="34">
        <f t="shared" si="274"/>
        <v>0</v>
      </c>
      <c r="FT281" s="34">
        <f t="shared" si="274"/>
        <v>0</v>
      </c>
      <c r="FU281" s="34">
        <f t="shared" si="274"/>
        <v>0</v>
      </c>
      <c r="FV281" s="34">
        <f t="shared" si="274"/>
        <v>0</v>
      </c>
      <c r="FW281" s="28"/>
      <c r="FX281" s="29">
        <f t="shared" si="3"/>
        <v>0</v>
      </c>
    </row>
    <row r="282" spans="1:180" ht="18" customHeight="1" x14ac:dyDescent="0.25">
      <c r="A282" s="3" t="str">
        <f>IF(C282&lt;&gt;"","DRG-"&amp;TEXT(277,"000"),"")</f>
        <v/>
      </c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38">
        <v>4</v>
      </c>
      <c r="M282" s="23" t="str">
        <f t="shared" si="0"/>
        <v>✘ Pending</v>
      </c>
      <c r="N282" s="23">
        <f t="shared" si="1"/>
        <v>0</v>
      </c>
      <c r="O282" s="25"/>
      <c r="P282" s="26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  <c r="AB282" s="25"/>
      <c r="AC282" s="26"/>
      <c r="AD282" s="24"/>
      <c r="AE282" s="24"/>
      <c r="AF282" s="24"/>
      <c r="AG282" s="24"/>
      <c r="AH282" s="24"/>
      <c r="AI282" s="24"/>
      <c r="AJ282" s="24"/>
      <c r="AK282" s="24"/>
      <c r="AL282" s="24"/>
      <c r="AM282" s="24"/>
      <c r="AN282" s="24"/>
      <c r="AO282" s="25"/>
      <c r="AP282" s="26"/>
      <c r="AQ282" s="24"/>
      <c r="AR282" s="24"/>
      <c r="AS282" s="24"/>
      <c r="AT282" s="24"/>
      <c r="AU282" s="24"/>
      <c r="AV282" s="24"/>
      <c r="AW282" s="24"/>
      <c r="AX282" s="24"/>
      <c r="AY282" s="24"/>
      <c r="AZ282" s="24"/>
      <c r="BA282" s="24"/>
      <c r="BB282" s="25"/>
      <c r="BC282" s="26"/>
      <c r="BD282" s="24"/>
      <c r="BE282" s="24"/>
      <c r="BF282" s="24"/>
      <c r="BG282" s="24"/>
      <c r="BH282" s="24"/>
      <c r="BI282" s="24"/>
      <c r="BJ282" s="24"/>
      <c r="BK282" s="24"/>
      <c r="BL282" s="24"/>
      <c r="BM282" s="24"/>
      <c r="BN282" s="24"/>
      <c r="BO282" s="25"/>
      <c r="BP282" s="26"/>
      <c r="BQ282" s="24"/>
      <c r="BR282" s="24"/>
      <c r="BS282" s="24"/>
      <c r="BT282" s="24"/>
      <c r="BU282" s="24"/>
      <c r="BV282" s="24"/>
      <c r="BW282" s="24"/>
      <c r="BX282" s="24"/>
      <c r="BY282" s="24"/>
      <c r="BZ282" s="24"/>
      <c r="CA282" s="24"/>
      <c r="CB282" s="25"/>
      <c r="CC282" s="26"/>
      <c r="CD282" s="24"/>
      <c r="CE282" s="24"/>
      <c r="CF282" s="24"/>
      <c r="CG282" s="24"/>
      <c r="CH282" s="24"/>
      <c r="CI282" s="24"/>
      <c r="CJ282" s="24"/>
      <c r="CK282" s="24"/>
      <c r="CL282" s="24"/>
      <c r="CM282" s="24"/>
      <c r="CN282" s="24"/>
      <c r="CO282" s="25"/>
      <c r="CP282" s="26"/>
      <c r="CQ282" s="24"/>
      <c r="CR282" s="24"/>
      <c r="CS282" s="24"/>
      <c r="CT282" s="24"/>
      <c r="CU282" s="24"/>
      <c r="CV282" s="24"/>
      <c r="CW282" s="24"/>
      <c r="CX282" s="24"/>
      <c r="CY282" s="24"/>
      <c r="CZ282" s="24"/>
      <c r="DA282" s="24"/>
      <c r="DB282" s="25"/>
      <c r="DC282" s="26"/>
      <c r="DD282" s="24"/>
      <c r="DE282" s="24"/>
      <c r="DF282" s="24"/>
      <c r="DG282" s="24"/>
      <c r="DH282" s="24"/>
      <c r="DI282" s="24"/>
      <c r="DJ282" s="24"/>
      <c r="DK282" s="24"/>
      <c r="DL282" s="24"/>
      <c r="DM282" s="24"/>
      <c r="DN282" s="24"/>
      <c r="DO282" s="25"/>
      <c r="DP282" s="26"/>
      <c r="DQ282" s="24"/>
      <c r="DR282" s="24"/>
      <c r="DS282" s="24"/>
      <c r="DT282" s="24"/>
      <c r="DU282" s="24"/>
      <c r="DV282" s="24"/>
      <c r="DW282" s="24"/>
      <c r="DX282" s="24"/>
      <c r="DY282" s="24"/>
      <c r="DZ282" s="24"/>
      <c r="EA282" s="24"/>
      <c r="EB282" s="25"/>
      <c r="EC282" s="26"/>
      <c r="ED282" s="24"/>
      <c r="EE282" s="24"/>
      <c r="EF282" s="24"/>
      <c r="EG282" s="24"/>
      <c r="EH282" s="24"/>
      <c r="EI282" s="24"/>
      <c r="EJ282" s="24"/>
      <c r="EK282" s="24"/>
      <c r="EL282" s="24"/>
      <c r="EM282" s="24"/>
      <c r="EN282" s="24"/>
      <c r="EO282" s="25"/>
      <c r="EP282" s="26"/>
      <c r="EQ282" s="24"/>
      <c r="ER282" s="24"/>
      <c r="ES282" s="24"/>
      <c r="ET282" s="24"/>
      <c r="EU282" s="24"/>
      <c r="EV282" s="24"/>
      <c r="EW282" s="24"/>
      <c r="EX282" s="24"/>
      <c r="EY282" s="24"/>
      <c r="EZ282" s="24"/>
      <c r="FA282" s="24"/>
      <c r="FB282" s="25"/>
      <c r="FC282" s="26"/>
      <c r="FD282" s="24"/>
      <c r="FE282" s="24"/>
      <c r="FF282" s="24"/>
      <c r="FG282" s="24"/>
      <c r="FH282" s="24"/>
      <c r="FI282" s="24"/>
      <c r="FJ282" s="24"/>
      <c r="FK282" s="24"/>
      <c r="FL282" s="24"/>
      <c r="FM282" s="24"/>
      <c r="FN282" s="24"/>
      <c r="FO282" s="27">
        <f t="shared" ref="FO282:FV282" si="275">IFERROR(R282*1,0)+IFERROR(AE282*1,0)+IFERROR(AR282*1,0)+IFERROR(BE282*1,0)+IFERROR(BR282*1,0)+IFERROR(CE282*1,0)+IFERROR(CR282*1,0)+IFERROR(DE282*1,0)+IFERROR(DR282*1,0)+IFERROR(EE282*1,0)+IFERROR(ER282*1,0)+IFERROR(FE282*1,0)</f>
        <v>0</v>
      </c>
      <c r="FP282" s="27">
        <f t="shared" si="275"/>
        <v>0</v>
      </c>
      <c r="FQ282" s="27">
        <f t="shared" si="275"/>
        <v>0</v>
      </c>
      <c r="FR282" s="27">
        <f t="shared" si="275"/>
        <v>0</v>
      </c>
      <c r="FS282" s="27">
        <f t="shared" si="275"/>
        <v>0</v>
      </c>
      <c r="FT282" s="27">
        <f t="shared" si="275"/>
        <v>0</v>
      </c>
      <c r="FU282" s="27">
        <f t="shared" si="275"/>
        <v>0</v>
      </c>
      <c r="FV282" s="27">
        <f t="shared" si="275"/>
        <v>0</v>
      </c>
      <c r="FW282" s="28"/>
      <c r="FX282" s="29">
        <f t="shared" si="3"/>
        <v>0</v>
      </c>
    </row>
    <row r="283" spans="1:180" ht="18" customHeight="1" x14ac:dyDescent="0.25">
      <c r="A283" s="3" t="str">
        <f>IF(C283&lt;&gt;"","DRG-"&amp;TEXT(278,"000"),"")</f>
        <v/>
      </c>
      <c r="B283" s="33"/>
      <c r="C283" s="33"/>
      <c r="D283" s="33"/>
      <c r="E283" s="33"/>
      <c r="F283" s="33"/>
      <c r="G283" s="33"/>
      <c r="H283" s="33"/>
      <c r="I283" s="33"/>
      <c r="J283" s="33"/>
      <c r="K283" s="33"/>
      <c r="L283" s="37">
        <v>4</v>
      </c>
      <c r="M283" s="30" t="str">
        <f t="shared" si="0"/>
        <v>✘ Pending</v>
      </c>
      <c r="N283" s="30">
        <f t="shared" si="1"/>
        <v>0</v>
      </c>
      <c r="O283" s="31"/>
      <c r="P283" s="32"/>
      <c r="Q283" s="33"/>
      <c r="R283" s="33"/>
      <c r="S283" s="33"/>
      <c r="T283" s="33"/>
      <c r="U283" s="33"/>
      <c r="V283" s="33"/>
      <c r="W283" s="33"/>
      <c r="X283" s="33"/>
      <c r="Y283" s="33"/>
      <c r="Z283" s="33"/>
      <c r="AA283" s="33"/>
      <c r="AB283" s="31"/>
      <c r="AC283" s="32"/>
      <c r="AD283" s="33"/>
      <c r="AE283" s="33"/>
      <c r="AF283" s="33"/>
      <c r="AG283" s="33"/>
      <c r="AH283" s="33"/>
      <c r="AI283" s="33"/>
      <c r="AJ283" s="33"/>
      <c r="AK283" s="33"/>
      <c r="AL283" s="33"/>
      <c r="AM283" s="33"/>
      <c r="AN283" s="33"/>
      <c r="AO283" s="31"/>
      <c r="AP283" s="32"/>
      <c r="AQ283" s="33"/>
      <c r="AR283" s="33"/>
      <c r="AS283" s="33"/>
      <c r="AT283" s="33"/>
      <c r="AU283" s="33"/>
      <c r="AV283" s="33"/>
      <c r="AW283" s="33"/>
      <c r="AX283" s="33"/>
      <c r="AY283" s="33"/>
      <c r="AZ283" s="33"/>
      <c r="BA283" s="33"/>
      <c r="BB283" s="31"/>
      <c r="BC283" s="32"/>
      <c r="BD283" s="33"/>
      <c r="BE283" s="33"/>
      <c r="BF283" s="33"/>
      <c r="BG283" s="33"/>
      <c r="BH283" s="33"/>
      <c r="BI283" s="33"/>
      <c r="BJ283" s="33"/>
      <c r="BK283" s="33"/>
      <c r="BL283" s="33"/>
      <c r="BM283" s="33"/>
      <c r="BN283" s="33"/>
      <c r="BO283" s="31"/>
      <c r="BP283" s="32"/>
      <c r="BQ283" s="33"/>
      <c r="BR283" s="33"/>
      <c r="BS283" s="33"/>
      <c r="BT283" s="33"/>
      <c r="BU283" s="33"/>
      <c r="BV283" s="33"/>
      <c r="BW283" s="33"/>
      <c r="BX283" s="33"/>
      <c r="BY283" s="33"/>
      <c r="BZ283" s="33"/>
      <c r="CA283" s="33"/>
      <c r="CB283" s="31"/>
      <c r="CC283" s="32"/>
      <c r="CD283" s="33"/>
      <c r="CE283" s="33"/>
      <c r="CF283" s="33"/>
      <c r="CG283" s="33"/>
      <c r="CH283" s="33"/>
      <c r="CI283" s="33"/>
      <c r="CJ283" s="33"/>
      <c r="CK283" s="33"/>
      <c r="CL283" s="33"/>
      <c r="CM283" s="33"/>
      <c r="CN283" s="33"/>
      <c r="CO283" s="31"/>
      <c r="CP283" s="32"/>
      <c r="CQ283" s="33"/>
      <c r="CR283" s="33"/>
      <c r="CS283" s="33"/>
      <c r="CT283" s="33"/>
      <c r="CU283" s="33"/>
      <c r="CV283" s="33"/>
      <c r="CW283" s="33"/>
      <c r="CX283" s="33"/>
      <c r="CY283" s="33"/>
      <c r="CZ283" s="33"/>
      <c r="DA283" s="33"/>
      <c r="DB283" s="31"/>
      <c r="DC283" s="32"/>
      <c r="DD283" s="33"/>
      <c r="DE283" s="33"/>
      <c r="DF283" s="33"/>
      <c r="DG283" s="33"/>
      <c r="DH283" s="33"/>
      <c r="DI283" s="33"/>
      <c r="DJ283" s="33"/>
      <c r="DK283" s="33"/>
      <c r="DL283" s="33"/>
      <c r="DM283" s="33"/>
      <c r="DN283" s="33"/>
      <c r="DO283" s="31"/>
      <c r="DP283" s="32"/>
      <c r="DQ283" s="33"/>
      <c r="DR283" s="33"/>
      <c r="DS283" s="33"/>
      <c r="DT283" s="33"/>
      <c r="DU283" s="33"/>
      <c r="DV283" s="33"/>
      <c r="DW283" s="33"/>
      <c r="DX283" s="33"/>
      <c r="DY283" s="33"/>
      <c r="DZ283" s="33"/>
      <c r="EA283" s="33"/>
      <c r="EB283" s="31"/>
      <c r="EC283" s="32"/>
      <c r="ED283" s="33"/>
      <c r="EE283" s="33"/>
      <c r="EF283" s="33"/>
      <c r="EG283" s="33"/>
      <c r="EH283" s="33"/>
      <c r="EI283" s="33"/>
      <c r="EJ283" s="33"/>
      <c r="EK283" s="33"/>
      <c r="EL283" s="33"/>
      <c r="EM283" s="33"/>
      <c r="EN283" s="33"/>
      <c r="EO283" s="31"/>
      <c r="EP283" s="32"/>
      <c r="EQ283" s="33"/>
      <c r="ER283" s="33"/>
      <c r="ES283" s="33"/>
      <c r="ET283" s="33"/>
      <c r="EU283" s="33"/>
      <c r="EV283" s="33"/>
      <c r="EW283" s="33"/>
      <c r="EX283" s="33"/>
      <c r="EY283" s="33"/>
      <c r="EZ283" s="33"/>
      <c r="FA283" s="33"/>
      <c r="FB283" s="31"/>
      <c r="FC283" s="32"/>
      <c r="FD283" s="33"/>
      <c r="FE283" s="33"/>
      <c r="FF283" s="33"/>
      <c r="FG283" s="33"/>
      <c r="FH283" s="33"/>
      <c r="FI283" s="33"/>
      <c r="FJ283" s="33"/>
      <c r="FK283" s="33"/>
      <c r="FL283" s="33"/>
      <c r="FM283" s="33"/>
      <c r="FN283" s="33"/>
      <c r="FO283" s="34">
        <f t="shared" ref="FO283:FV283" si="276">IFERROR(R283*1,0)+IFERROR(AE283*1,0)+IFERROR(AR283*1,0)+IFERROR(BE283*1,0)+IFERROR(BR283*1,0)+IFERROR(CE283*1,0)+IFERROR(CR283*1,0)+IFERROR(DE283*1,0)+IFERROR(DR283*1,0)+IFERROR(EE283*1,0)+IFERROR(ER283*1,0)+IFERROR(FE283*1,0)</f>
        <v>0</v>
      </c>
      <c r="FP283" s="34">
        <f t="shared" si="276"/>
        <v>0</v>
      </c>
      <c r="FQ283" s="34">
        <f t="shared" si="276"/>
        <v>0</v>
      </c>
      <c r="FR283" s="34">
        <f t="shared" si="276"/>
        <v>0</v>
      </c>
      <c r="FS283" s="34">
        <f t="shared" si="276"/>
        <v>0</v>
      </c>
      <c r="FT283" s="34">
        <f t="shared" si="276"/>
        <v>0</v>
      </c>
      <c r="FU283" s="34">
        <f t="shared" si="276"/>
        <v>0</v>
      </c>
      <c r="FV283" s="34">
        <f t="shared" si="276"/>
        <v>0</v>
      </c>
      <c r="FW283" s="28"/>
      <c r="FX283" s="29">
        <f t="shared" si="3"/>
        <v>0</v>
      </c>
    </row>
    <row r="284" spans="1:180" ht="18" customHeight="1" x14ac:dyDescent="0.25">
      <c r="A284" s="3" t="str">
        <f>IF(C284&lt;&gt;"","DRG-"&amp;TEXT(279,"000"),"")</f>
        <v/>
      </c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38">
        <v>4</v>
      </c>
      <c r="M284" s="23" t="str">
        <f t="shared" si="0"/>
        <v>✘ Pending</v>
      </c>
      <c r="N284" s="23">
        <f t="shared" si="1"/>
        <v>0</v>
      </c>
      <c r="O284" s="25"/>
      <c r="P284" s="26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  <c r="AB284" s="25"/>
      <c r="AC284" s="26"/>
      <c r="AD284" s="24"/>
      <c r="AE284" s="24"/>
      <c r="AF284" s="24"/>
      <c r="AG284" s="24"/>
      <c r="AH284" s="24"/>
      <c r="AI284" s="24"/>
      <c r="AJ284" s="24"/>
      <c r="AK284" s="24"/>
      <c r="AL284" s="24"/>
      <c r="AM284" s="24"/>
      <c r="AN284" s="24"/>
      <c r="AO284" s="25"/>
      <c r="AP284" s="26"/>
      <c r="AQ284" s="24"/>
      <c r="AR284" s="24"/>
      <c r="AS284" s="24"/>
      <c r="AT284" s="24"/>
      <c r="AU284" s="24"/>
      <c r="AV284" s="24"/>
      <c r="AW284" s="24"/>
      <c r="AX284" s="24"/>
      <c r="AY284" s="24"/>
      <c r="AZ284" s="24"/>
      <c r="BA284" s="24"/>
      <c r="BB284" s="25"/>
      <c r="BC284" s="26"/>
      <c r="BD284" s="24"/>
      <c r="BE284" s="24"/>
      <c r="BF284" s="24"/>
      <c r="BG284" s="24"/>
      <c r="BH284" s="24"/>
      <c r="BI284" s="24"/>
      <c r="BJ284" s="24"/>
      <c r="BK284" s="24"/>
      <c r="BL284" s="24"/>
      <c r="BM284" s="24"/>
      <c r="BN284" s="24"/>
      <c r="BO284" s="25"/>
      <c r="BP284" s="26"/>
      <c r="BQ284" s="24"/>
      <c r="BR284" s="24"/>
      <c r="BS284" s="24"/>
      <c r="BT284" s="24"/>
      <c r="BU284" s="24"/>
      <c r="BV284" s="24"/>
      <c r="BW284" s="24"/>
      <c r="BX284" s="24"/>
      <c r="BY284" s="24"/>
      <c r="BZ284" s="24"/>
      <c r="CA284" s="24"/>
      <c r="CB284" s="25"/>
      <c r="CC284" s="26"/>
      <c r="CD284" s="24"/>
      <c r="CE284" s="24"/>
      <c r="CF284" s="24"/>
      <c r="CG284" s="24"/>
      <c r="CH284" s="24"/>
      <c r="CI284" s="24"/>
      <c r="CJ284" s="24"/>
      <c r="CK284" s="24"/>
      <c r="CL284" s="24"/>
      <c r="CM284" s="24"/>
      <c r="CN284" s="24"/>
      <c r="CO284" s="25"/>
      <c r="CP284" s="26"/>
      <c r="CQ284" s="24"/>
      <c r="CR284" s="24"/>
      <c r="CS284" s="24"/>
      <c r="CT284" s="24"/>
      <c r="CU284" s="24"/>
      <c r="CV284" s="24"/>
      <c r="CW284" s="24"/>
      <c r="CX284" s="24"/>
      <c r="CY284" s="24"/>
      <c r="CZ284" s="24"/>
      <c r="DA284" s="24"/>
      <c r="DB284" s="25"/>
      <c r="DC284" s="26"/>
      <c r="DD284" s="24"/>
      <c r="DE284" s="24"/>
      <c r="DF284" s="24"/>
      <c r="DG284" s="24"/>
      <c r="DH284" s="24"/>
      <c r="DI284" s="24"/>
      <c r="DJ284" s="24"/>
      <c r="DK284" s="24"/>
      <c r="DL284" s="24"/>
      <c r="DM284" s="24"/>
      <c r="DN284" s="24"/>
      <c r="DO284" s="25"/>
      <c r="DP284" s="26"/>
      <c r="DQ284" s="24"/>
      <c r="DR284" s="24"/>
      <c r="DS284" s="24"/>
      <c r="DT284" s="24"/>
      <c r="DU284" s="24"/>
      <c r="DV284" s="24"/>
      <c r="DW284" s="24"/>
      <c r="DX284" s="24"/>
      <c r="DY284" s="24"/>
      <c r="DZ284" s="24"/>
      <c r="EA284" s="24"/>
      <c r="EB284" s="25"/>
      <c r="EC284" s="26"/>
      <c r="ED284" s="24"/>
      <c r="EE284" s="24"/>
      <c r="EF284" s="24"/>
      <c r="EG284" s="24"/>
      <c r="EH284" s="24"/>
      <c r="EI284" s="24"/>
      <c r="EJ284" s="24"/>
      <c r="EK284" s="24"/>
      <c r="EL284" s="24"/>
      <c r="EM284" s="24"/>
      <c r="EN284" s="24"/>
      <c r="EO284" s="25"/>
      <c r="EP284" s="26"/>
      <c r="EQ284" s="24"/>
      <c r="ER284" s="24"/>
      <c r="ES284" s="24"/>
      <c r="ET284" s="24"/>
      <c r="EU284" s="24"/>
      <c r="EV284" s="24"/>
      <c r="EW284" s="24"/>
      <c r="EX284" s="24"/>
      <c r="EY284" s="24"/>
      <c r="EZ284" s="24"/>
      <c r="FA284" s="24"/>
      <c r="FB284" s="25"/>
      <c r="FC284" s="26"/>
      <c r="FD284" s="24"/>
      <c r="FE284" s="24"/>
      <c r="FF284" s="24"/>
      <c r="FG284" s="24"/>
      <c r="FH284" s="24"/>
      <c r="FI284" s="24"/>
      <c r="FJ284" s="24"/>
      <c r="FK284" s="24"/>
      <c r="FL284" s="24"/>
      <c r="FM284" s="24"/>
      <c r="FN284" s="24"/>
      <c r="FO284" s="27">
        <f t="shared" ref="FO284:FV284" si="277">IFERROR(R284*1,0)+IFERROR(AE284*1,0)+IFERROR(AR284*1,0)+IFERROR(BE284*1,0)+IFERROR(BR284*1,0)+IFERROR(CE284*1,0)+IFERROR(CR284*1,0)+IFERROR(DE284*1,0)+IFERROR(DR284*1,0)+IFERROR(EE284*1,0)+IFERROR(ER284*1,0)+IFERROR(FE284*1,0)</f>
        <v>0</v>
      </c>
      <c r="FP284" s="27">
        <f t="shared" si="277"/>
        <v>0</v>
      </c>
      <c r="FQ284" s="27">
        <f t="shared" si="277"/>
        <v>0</v>
      </c>
      <c r="FR284" s="27">
        <f t="shared" si="277"/>
        <v>0</v>
      </c>
      <c r="FS284" s="27">
        <f t="shared" si="277"/>
        <v>0</v>
      </c>
      <c r="FT284" s="27">
        <f t="shared" si="277"/>
        <v>0</v>
      </c>
      <c r="FU284" s="27">
        <f t="shared" si="277"/>
        <v>0</v>
      </c>
      <c r="FV284" s="27">
        <f t="shared" si="277"/>
        <v>0</v>
      </c>
      <c r="FW284" s="28"/>
      <c r="FX284" s="29">
        <f t="shared" si="3"/>
        <v>0</v>
      </c>
    </row>
    <row r="285" spans="1:180" ht="18" customHeight="1" x14ac:dyDescent="0.25">
      <c r="A285" s="3" t="str">
        <f>IF(C285&lt;&gt;"","DRG-"&amp;TEXT(280,"000"),"")</f>
        <v/>
      </c>
      <c r="B285" s="33"/>
      <c r="C285" s="33"/>
      <c r="D285" s="33"/>
      <c r="E285" s="33"/>
      <c r="F285" s="33"/>
      <c r="G285" s="33"/>
      <c r="H285" s="33"/>
      <c r="I285" s="33"/>
      <c r="J285" s="33"/>
      <c r="K285" s="33"/>
      <c r="L285" s="37">
        <v>4</v>
      </c>
      <c r="M285" s="30" t="str">
        <f t="shared" si="0"/>
        <v>✘ Pending</v>
      </c>
      <c r="N285" s="30">
        <f t="shared" si="1"/>
        <v>0</v>
      </c>
      <c r="O285" s="31"/>
      <c r="P285" s="32"/>
      <c r="Q285" s="33"/>
      <c r="R285" s="33"/>
      <c r="S285" s="33"/>
      <c r="T285" s="33"/>
      <c r="U285" s="33"/>
      <c r="V285" s="33"/>
      <c r="W285" s="33"/>
      <c r="X285" s="33"/>
      <c r="Y285" s="33"/>
      <c r="Z285" s="33"/>
      <c r="AA285" s="33"/>
      <c r="AB285" s="31"/>
      <c r="AC285" s="32"/>
      <c r="AD285" s="33"/>
      <c r="AE285" s="33"/>
      <c r="AF285" s="33"/>
      <c r="AG285" s="33"/>
      <c r="AH285" s="33"/>
      <c r="AI285" s="33"/>
      <c r="AJ285" s="33"/>
      <c r="AK285" s="33"/>
      <c r="AL285" s="33"/>
      <c r="AM285" s="33"/>
      <c r="AN285" s="33"/>
      <c r="AO285" s="31"/>
      <c r="AP285" s="32"/>
      <c r="AQ285" s="33"/>
      <c r="AR285" s="33"/>
      <c r="AS285" s="33"/>
      <c r="AT285" s="33"/>
      <c r="AU285" s="33"/>
      <c r="AV285" s="33"/>
      <c r="AW285" s="33"/>
      <c r="AX285" s="33"/>
      <c r="AY285" s="33"/>
      <c r="AZ285" s="33"/>
      <c r="BA285" s="33"/>
      <c r="BB285" s="31"/>
      <c r="BC285" s="32"/>
      <c r="BD285" s="33"/>
      <c r="BE285" s="33"/>
      <c r="BF285" s="33"/>
      <c r="BG285" s="33"/>
      <c r="BH285" s="33"/>
      <c r="BI285" s="33"/>
      <c r="BJ285" s="33"/>
      <c r="BK285" s="33"/>
      <c r="BL285" s="33"/>
      <c r="BM285" s="33"/>
      <c r="BN285" s="33"/>
      <c r="BO285" s="31"/>
      <c r="BP285" s="32"/>
      <c r="BQ285" s="33"/>
      <c r="BR285" s="33"/>
      <c r="BS285" s="33"/>
      <c r="BT285" s="33"/>
      <c r="BU285" s="33"/>
      <c r="BV285" s="33"/>
      <c r="BW285" s="33"/>
      <c r="BX285" s="33"/>
      <c r="BY285" s="33"/>
      <c r="BZ285" s="33"/>
      <c r="CA285" s="33"/>
      <c r="CB285" s="31"/>
      <c r="CC285" s="32"/>
      <c r="CD285" s="33"/>
      <c r="CE285" s="33"/>
      <c r="CF285" s="33"/>
      <c r="CG285" s="33"/>
      <c r="CH285" s="33"/>
      <c r="CI285" s="33"/>
      <c r="CJ285" s="33"/>
      <c r="CK285" s="33"/>
      <c r="CL285" s="33"/>
      <c r="CM285" s="33"/>
      <c r="CN285" s="33"/>
      <c r="CO285" s="31"/>
      <c r="CP285" s="32"/>
      <c r="CQ285" s="33"/>
      <c r="CR285" s="33"/>
      <c r="CS285" s="33"/>
      <c r="CT285" s="33"/>
      <c r="CU285" s="33"/>
      <c r="CV285" s="33"/>
      <c r="CW285" s="33"/>
      <c r="CX285" s="33"/>
      <c r="CY285" s="33"/>
      <c r="CZ285" s="33"/>
      <c r="DA285" s="33"/>
      <c r="DB285" s="31"/>
      <c r="DC285" s="32"/>
      <c r="DD285" s="33"/>
      <c r="DE285" s="33"/>
      <c r="DF285" s="33"/>
      <c r="DG285" s="33"/>
      <c r="DH285" s="33"/>
      <c r="DI285" s="33"/>
      <c r="DJ285" s="33"/>
      <c r="DK285" s="33"/>
      <c r="DL285" s="33"/>
      <c r="DM285" s="33"/>
      <c r="DN285" s="33"/>
      <c r="DO285" s="31"/>
      <c r="DP285" s="32"/>
      <c r="DQ285" s="33"/>
      <c r="DR285" s="33"/>
      <c r="DS285" s="33"/>
      <c r="DT285" s="33"/>
      <c r="DU285" s="33"/>
      <c r="DV285" s="33"/>
      <c r="DW285" s="33"/>
      <c r="DX285" s="33"/>
      <c r="DY285" s="33"/>
      <c r="DZ285" s="33"/>
      <c r="EA285" s="33"/>
      <c r="EB285" s="31"/>
      <c r="EC285" s="32"/>
      <c r="ED285" s="33"/>
      <c r="EE285" s="33"/>
      <c r="EF285" s="33"/>
      <c r="EG285" s="33"/>
      <c r="EH285" s="33"/>
      <c r="EI285" s="33"/>
      <c r="EJ285" s="33"/>
      <c r="EK285" s="33"/>
      <c r="EL285" s="33"/>
      <c r="EM285" s="33"/>
      <c r="EN285" s="33"/>
      <c r="EO285" s="31"/>
      <c r="EP285" s="32"/>
      <c r="EQ285" s="33"/>
      <c r="ER285" s="33"/>
      <c r="ES285" s="33"/>
      <c r="ET285" s="33"/>
      <c r="EU285" s="33"/>
      <c r="EV285" s="33"/>
      <c r="EW285" s="33"/>
      <c r="EX285" s="33"/>
      <c r="EY285" s="33"/>
      <c r="EZ285" s="33"/>
      <c r="FA285" s="33"/>
      <c r="FB285" s="31"/>
      <c r="FC285" s="32"/>
      <c r="FD285" s="33"/>
      <c r="FE285" s="33"/>
      <c r="FF285" s="33"/>
      <c r="FG285" s="33"/>
      <c r="FH285" s="33"/>
      <c r="FI285" s="33"/>
      <c r="FJ285" s="33"/>
      <c r="FK285" s="33"/>
      <c r="FL285" s="33"/>
      <c r="FM285" s="33"/>
      <c r="FN285" s="33"/>
      <c r="FO285" s="34">
        <f t="shared" ref="FO285:FV285" si="278">IFERROR(R285*1,0)+IFERROR(AE285*1,0)+IFERROR(AR285*1,0)+IFERROR(BE285*1,0)+IFERROR(BR285*1,0)+IFERROR(CE285*1,0)+IFERROR(CR285*1,0)+IFERROR(DE285*1,0)+IFERROR(DR285*1,0)+IFERROR(EE285*1,0)+IFERROR(ER285*1,0)+IFERROR(FE285*1,0)</f>
        <v>0</v>
      </c>
      <c r="FP285" s="34">
        <f t="shared" si="278"/>
        <v>0</v>
      </c>
      <c r="FQ285" s="34">
        <f t="shared" si="278"/>
        <v>0</v>
      </c>
      <c r="FR285" s="34">
        <f t="shared" si="278"/>
        <v>0</v>
      </c>
      <c r="FS285" s="34">
        <f t="shared" si="278"/>
        <v>0</v>
      </c>
      <c r="FT285" s="34">
        <f t="shared" si="278"/>
        <v>0</v>
      </c>
      <c r="FU285" s="34">
        <f t="shared" si="278"/>
        <v>0</v>
      </c>
      <c r="FV285" s="34">
        <f t="shared" si="278"/>
        <v>0</v>
      </c>
      <c r="FW285" s="28"/>
      <c r="FX285" s="29">
        <f t="shared" si="3"/>
        <v>0</v>
      </c>
    </row>
    <row r="286" spans="1:180" ht="18" customHeight="1" x14ac:dyDescent="0.25">
      <c r="A286" s="3" t="str">
        <f>IF(C286&lt;&gt;"","DRG-"&amp;TEXT(281,"000"),"")</f>
        <v/>
      </c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38">
        <v>4</v>
      </c>
      <c r="M286" s="23" t="str">
        <f t="shared" si="0"/>
        <v>✘ Pending</v>
      </c>
      <c r="N286" s="23">
        <f t="shared" si="1"/>
        <v>0</v>
      </c>
      <c r="O286" s="25"/>
      <c r="P286" s="26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  <c r="AB286" s="25"/>
      <c r="AC286" s="26"/>
      <c r="AD286" s="24"/>
      <c r="AE286" s="24"/>
      <c r="AF286" s="24"/>
      <c r="AG286" s="24"/>
      <c r="AH286" s="24"/>
      <c r="AI286" s="24"/>
      <c r="AJ286" s="24"/>
      <c r="AK286" s="24"/>
      <c r="AL286" s="24"/>
      <c r="AM286" s="24"/>
      <c r="AN286" s="24"/>
      <c r="AO286" s="25"/>
      <c r="AP286" s="26"/>
      <c r="AQ286" s="24"/>
      <c r="AR286" s="24"/>
      <c r="AS286" s="24"/>
      <c r="AT286" s="24"/>
      <c r="AU286" s="24"/>
      <c r="AV286" s="24"/>
      <c r="AW286" s="24"/>
      <c r="AX286" s="24"/>
      <c r="AY286" s="24"/>
      <c r="AZ286" s="24"/>
      <c r="BA286" s="24"/>
      <c r="BB286" s="25"/>
      <c r="BC286" s="26"/>
      <c r="BD286" s="24"/>
      <c r="BE286" s="24"/>
      <c r="BF286" s="24"/>
      <c r="BG286" s="24"/>
      <c r="BH286" s="24"/>
      <c r="BI286" s="24"/>
      <c r="BJ286" s="24"/>
      <c r="BK286" s="24"/>
      <c r="BL286" s="24"/>
      <c r="BM286" s="24"/>
      <c r="BN286" s="24"/>
      <c r="BO286" s="25"/>
      <c r="BP286" s="26"/>
      <c r="BQ286" s="24"/>
      <c r="BR286" s="24"/>
      <c r="BS286" s="24"/>
      <c r="BT286" s="24"/>
      <c r="BU286" s="24"/>
      <c r="BV286" s="24"/>
      <c r="BW286" s="24"/>
      <c r="BX286" s="24"/>
      <c r="BY286" s="24"/>
      <c r="BZ286" s="24"/>
      <c r="CA286" s="24"/>
      <c r="CB286" s="25"/>
      <c r="CC286" s="26"/>
      <c r="CD286" s="24"/>
      <c r="CE286" s="24"/>
      <c r="CF286" s="24"/>
      <c r="CG286" s="24"/>
      <c r="CH286" s="24"/>
      <c r="CI286" s="24"/>
      <c r="CJ286" s="24"/>
      <c r="CK286" s="24"/>
      <c r="CL286" s="24"/>
      <c r="CM286" s="24"/>
      <c r="CN286" s="24"/>
      <c r="CO286" s="25"/>
      <c r="CP286" s="26"/>
      <c r="CQ286" s="24"/>
      <c r="CR286" s="24"/>
      <c r="CS286" s="24"/>
      <c r="CT286" s="24"/>
      <c r="CU286" s="24"/>
      <c r="CV286" s="24"/>
      <c r="CW286" s="24"/>
      <c r="CX286" s="24"/>
      <c r="CY286" s="24"/>
      <c r="CZ286" s="24"/>
      <c r="DA286" s="24"/>
      <c r="DB286" s="25"/>
      <c r="DC286" s="26"/>
      <c r="DD286" s="24"/>
      <c r="DE286" s="24"/>
      <c r="DF286" s="24"/>
      <c r="DG286" s="24"/>
      <c r="DH286" s="24"/>
      <c r="DI286" s="24"/>
      <c r="DJ286" s="24"/>
      <c r="DK286" s="24"/>
      <c r="DL286" s="24"/>
      <c r="DM286" s="24"/>
      <c r="DN286" s="24"/>
      <c r="DO286" s="25"/>
      <c r="DP286" s="26"/>
      <c r="DQ286" s="24"/>
      <c r="DR286" s="24"/>
      <c r="DS286" s="24"/>
      <c r="DT286" s="24"/>
      <c r="DU286" s="24"/>
      <c r="DV286" s="24"/>
      <c r="DW286" s="24"/>
      <c r="DX286" s="24"/>
      <c r="DY286" s="24"/>
      <c r="DZ286" s="24"/>
      <c r="EA286" s="24"/>
      <c r="EB286" s="25"/>
      <c r="EC286" s="26"/>
      <c r="ED286" s="24"/>
      <c r="EE286" s="24"/>
      <c r="EF286" s="24"/>
      <c r="EG286" s="24"/>
      <c r="EH286" s="24"/>
      <c r="EI286" s="24"/>
      <c r="EJ286" s="24"/>
      <c r="EK286" s="24"/>
      <c r="EL286" s="24"/>
      <c r="EM286" s="24"/>
      <c r="EN286" s="24"/>
      <c r="EO286" s="25"/>
      <c r="EP286" s="26"/>
      <c r="EQ286" s="24"/>
      <c r="ER286" s="24"/>
      <c r="ES286" s="24"/>
      <c r="ET286" s="24"/>
      <c r="EU286" s="24"/>
      <c r="EV286" s="24"/>
      <c r="EW286" s="24"/>
      <c r="EX286" s="24"/>
      <c r="EY286" s="24"/>
      <c r="EZ286" s="24"/>
      <c r="FA286" s="24"/>
      <c r="FB286" s="25"/>
      <c r="FC286" s="26"/>
      <c r="FD286" s="24"/>
      <c r="FE286" s="24"/>
      <c r="FF286" s="24"/>
      <c r="FG286" s="24"/>
      <c r="FH286" s="24"/>
      <c r="FI286" s="24"/>
      <c r="FJ286" s="24"/>
      <c r="FK286" s="24"/>
      <c r="FL286" s="24"/>
      <c r="FM286" s="24"/>
      <c r="FN286" s="24"/>
      <c r="FO286" s="27">
        <f t="shared" ref="FO286:FV286" si="279">IFERROR(R286*1,0)+IFERROR(AE286*1,0)+IFERROR(AR286*1,0)+IFERROR(BE286*1,0)+IFERROR(BR286*1,0)+IFERROR(CE286*1,0)+IFERROR(CR286*1,0)+IFERROR(DE286*1,0)+IFERROR(DR286*1,0)+IFERROR(EE286*1,0)+IFERROR(ER286*1,0)+IFERROR(FE286*1,0)</f>
        <v>0</v>
      </c>
      <c r="FP286" s="27">
        <f t="shared" si="279"/>
        <v>0</v>
      </c>
      <c r="FQ286" s="27">
        <f t="shared" si="279"/>
        <v>0</v>
      </c>
      <c r="FR286" s="27">
        <f t="shared" si="279"/>
        <v>0</v>
      </c>
      <c r="FS286" s="27">
        <f t="shared" si="279"/>
        <v>0</v>
      </c>
      <c r="FT286" s="27">
        <f t="shared" si="279"/>
        <v>0</v>
      </c>
      <c r="FU286" s="27">
        <f t="shared" si="279"/>
        <v>0</v>
      </c>
      <c r="FV286" s="27">
        <f t="shared" si="279"/>
        <v>0</v>
      </c>
      <c r="FW286" s="28"/>
      <c r="FX286" s="29">
        <f t="shared" si="3"/>
        <v>0</v>
      </c>
    </row>
    <row r="287" spans="1:180" ht="18" customHeight="1" x14ac:dyDescent="0.25">
      <c r="A287" s="3" t="str">
        <f>IF(C287&lt;&gt;"","DRG-"&amp;TEXT(282,"000"),"")</f>
        <v/>
      </c>
      <c r="B287" s="33"/>
      <c r="C287" s="33"/>
      <c r="D287" s="33"/>
      <c r="E287" s="33"/>
      <c r="F287" s="33"/>
      <c r="G287" s="33"/>
      <c r="H287" s="33"/>
      <c r="I287" s="33"/>
      <c r="J287" s="33"/>
      <c r="K287" s="33"/>
      <c r="L287" s="37">
        <v>4</v>
      </c>
      <c r="M287" s="30" t="str">
        <f t="shared" si="0"/>
        <v>✘ Pending</v>
      </c>
      <c r="N287" s="30">
        <f t="shared" si="1"/>
        <v>0</v>
      </c>
      <c r="O287" s="31"/>
      <c r="P287" s="32"/>
      <c r="Q287" s="33"/>
      <c r="R287" s="33"/>
      <c r="S287" s="33"/>
      <c r="T287" s="33"/>
      <c r="U287" s="33"/>
      <c r="V287" s="33"/>
      <c r="W287" s="33"/>
      <c r="X287" s="33"/>
      <c r="Y287" s="33"/>
      <c r="Z287" s="33"/>
      <c r="AA287" s="33"/>
      <c r="AB287" s="31"/>
      <c r="AC287" s="32"/>
      <c r="AD287" s="33"/>
      <c r="AE287" s="33"/>
      <c r="AF287" s="33"/>
      <c r="AG287" s="33"/>
      <c r="AH287" s="33"/>
      <c r="AI287" s="33"/>
      <c r="AJ287" s="33"/>
      <c r="AK287" s="33"/>
      <c r="AL287" s="33"/>
      <c r="AM287" s="33"/>
      <c r="AN287" s="33"/>
      <c r="AO287" s="31"/>
      <c r="AP287" s="32"/>
      <c r="AQ287" s="33"/>
      <c r="AR287" s="33"/>
      <c r="AS287" s="33"/>
      <c r="AT287" s="33"/>
      <c r="AU287" s="33"/>
      <c r="AV287" s="33"/>
      <c r="AW287" s="33"/>
      <c r="AX287" s="33"/>
      <c r="AY287" s="33"/>
      <c r="AZ287" s="33"/>
      <c r="BA287" s="33"/>
      <c r="BB287" s="31"/>
      <c r="BC287" s="32"/>
      <c r="BD287" s="33"/>
      <c r="BE287" s="33"/>
      <c r="BF287" s="33"/>
      <c r="BG287" s="33"/>
      <c r="BH287" s="33"/>
      <c r="BI287" s="33"/>
      <c r="BJ287" s="33"/>
      <c r="BK287" s="33"/>
      <c r="BL287" s="33"/>
      <c r="BM287" s="33"/>
      <c r="BN287" s="33"/>
      <c r="BO287" s="31"/>
      <c r="BP287" s="32"/>
      <c r="BQ287" s="33"/>
      <c r="BR287" s="33"/>
      <c r="BS287" s="33"/>
      <c r="BT287" s="33"/>
      <c r="BU287" s="33"/>
      <c r="BV287" s="33"/>
      <c r="BW287" s="33"/>
      <c r="BX287" s="33"/>
      <c r="BY287" s="33"/>
      <c r="BZ287" s="33"/>
      <c r="CA287" s="33"/>
      <c r="CB287" s="31"/>
      <c r="CC287" s="32"/>
      <c r="CD287" s="33"/>
      <c r="CE287" s="33"/>
      <c r="CF287" s="33"/>
      <c r="CG287" s="33"/>
      <c r="CH287" s="33"/>
      <c r="CI287" s="33"/>
      <c r="CJ287" s="33"/>
      <c r="CK287" s="33"/>
      <c r="CL287" s="33"/>
      <c r="CM287" s="33"/>
      <c r="CN287" s="33"/>
      <c r="CO287" s="31"/>
      <c r="CP287" s="32"/>
      <c r="CQ287" s="33"/>
      <c r="CR287" s="33"/>
      <c r="CS287" s="33"/>
      <c r="CT287" s="33"/>
      <c r="CU287" s="33"/>
      <c r="CV287" s="33"/>
      <c r="CW287" s="33"/>
      <c r="CX287" s="33"/>
      <c r="CY287" s="33"/>
      <c r="CZ287" s="33"/>
      <c r="DA287" s="33"/>
      <c r="DB287" s="31"/>
      <c r="DC287" s="32"/>
      <c r="DD287" s="33"/>
      <c r="DE287" s="33"/>
      <c r="DF287" s="33"/>
      <c r="DG287" s="33"/>
      <c r="DH287" s="33"/>
      <c r="DI287" s="33"/>
      <c r="DJ287" s="33"/>
      <c r="DK287" s="33"/>
      <c r="DL287" s="33"/>
      <c r="DM287" s="33"/>
      <c r="DN287" s="33"/>
      <c r="DO287" s="31"/>
      <c r="DP287" s="32"/>
      <c r="DQ287" s="33"/>
      <c r="DR287" s="33"/>
      <c r="DS287" s="33"/>
      <c r="DT287" s="33"/>
      <c r="DU287" s="33"/>
      <c r="DV287" s="33"/>
      <c r="DW287" s="33"/>
      <c r="DX287" s="33"/>
      <c r="DY287" s="33"/>
      <c r="DZ287" s="33"/>
      <c r="EA287" s="33"/>
      <c r="EB287" s="31"/>
      <c r="EC287" s="32"/>
      <c r="ED287" s="33"/>
      <c r="EE287" s="33"/>
      <c r="EF287" s="33"/>
      <c r="EG287" s="33"/>
      <c r="EH287" s="33"/>
      <c r="EI287" s="33"/>
      <c r="EJ287" s="33"/>
      <c r="EK287" s="33"/>
      <c r="EL287" s="33"/>
      <c r="EM287" s="33"/>
      <c r="EN287" s="33"/>
      <c r="EO287" s="31"/>
      <c r="EP287" s="32"/>
      <c r="EQ287" s="33"/>
      <c r="ER287" s="33"/>
      <c r="ES287" s="33"/>
      <c r="ET287" s="33"/>
      <c r="EU287" s="33"/>
      <c r="EV287" s="33"/>
      <c r="EW287" s="33"/>
      <c r="EX287" s="33"/>
      <c r="EY287" s="33"/>
      <c r="EZ287" s="33"/>
      <c r="FA287" s="33"/>
      <c r="FB287" s="31"/>
      <c r="FC287" s="32"/>
      <c r="FD287" s="33"/>
      <c r="FE287" s="33"/>
      <c r="FF287" s="33"/>
      <c r="FG287" s="33"/>
      <c r="FH287" s="33"/>
      <c r="FI287" s="33"/>
      <c r="FJ287" s="33"/>
      <c r="FK287" s="33"/>
      <c r="FL287" s="33"/>
      <c r="FM287" s="33"/>
      <c r="FN287" s="33"/>
      <c r="FO287" s="34">
        <f t="shared" ref="FO287:FV287" si="280">IFERROR(R287*1,0)+IFERROR(AE287*1,0)+IFERROR(AR287*1,0)+IFERROR(BE287*1,0)+IFERROR(BR287*1,0)+IFERROR(CE287*1,0)+IFERROR(CR287*1,0)+IFERROR(DE287*1,0)+IFERROR(DR287*1,0)+IFERROR(EE287*1,0)+IFERROR(ER287*1,0)+IFERROR(FE287*1,0)</f>
        <v>0</v>
      </c>
      <c r="FP287" s="34">
        <f t="shared" si="280"/>
        <v>0</v>
      </c>
      <c r="FQ287" s="34">
        <f t="shared" si="280"/>
        <v>0</v>
      </c>
      <c r="FR287" s="34">
        <f t="shared" si="280"/>
        <v>0</v>
      </c>
      <c r="FS287" s="34">
        <f t="shared" si="280"/>
        <v>0</v>
      </c>
      <c r="FT287" s="34">
        <f t="shared" si="280"/>
        <v>0</v>
      </c>
      <c r="FU287" s="34">
        <f t="shared" si="280"/>
        <v>0</v>
      </c>
      <c r="FV287" s="34">
        <f t="shared" si="280"/>
        <v>0</v>
      </c>
      <c r="FW287" s="28"/>
      <c r="FX287" s="29">
        <f t="shared" si="3"/>
        <v>0</v>
      </c>
    </row>
    <row r="288" spans="1:180" ht="18" customHeight="1" x14ac:dyDescent="0.25">
      <c r="A288" s="3" t="str">
        <f>IF(C288&lt;&gt;"","DRG-"&amp;TEXT(283,"000"),"")</f>
        <v/>
      </c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38">
        <v>4</v>
      </c>
      <c r="M288" s="23" t="str">
        <f t="shared" si="0"/>
        <v>✘ Pending</v>
      </c>
      <c r="N288" s="23">
        <f t="shared" si="1"/>
        <v>0</v>
      </c>
      <c r="O288" s="25"/>
      <c r="P288" s="26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  <c r="AB288" s="25"/>
      <c r="AC288" s="26"/>
      <c r="AD288" s="24"/>
      <c r="AE288" s="24"/>
      <c r="AF288" s="24"/>
      <c r="AG288" s="24"/>
      <c r="AH288" s="24"/>
      <c r="AI288" s="24"/>
      <c r="AJ288" s="24"/>
      <c r="AK288" s="24"/>
      <c r="AL288" s="24"/>
      <c r="AM288" s="24"/>
      <c r="AN288" s="24"/>
      <c r="AO288" s="25"/>
      <c r="AP288" s="26"/>
      <c r="AQ288" s="24"/>
      <c r="AR288" s="24"/>
      <c r="AS288" s="24"/>
      <c r="AT288" s="24"/>
      <c r="AU288" s="24"/>
      <c r="AV288" s="24"/>
      <c r="AW288" s="24"/>
      <c r="AX288" s="24"/>
      <c r="AY288" s="24"/>
      <c r="AZ288" s="24"/>
      <c r="BA288" s="24"/>
      <c r="BB288" s="25"/>
      <c r="BC288" s="26"/>
      <c r="BD288" s="24"/>
      <c r="BE288" s="24"/>
      <c r="BF288" s="24"/>
      <c r="BG288" s="24"/>
      <c r="BH288" s="24"/>
      <c r="BI288" s="24"/>
      <c r="BJ288" s="24"/>
      <c r="BK288" s="24"/>
      <c r="BL288" s="24"/>
      <c r="BM288" s="24"/>
      <c r="BN288" s="24"/>
      <c r="BO288" s="25"/>
      <c r="BP288" s="26"/>
      <c r="BQ288" s="24"/>
      <c r="BR288" s="24"/>
      <c r="BS288" s="24"/>
      <c r="BT288" s="24"/>
      <c r="BU288" s="24"/>
      <c r="BV288" s="24"/>
      <c r="BW288" s="24"/>
      <c r="BX288" s="24"/>
      <c r="BY288" s="24"/>
      <c r="BZ288" s="24"/>
      <c r="CA288" s="24"/>
      <c r="CB288" s="25"/>
      <c r="CC288" s="26"/>
      <c r="CD288" s="24"/>
      <c r="CE288" s="24"/>
      <c r="CF288" s="24"/>
      <c r="CG288" s="24"/>
      <c r="CH288" s="24"/>
      <c r="CI288" s="24"/>
      <c r="CJ288" s="24"/>
      <c r="CK288" s="24"/>
      <c r="CL288" s="24"/>
      <c r="CM288" s="24"/>
      <c r="CN288" s="24"/>
      <c r="CO288" s="25"/>
      <c r="CP288" s="26"/>
      <c r="CQ288" s="24"/>
      <c r="CR288" s="24"/>
      <c r="CS288" s="24"/>
      <c r="CT288" s="24"/>
      <c r="CU288" s="24"/>
      <c r="CV288" s="24"/>
      <c r="CW288" s="24"/>
      <c r="CX288" s="24"/>
      <c r="CY288" s="24"/>
      <c r="CZ288" s="24"/>
      <c r="DA288" s="24"/>
      <c r="DB288" s="25"/>
      <c r="DC288" s="26"/>
      <c r="DD288" s="24"/>
      <c r="DE288" s="24"/>
      <c r="DF288" s="24"/>
      <c r="DG288" s="24"/>
      <c r="DH288" s="24"/>
      <c r="DI288" s="24"/>
      <c r="DJ288" s="24"/>
      <c r="DK288" s="24"/>
      <c r="DL288" s="24"/>
      <c r="DM288" s="24"/>
      <c r="DN288" s="24"/>
      <c r="DO288" s="25"/>
      <c r="DP288" s="26"/>
      <c r="DQ288" s="24"/>
      <c r="DR288" s="24"/>
      <c r="DS288" s="24"/>
      <c r="DT288" s="24"/>
      <c r="DU288" s="24"/>
      <c r="DV288" s="24"/>
      <c r="DW288" s="24"/>
      <c r="DX288" s="24"/>
      <c r="DY288" s="24"/>
      <c r="DZ288" s="24"/>
      <c r="EA288" s="24"/>
      <c r="EB288" s="25"/>
      <c r="EC288" s="26"/>
      <c r="ED288" s="24"/>
      <c r="EE288" s="24"/>
      <c r="EF288" s="24"/>
      <c r="EG288" s="24"/>
      <c r="EH288" s="24"/>
      <c r="EI288" s="24"/>
      <c r="EJ288" s="24"/>
      <c r="EK288" s="24"/>
      <c r="EL288" s="24"/>
      <c r="EM288" s="24"/>
      <c r="EN288" s="24"/>
      <c r="EO288" s="25"/>
      <c r="EP288" s="26"/>
      <c r="EQ288" s="24"/>
      <c r="ER288" s="24"/>
      <c r="ES288" s="24"/>
      <c r="ET288" s="24"/>
      <c r="EU288" s="24"/>
      <c r="EV288" s="24"/>
      <c r="EW288" s="24"/>
      <c r="EX288" s="24"/>
      <c r="EY288" s="24"/>
      <c r="EZ288" s="24"/>
      <c r="FA288" s="24"/>
      <c r="FB288" s="25"/>
      <c r="FC288" s="26"/>
      <c r="FD288" s="24"/>
      <c r="FE288" s="24"/>
      <c r="FF288" s="24"/>
      <c r="FG288" s="24"/>
      <c r="FH288" s="24"/>
      <c r="FI288" s="24"/>
      <c r="FJ288" s="24"/>
      <c r="FK288" s="24"/>
      <c r="FL288" s="24"/>
      <c r="FM288" s="24"/>
      <c r="FN288" s="24"/>
      <c r="FO288" s="27">
        <f t="shared" ref="FO288:FV288" si="281">IFERROR(R288*1,0)+IFERROR(AE288*1,0)+IFERROR(AR288*1,0)+IFERROR(BE288*1,0)+IFERROR(BR288*1,0)+IFERROR(CE288*1,0)+IFERROR(CR288*1,0)+IFERROR(DE288*1,0)+IFERROR(DR288*1,0)+IFERROR(EE288*1,0)+IFERROR(ER288*1,0)+IFERROR(FE288*1,0)</f>
        <v>0</v>
      </c>
      <c r="FP288" s="27">
        <f t="shared" si="281"/>
        <v>0</v>
      </c>
      <c r="FQ288" s="27">
        <f t="shared" si="281"/>
        <v>0</v>
      </c>
      <c r="FR288" s="27">
        <f t="shared" si="281"/>
        <v>0</v>
      </c>
      <c r="FS288" s="27">
        <f t="shared" si="281"/>
        <v>0</v>
      </c>
      <c r="FT288" s="27">
        <f t="shared" si="281"/>
        <v>0</v>
      </c>
      <c r="FU288" s="27">
        <f t="shared" si="281"/>
        <v>0</v>
      </c>
      <c r="FV288" s="27">
        <f t="shared" si="281"/>
        <v>0</v>
      </c>
      <c r="FW288" s="28"/>
      <c r="FX288" s="29">
        <f t="shared" si="3"/>
        <v>0</v>
      </c>
    </row>
    <row r="289" spans="1:180" ht="18" customHeight="1" x14ac:dyDescent="0.25">
      <c r="A289" s="3" t="str">
        <f>IF(C289&lt;&gt;"","DRG-"&amp;TEXT(284,"000"),"")</f>
        <v/>
      </c>
      <c r="B289" s="33"/>
      <c r="C289" s="33"/>
      <c r="D289" s="33"/>
      <c r="E289" s="33"/>
      <c r="F289" s="33"/>
      <c r="G289" s="33"/>
      <c r="H289" s="33"/>
      <c r="I289" s="33"/>
      <c r="J289" s="33"/>
      <c r="K289" s="33"/>
      <c r="L289" s="37">
        <v>4</v>
      </c>
      <c r="M289" s="30" t="str">
        <f t="shared" si="0"/>
        <v>✘ Pending</v>
      </c>
      <c r="N289" s="30">
        <f t="shared" si="1"/>
        <v>0</v>
      </c>
      <c r="O289" s="31"/>
      <c r="P289" s="32"/>
      <c r="Q289" s="33"/>
      <c r="R289" s="33"/>
      <c r="S289" s="33"/>
      <c r="T289" s="33"/>
      <c r="U289" s="33"/>
      <c r="V289" s="33"/>
      <c r="W289" s="33"/>
      <c r="X289" s="33"/>
      <c r="Y289" s="33"/>
      <c r="Z289" s="33"/>
      <c r="AA289" s="33"/>
      <c r="AB289" s="31"/>
      <c r="AC289" s="32"/>
      <c r="AD289" s="33"/>
      <c r="AE289" s="33"/>
      <c r="AF289" s="33"/>
      <c r="AG289" s="33"/>
      <c r="AH289" s="33"/>
      <c r="AI289" s="33"/>
      <c r="AJ289" s="33"/>
      <c r="AK289" s="33"/>
      <c r="AL289" s="33"/>
      <c r="AM289" s="33"/>
      <c r="AN289" s="33"/>
      <c r="AO289" s="31"/>
      <c r="AP289" s="32"/>
      <c r="AQ289" s="33"/>
      <c r="AR289" s="33"/>
      <c r="AS289" s="33"/>
      <c r="AT289" s="33"/>
      <c r="AU289" s="33"/>
      <c r="AV289" s="33"/>
      <c r="AW289" s="33"/>
      <c r="AX289" s="33"/>
      <c r="AY289" s="33"/>
      <c r="AZ289" s="33"/>
      <c r="BA289" s="33"/>
      <c r="BB289" s="31"/>
      <c r="BC289" s="32"/>
      <c r="BD289" s="33"/>
      <c r="BE289" s="33"/>
      <c r="BF289" s="33"/>
      <c r="BG289" s="33"/>
      <c r="BH289" s="33"/>
      <c r="BI289" s="33"/>
      <c r="BJ289" s="33"/>
      <c r="BK289" s="33"/>
      <c r="BL289" s="33"/>
      <c r="BM289" s="33"/>
      <c r="BN289" s="33"/>
      <c r="BO289" s="31"/>
      <c r="BP289" s="32"/>
      <c r="BQ289" s="33"/>
      <c r="BR289" s="33"/>
      <c r="BS289" s="33"/>
      <c r="BT289" s="33"/>
      <c r="BU289" s="33"/>
      <c r="BV289" s="33"/>
      <c r="BW289" s="33"/>
      <c r="BX289" s="33"/>
      <c r="BY289" s="33"/>
      <c r="BZ289" s="33"/>
      <c r="CA289" s="33"/>
      <c r="CB289" s="31"/>
      <c r="CC289" s="32"/>
      <c r="CD289" s="33"/>
      <c r="CE289" s="33"/>
      <c r="CF289" s="33"/>
      <c r="CG289" s="33"/>
      <c r="CH289" s="33"/>
      <c r="CI289" s="33"/>
      <c r="CJ289" s="33"/>
      <c r="CK289" s="33"/>
      <c r="CL289" s="33"/>
      <c r="CM289" s="33"/>
      <c r="CN289" s="33"/>
      <c r="CO289" s="31"/>
      <c r="CP289" s="32"/>
      <c r="CQ289" s="33"/>
      <c r="CR289" s="33"/>
      <c r="CS289" s="33"/>
      <c r="CT289" s="33"/>
      <c r="CU289" s="33"/>
      <c r="CV289" s="33"/>
      <c r="CW289" s="33"/>
      <c r="CX289" s="33"/>
      <c r="CY289" s="33"/>
      <c r="CZ289" s="33"/>
      <c r="DA289" s="33"/>
      <c r="DB289" s="31"/>
      <c r="DC289" s="32"/>
      <c r="DD289" s="33"/>
      <c r="DE289" s="33"/>
      <c r="DF289" s="33"/>
      <c r="DG289" s="33"/>
      <c r="DH289" s="33"/>
      <c r="DI289" s="33"/>
      <c r="DJ289" s="33"/>
      <c r="DK289" s="33"/>
      <c r="DL289" s="33"/>
      <c r="DM289" s="33"/>
      <c r="DN289" s="33"/>
      <c r="DO289" s="31"/>
      <c r="DP289" s="32"/>
      <c r="DQ289" s="33"/>
      <c r="DR289" s="33"/>
      <c r="DS289" s="33"/>
      <c r="DT289" s="33"/>
      <c r="DU289" s="33"/>
      <c r="DV289" s="33"/>
      <c r="DW289" s="33"/>
      <c r="DX289" s="33"/>
      <c r="DY289" s="33"/>
      <c r="DZ289" s="33"/>
      <c r="EA289" s="33"/>
      <c r="EB289" s="31"/>
      <c r="EC289" s="32"/>
      <c r="ED289" s="33"/>
      <c r="EE289" s="33"/>
      <c r="EF289" s="33"/>
      <c r="EG289" s="33"/>
      <c r="EH289" s="33"/>
      <c r="EI289" s="33"/>
      <c r="EJ289" s="33"/>
      <c r="EK289" s="33"/>
      <c r="EL289" s="33"/>
      <c r="EM289" s="33"/>
      <c r="EN289" s="33"/>
      <c r="EO289" s="31"/>
      <c r="EP289" s="32"/>
      <c r="EQ289" s="33"/>
      <c r="ER289" s="33"/>
      <c r="ES289" s="33"/>
      <c r="ET289" s="33"/>
      <c r="EU289" s="33"/>
      <c r="EV289" s="33"/>
      <c r="EW289" s="33"/>
      <c r="EX289" s="33"/>
      <c r="EY289" s="33"/>
      <c r="EZ289" s="33"/>
      <c r="FA289" s="33"/>
      <c r="FB289" s="31"/>
      <c r="FC289" s="32"/>
      <c r="FD289" s="33"/>
      <c r="FE289" s="33"/>
      <c r="FF289" s="33"/>
      <c r="FG289" s="33"/>
      <c r="FH289" s="33"/>
      <c r="FI289" s="33"/>
      <c r="FJ289" s="33"/>
      <c r="FK289" s="33"/>
      <c r="FL289" s="33"/>
      <c r="FM289" s="33"/>
      <c r="FN289" s="33"/>
      <c r="FO289" s="34">
        <f t="shared" ref="FO289:FV289" si="282">IFERROR(R289*1,0)+IFERROR(AE289*1,0)+IFERROR(AR289*1,0)+IFERROR(BE289*1,0)+IFERROR(BR289*1,0)+IFERROR(CE289*1,0)+IFERROR(CR289*1,0)+IFERROR(DE289*1,0)+IFERROR(DR289*1,0)+IFERROR(EE289*1,0)+IFERROR(ER289*1,0)+IFERROR(FE289*1,0)</f>
        <v>0</v>
      </c>
      <c r="FP289" s="34">
        <f t="shared" si="282"/>
        <v>0</v>
      </c>
      <c r="FQ289" s="34">
        <f t="shared" si="282"/>
        <v>0</v>
      </c>
      <c r="FR289" s="34">
        <f t="shared" si="282"/>
        <v>0</v>
      </c>
      <c r="FS289" s="34">
        <f t="shared" si="282"/>
        <v>0</v>
      </c>
      <c r="FT289" s="34">
        <f t="shared" si="282"/>
        <v>0</v>
      </c>
      <c r="FU289" s="34">
        <f t="shared" si="282"/>
        <v>0</v>
      </c>
      <c r="FV289" s="34">
        <f t="shared" si="282"/>
        <v>0</v>
      </c>
      <c r="FW289" s="28"/>
      <c r="FX289" s="29">
        <f t="shared" si="3"/>
        <v>0</v>
      </c>
    </row>
    <row r="290" spans="1:180" ht="18" customHeight="1" x14ac:dyDescent="0.25">
      <c r="A290" s="3" t="str">
        <f>IF(C290&lt;&gt;"","DRG-"&amp;TEXT(285,"000"),"")</f>
        <v/>
      </c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38">
        <v>4</v>
      </c>
      <c r="M290" s="23" t="str">
        <f t="shared" si="0"/>
        <v>✘ Pending</v>
      </c>
      <c r="N290" s="23">
        <f t="shared" si="1"/>
        <v>0</v>
      </c>
      <c r="O290" s="25"/>
      <c r="P290" s="26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  <c r="AB290" s="25"/>
      <c r="AC290" s="26"/>
      <c r="AD290" s="24"/>
      <c r="AE290" s="24"/>
      <c r="AF290" s="24"/>
      <c r="AG290" s="24"/>
      <c r="AH290" s="24"/>
      <c r="AI290" s="24"/>
      <c r="AJ290" s="24"/>
      <c r="AK290" s="24"/>
      <c r="AL290" s="24"/>
      <c r="AM290" s="24"/>
      <c r="AN290" s="24"/>
      <c r="AO290" s="25"/>
      <c r="AP290" s="26"/>
      <c r="AQ290" s="24"/>
      <c r="AR290" s="24"/>
      <c r="AS290" s="24"/>
      <c r="AT290" s="24"/>
      <c r="AU290" s="24"/>
      <c r="AV290" s="24"/>
      <c r="AW290" s="24"/>
      <c r="AX290" s="24"/>
      <c r="AY290" s="24"/>
      <c r="AZ290" s="24"/>
      <c r="BA290" s="24"/>
      <c r="BB290" s="25"/>
      <c r="BC290" s="26"/>
      <c r="BD290" s="24"/>
      <c r="BE290" s="24"/>
      <c r="BF290" s="24"/>
      <c r="BG290" s="24"/>
      <c r="BH290" s="24"/>
      <c r="BI290" s="24"/>
      <c r="BJ290" s="24"/>
      <c r="BK290" s="24"/>
      <c r="BL290" s="24"/>
      <c r="BM290" s="24"/>
      <c r="BN290" s="24"/>
      <c r="BO290" s="25"/>
      <c r="BP290" s="26"/>
      <c r="BQ290" s="24"/>
      <c r="BR290" s="24"/>
      <c r="BS290" s="24"/>
      <c r="BT290" s="24"/>
      <c r="BU290" s="24"/>
      <c r="BV290" s="24"/>
      <c r="BW290" s="24"/>
      <c r="BX290" s="24"/>
      <c r="BY290" s="24"/>
      <c r="BZ290" s="24"/>
      <c r="CA290" s="24"/>
      <c r="CB290" s="25"/>
      <c r="CC290" s="26"/>
      <c r="CD290" s="24"/>
      <c r="CE290" s="24"/>
      <c r="CF290" s="24"/>
      <c r="CG290" s="24"/>
      <c r="CH290" s="24"/>
      <c r="CI290" s="24"/>
      <c r="CJ290" s="24"/>
      <c r="CK290" s="24"/>
      <c r="CL290" s="24"/>
      <c r="CM290" s="24"/>
      <c r="CN290" s="24"/>
      <c r="CO290" s="25"/>
      <c r="CP290" s="26"/>
      <c r="CQ290" s="24"/>
      <c r="CR290" s="24"/>
      <c r="CS290" s="24"/>
      <c r="CT290" s="24"/>
      <c r="CU290" s="24"/>
      <c r="CV290" s="24"/>
      <c r="CW290" s="24"/>
      <c r="CX290" s="24"/>
      <c r="CY290" s="24"/>
      <c r="CZ290" s="24"/>
      <c r="DA290" s="24"/>
      <c r="DB290" s="25"/>
      <c r="DC290" s="26"/>
      <c r="DD290" s="24"/>
      <c r="DE290" s="24"/>
      <c r="DF290" s="24"/>
      <c r="DG290" s="24"/>
      <c r="DH290" s="24"/>
      <c r="DI290" s="24"/>
      <c r="DJ290" s="24"/>
      <c r="DK290" s="24"/>
      <c r="DL290" s="24"/>
      <c r="DM290" s="24"/>
      <c r="DN290" s="24"/>
      <c r="DO290" s="25"/>
      <c r="DP290" s="26"/>
      <c r="DQ290" s="24"/>
      <c r="DR290" s="24"/>
      <c r="DS290" s="24"/>
      <c r="DT290" s="24"/>
      <c r="DU290" s="24"/>
      <c r="DV290" s="24"/>
      <c r="DW290" s="24"/>
      <c r="DX290" s="24"/>
      <c r="DY290" s="24"/>
      <c r="DZ290" s="24"/>
      <c r="EA290" s="24"/>
      <c r="EB290" s="25"/>
      <c r="EC290" s="26"/>
      <c r="ED290" s="24"/>
      <c r="EE290" s="24"/>
      <c r="EF290" s="24"/>
      <c r="EG290" s="24"/>
      <c r="EH290" s="24"/>
      <c r="EI290" s="24"/>
      <c r="EJ290" s="24"/>
      <c r="EK290" s="24"/>
      <c r="EL290" s="24"/>
      <c r="EM290" s="24"/>
      <c r="EN290" s="24"/>
      <c r="EO290" s="25"/>
      <c r="EP290" s="26"/>
      <c r="EQ290" s="24"/>
      <c r="ER290" s="24"/>
      <c r="ES290" s="24"/>
      <c r="ET290" s="24"/>
      <c r="EU290" s="24"/>
      <c r="EV290" s="24"/>
      <c r="EW290" s="24"/>
      <c r="EX290" s="24"/>
      <c r="EY290" s="24"/>
      <c r="EZ290" s="24"/>
      <c r="FA290" s="24"/>
      <c r="FB290" s="25"/>
      <c r="FC290" s="26"/>
      <c r="FD290" s="24"/>
      <c r="FE290" s="24"/>
      <c r="FF290" s="24"/>
      <c r="FG290" s="24"/>
      <c r="FH290" s="24"/>
      <c r="FI290" s="24"/>
      <c r="FJ290" s="24"/>
      <c r="FK290" s="24"/>
      <c r="FL290" s="24"/>
      <c r="FM290" s="24"/>
      <c r="FN290" s="24"/>
      <c r="FO290" s="27">
        <f t="shared" ref="FO290:FV290" si="283">IFERROR(R290*1,0)+IFERROR(AE290*1,0)+IFERROR(AR290*1,0)+IFERROR(BE290*1,0)+IFERROR(BR290*1,0)+IFERROR(CE290*1,0)+IFERROR(CR290*1,0)+IFERROR(DE290*1,0)+IFERROR(DR290*1,0)+IFERROR(EE290*1,0)+IFERROR(ER290*1,0)+IFERROR(FE290*1,0)</f>
        <v>0</v>
      </c>
      <c r="FP290" s="27">
        <f t="shared" si="283"/>
        <v>0</v>
      </c>
      <c r="FQ290" s="27">
        <f t="shared" si="283"/>
        <v>0</v>
      </c>
      <c r="FR290" s="27">
        <f t="shared" si="283"/>
        <v>0</v>
      </c>
      <c r="FS290" s="27">
        <f t="shared" si="283"/>
        <v>0</v>
      </c>
      <c r="FT290" s="27">
        <f t="shared" si="283"/>
        <v>0</v>
      </c>
      <c r="FU290" s="27">
        <f t="shared" si="283"/>
        <v>0</v>
      </c>
      <c r="FV290" s="27">
        <f t="shared" si="283"/>
        <v>0</v>
      </c>
      <c r="FW290" s="28"/>
      <c r="FX290" s="29">
        <f t="shared" si="3"/>
        <v>0</v>
      </c>
    </row>
    <row r="291" spans="1:180" ht="18" customHeight="1" x14ac:dyDescent="0.25">
      <c r="A291" s="3" t="str">
        <f>IF(C291&lt;&gt;"","DRG-"&amp;TEXT(286,"000"),"")</f>
        <v/>
      </c>
      <c r="B291" s="33"/>
      <c r="C291" s="33"/>
      <c r="D291" s="33"/>
      <c r="E291" s="33"/>
      <c r="F291" s="33"/>
      <c r="G291" s="33"/>
      <c r="H291" s="33"/>
      <c r="I291" s="33"/>
      <c r="J291" s="33"/>
      <c r="K291" s="33"/>
      <c r="L291" s="37">
        <v>4</v>
      </c>
      <c r="M291" s="30" t="str">
        <f t="shared" si="0"/>
        <v>✘ Pending</v>
      </c>
      <c r="N291" s="30">
        <f t="shared" si="1"/>
        <v>0</v>
      </c>
      <c r="O291" s="31"/>
      <c r="P291" s="32"/>
      <c r="Q291" s="33"/>
      <c r="R291" s="33"/>
      <c r="S291" s="33"/>
      <c r="T291" s="33"/>
      <c r="U291" s="33"/>
      <c r="V291" s="33"/>
      <c r="W291" s="33"/>
      <c r="X291" s="33"/>
      <c r="Y291" s="33"/>
      <c r="Z291" s="33"/>
      <c r="AA291" s="33"/>
      <c r="AB291" s="31"/>
      <c r="AC291" s="32"/>
      <c r="AD291" s="33"/>
      <c r="AE291" s="33"/>
      <c r="AF291" s="33"/>
      <c r="AG291" s="33"/>
      <c r="AH291" s="33"/>
      <c r="AI291" s="33"/>
      <c r="AJ291" s="33"/>
      <c r="AK291" s="33"/>
      <c r="AL291" s="33"/>
      <c r="AM291" s="33"/>
      <c r="AN291" s="33"/>
      <c r="AO291" s="31"/>
      <c r="AP291" s="32"/>
      <c r="AQ291" s="33"/>
      <c r="AR291" s="33"/>
      <c r="AS291" s="33"/>
      <c r="AT291" s="33"/>
      <c r="AU291" s="33"/>
      <c r="AV291" s="33"/>
      <c r="AW291" s="33"/>
      <c r="AX291" s="33"/>
      <c r="AY291" s="33"/>
      <c r="AZ291" s="33"/>
      <c r="BA291" s="33"/>
      <c r="BB291" s="31"/>
      <c r="BC291" s="32"/>
      <c r="BD291" s="33"/>
      <c r="BE291" s="33"/>
      <c r="BF291" s="33"/>
      <c r="BG291" s="33"/>
      <c r="BH291" s="33"/>
      <c r="BI291" s="33"/>
      <c r="BJ291" s="33"/>
      <c r="BK291" s="33"/>
      <c r="BL291" s="33"/>
      <c r="BM291" s="33"/>
      <c r="BN291" s="33"/>
      <c r="BO291" s="31"/>
      <c r="BP291" s="32"/>
      <c r="BQ291" s="33"/>
      <c r="BR291" s="33"/>
      <c r="BS291" s="33"/>
      <c r="BT291" s="33"/>
      <c r="BU291" s="33"/>
      <c r="BV291" s="33"/>
      <c r="BW291" s="33"/>
      <c r="BX291" s="33"/>
      <c r="BY291" s="33"/>
      <c r="BZ291" s="33"/>
      <c r="CA291" s="33"/>
      <c r="CB291" s="31"/>
      <c r="CC291" s="32"/>
      <c r="CD291" s="33"/>
      <c r="CE291" s="33"/>
      <c r="CF291" s="33"/>
      <c r="CG291" s="33"/>
      <c r="CH291" s="33"/>
      <c r="CI291" s="33"/>
      <c r="CJ291" s="33"/>
      <c r="CK291" s="33"/>
      <c r="CL291" s="33"/>
      <c r="CM291" s="33"/>
      <c r="CN291" s="33"/>
      <c r="CO291" s="31"/>
      <c r="CP291" s="32"/>
      <c r="CQ291" s="33"/>
      <c r="CR291" s="33"/>
      <c r="CS291" s="33"/>
      <c r="CT291" s="33"/>
      <c r="CU291" s="33"/>
      <c r="CV291" s="33"/>
      <c r="CW291" s="33"/>
      <c r="CX291" s="33"/>
      <c r="CY291" s="33"/>
      <c r="CZ291" s="33"/>
      <c r="DA291" s="33"/>
      <c r="DB291" s="31"/>
      <c r="DC291" s="32"/>
      <c r="DD291" s="33"/>
      <c r="DE291" s="33"/>
      <c r="DF291" s="33"/>
      <c r="DG291" s="33"/>
      <c r="DH291" s="33"/>
      <c r="DI291" s="33"/>
      <c r="DJ291" s="33"/>
      <c r="DK291" s="33"/>
      <c r="DL291" s="33"/>
      <c r="DM291" s="33"/>
      <c r="DN291" s="33"/>
      <c r="DO291" s="31"/>
      <c r="DP291" s="32"/>
      <c r="DQ291" s="33"/>
      <c r="DR291" s="33"/>
      <c r="DS291" s="33"/>
      <c r="DT291" s="33"/>
      <c r="DU291" s="33"/>
      <c r="DV291" s="33"/>
      <c r="DW291" s="33"/>
      <c r="DX291" s="33"/>
      <c r="DY291" s="33"/>
      <c r="DZ291" s="33"/>
      <c r="EA291" s="33"/>
      <c r="EB291" s="31"/>
      <c r="EC291" s="32"/>
      <c r="ED291" s="33"/>
      <c r="EE291" s="33"/>
      <c r="EF291" s="33"/>
      <c r="EG291" s="33"/>
      <c r="EH291" s="33"/>
      <c r="EI291" s="33"/>
      <c r="EJ291" s="33"/>
      <c r="EK291" s="33"/>
      <c r="EL291" s="33"/>
      <c r="EM291" s="33"/>
      <c r="EN291" s="33"/>
      <c r="EO291" s="31"/>
      <c r="EP291" s="32"/>
      <c r="EQ291" s="33"/>
      <c r="ER291" s="33"/>
      <c r="ES291" s="33"/>
      <c r="ET291" s="33"/>
      <c r="EU291" s="33"/>
      <c r="EV291" s="33"/>
      <c r="EW291" s="33"/>
      <c r="EX291" s="33"/>
      <c r="EY291" s="33"/>
      <c r="EZ291" s="33"/>
      <c r="FA291" s="33"/>
      <c r="FB291" s="31"/>
      <c r="FC291" s="32"/>
      <c r="FD291" s="33"/>
      <c r="FE291" s="33"/>
      <c r="FF291" s="33"/>
      <c r="FG291" s="33"/>
      <c r="FH291" s="33"/>
      <c r="FI291" s="33"/>
      <c r="FJ291" s="33"/>
      <c r="FK291" s="33"/>
      <c r="FL291" s="33"/>
      <c r="FM291" s="33"/>
      <c r="FN291" s="33"/>
      <c r="FO291" s="34">
        <f t="shared" ref="FO291:FV291" si="284">IFERROR(R291*1,0)+IFERROR(AE291*1,0)+IFERROR(AR291*1,0)+IFERROR(BE291*1,0)+IFERROR(BR291*1,0)+IFERROR(CE291*1,0)+IFERROR(CR291*1,0)+IFERROR(DE291*1,0)+IFERROR(DR291*1,0)+IFERROR(EE291*1,0)+IFERROR(ER291*1,0)+IFERROR(FE291*1,0)</f>
        <v>0</v>
      </c>
      <c r="FP291" s="34">
        <f t="shared" si="284"/>
        <v>0</v>
      </c>
      <c r="FQ291" s="34">
        <f t="shared" si="284"/>
        <v>0</v>
      </c>
      <c r="FR291" s="34">
        <f t="shared" si="284"/>
        <v>0</v>
      </c>
      <c r="FS291" s="34">
        <f t="shared" si="284"/>
        <v>0</v>
      </c>
      <c r="FT291" s="34">
        <f t="shared" si="284"/>
        <v>0</v>
      </c>
      <c r="FU291" s="34">
        <f t="shared" si="284"/>
        <v>0</v>
      </c>
      <c r="FV291" s="34">
        <f t="shared" si="284"/>
        <v>0</v>
      </c>
      <c r="FW291" s="28"/>
      <c r="FX291" s="29">
        <f t="shared" si="3"/>
        <v>0</v>
      </c>
    </row>
    <row r="292" spans="1:180" ht="18" customHeight="1" x14ac:dyDescent="0.25">
      <c r="A292" s="3" t="str">
        <f>IF(C292&lt;&gt;"","DRG-"&amp;TEXT(287,"000"),"")</f>
        <v/>
      </c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38">
        <v>4</v>
      </c>
      <c r="M292" s="23" t="str">
        <f t="shared" si="0"/>
        <v>✘ Pending</v>
      </c>
      <c r="N292" s="23">
        <f t="shared" si="1"/>
        <v>0</v>
      </c>
      <c r="O292" s="25"/>
      <c r="P292" s="26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  <c r="AB292" s="25"/>
      <c r="AC292" s="26"/>
      <c r="AD292" s="24"/>
      <c r="AE292" s="24"/>
      <c r="AF292" s="24"/>
      <c r="AG292" s="24"/>
      <c r="AH292" s="24"/>
      <c r="AI292" s="24"/>
      <c r="AJ292" s="24"/>
      <c r="AK292" s="24"/>
      <c r="AL292" s="24"/>
      <c r="AM292" s="24"/>
      <c r="AN292" s="24"/>
      <c r="AO292" s="25"/>
      <c r="AP292" s="26"/>
      <c r="AQ292" s="24"/>
      <c r="AR292" s="24"/>
      <c r="AS292" s="24"/>
      <c r="AT292" s="24"/>
      <c r="AU292" s="24"/>
      <c r="AV292" s="24"/>
      <c r="AW292" s="24"/>
      <c r="AX292" s="24"/>
      <c r="AY292" s="24"/>
      <c r="AZ292" s="24"/>
      <c r="BA292" s="24"/>
      <c r="BB292" s="25"/>
      <c r="BC292" s="26"/>
      <c r="BD292" s="24"/>
      <c r="BE292" s="24"/>
      <c r="BF292" s="24"/>
      <c r="BG292" s="24"/>
      <c r="BH292" s="24"/>
      <c r="BI292" s="24"/>
      <c r="BJ292" s="24"/>
      <c r="BK292" s="24"/>
      <c r="BL292" s="24"/>
      <c r="BM292" s="24"/>
      <c r="BN292" s="24"/>
      <c r="BO292" s="25"/>
      <c r="BP292" s="26"/>
      <c r="BQ292" s="24"/>
      <c r="BR292" s="24"/>
      <c r="BS292" s="24"/>
      <c r="BT292" s="24"/>
      <c r="BU292" s="24"/>
      <c r="BV292" s="24"/>
      <c r="BW292" s="24"/>
      <c r="BX292" s="24"/>
      <c r="BY292" s="24"/>
      <c r="BZ292" s="24"/>
      <c r="CA292" s="24"/>
      <c r="CB292" s="25"/>
      <c r="CC292" s="26"/>
      <c r="CD292" s="24"/>
      <c r="CE292" s="24"/>
      <c r="CF292" s="24"/>
      <c r="CG292" s="24"/>
      <c r="CH292" s="24"/>
      <c r="CI292" s="24"/>
      <c r="CJ292" s="24"/>
      <c r="CK292" s="24"/>
      <c r="CL292" s="24"/>
      <c r="CM292" s="24"/>
      <c r="CN292" s="24"/>
      <c r="CO292" s="25"/>
      <c r="CP292" s="26"/>
      <c r="CQ292" s="24"/>
      <c r="CR292" s="24"/>
      <c r="CS292" s="24"/>
      <c r="CT292" s="24"/>
      <c r="CU292" s="24"/>
      <c r="CV292" s="24"/>
      <c r="CW292" s="24"/>
      <c r="CX292" s="24"/>
      <c r="CY292" s="24"/>
      <c r="CZ292" s="24"/>
      <c r="DA292" s="24"/>
      <c r="DB292" s="25"/>
      <c r="DC292" s="26"/>
      <c r="DD292" s="24"/>
      <c r="DE292" s="24"/>
      <c r="DF292" s="24"/>
      <c r="DG292" s="24"/>
      <c r="DH292" s="24"/>
      <c r="DI292" s="24"/>
      <c r="DJ292" s="24"/>
      <c r="DK292" s="24"/>
      <c r="DL292" s="24"/>
      <c r="DM292" s="24"/>
      <c r="DN292" s="24"/>
      <c r="DO292" s="25"/>
      <c r="DP292" s="26"/>
      <c r="DQ292" s="24"/>
      <c r="DR292" s="24"/>
      <c r="DS292" s="24"/>
      <c r="DT292" s="24"/>
      <c r="DU292" s="24"/>
      <c r="DV292" s="24"/>
      <c r="DW292" s="24"/>
      <c r="DX292" s="24"/>
      <c r="DY292" s="24"/>
      <c r="DZ292" s="24"/>
      <c r="EA292" s="24"/>
      <c r="EB292" s="25"/>
      <c r="EC292" s="26"/>
      <c r="ED292" s="24"/>
      <c r="EE292" s="24"/>
      <c r="EF292" s="24"/>
      <c r="EG292" s="24"/>
      <c r="EH292" s="24"/>
      <c r="EI292" s="24"/>
      <c r="EJ292" s="24"/>
      <c r="EK292" s="24"/>
      <c r="EL292" s="24"/>
      <c r="EM292" s="24"/>
      <c r="EN292" s="24"/>
      <c r="EO292" s="25"/>
      <c r="EP292" s="26"/>
      <c r="EQ292" s="24"/>
      <c r="ER292" s="24"/>
      <c r="ES292" s="24"/>
      <c r="ET292" s="24"/>
      <c r="EU292" s="24"/>
      <c r="EV292" s="24"/>
      <c r="EW292" s="24"/>
      <c r="EX292" s="24"/>
      <c r="EY292" s="24"/>
      <c r="EZ292" s="24"/>
      <c r="FA292" s="24"/>
      <c r="FB292" s="25"/>
      <c r="FC292" s="26"/>
      <c r="FD292" s="24"/>
      <c r="FE292" s="24"/>
      <c r="FF292" s="24"/>
      <c r="FG292" s="24"/>
      <c r="FH292" s="24"/>
      <c r="FI292" s="24"/>
      <c r="FJ292" s="24"/>
      <c r="FK292" s="24"/>
      <c r="FL292" s="24"/>
      <c r="FM292" s="24"/>
      <c r="FN292" s="24"/>
      <c r="FO292" s="27">
        <f t="shared" ref="FO292:FV292" si="285">IFERROR(R292*1,0)+IFERROR(AE292*1,0)+IFERROR(AR292*1,0)+IFERROR(BE292*1,0)+IFERROR(BR292*1,0)+IFERROR(CE292*1,0)+IFERROR(CR292*1,0)+IFERROR(DE292*1,0)+IFERROR(DR292*1,0)+IFERROR(EE292*1,0)+IFERROR(ER292*1,0)+IFERROR(FE292*1,0)</f>
        <v>0</v>
      </c>
      <c r="FP292" s="27">
        <f t="shared" si="285"/>
        <v>0</v>
      </c>
      <c r="FQ292" s="27">
        <f t="shared" si="285"/>
        <v>0</v>
      </c>
      <c r="FR292" s="27">
        <f t="shared" si="285"/>
        <v>0</v>
      </c>
      <c r="FS292" s="27">
        <f t="shared" si="285"/>
        <v>0</v>
      </c>
      <c r="FT292" s="27">
        <f t="shared" si="285"/>
        <v>0</v>
      </c>
      <c r="FU292" s="27">
        <f t="shared" si="285"/>
        <v>0</v>
      </c>
      <c r="FV292" s="27">
        <f t="shared" si="285"/>
        <v>0</v>
      </c>
      <c r="FW292" s="28"/>
      <c r="FX292" s="29">
        <f t="shared" si="3"/>
        <v>0</v>
      </c>
    </row>
    <row r="293" spans="1:180" ht="18" customHeight="1" x14ac:dyDescent="0.25">
      <c r="A293" s="3" t="str">
        <f>IF(C293&lt;&gt;"","DRG-"&amp;TEXT(288,"000"),"")</f>
        <v/>
      </c>
      <c r="B293" s="33"/>
      <c r="C293" s="33"/>
      <c r="D293" s="33"/>
      <c r="E293" s="33"/>
      <c r="F293" s="33"/>
      <c r="G293" s="33"/>
      <c r="H293" s="33"/>
      <c r="I293" s="33"/>
      <c r="J293" s="33"/>
      <c r="K293" s="33"/>
      <c r="L293" s="37">
        <v>4</v>
      </c>
      <c r="M293" s="30" t="str">
        <f t="shared" si="0"/>
        <v>✘ Pending</v>
      </c>
      <c r="N293" s="30">
        <f t="shared" si="1"/>
        <v>0</v>
      </c>
      <c r="O293" s="31"/>
      <c r="P293" s="32"/>
      <c r="Q293" s="33"/>
      <c r="R293" s="33"/>
      <c r="S293" s="33"/>
      <c r="T293" s="33"/>
      <c r="U293" s="33"/>
      <c r="V293" s="33"/>
      <c r="W293" s="33"/>
      <c r="X293" s="33"/>
      <c r="Y293" s="33"/>
      <c r="Z293" s="33"/>
      <c r="AA293" s="33"/>
      <c r="AB293" s="31"/>
      <c r="AC293" s="32"/>
      <c r="AD293" s="33"/>
      <c r="AE293" s="33"/>
      <c r="AF293" s="33"/>
      <c r="AG293" s="33"/>
      <c r="AH293" s="33"/>
      <c r="AI293" s="33"/>
      <c r="AJ293" s="33"/>
      <c r="AK293" s="33"/>
      <c r="AL293" s="33"/>
      <c r="AM293" s="33"/>
      <c r="AN293" s="33"/>
      <c r="AO293" s="31"/>
      <c r="AP293" s="32"/>
      <c r="AQ293" s="33"/>
      <c r="AR293" s="33"/>
      <c r="AS293" s="33"/>
      <c r="AT293" s="33"/>
      <c r="AU293" s="33"/>
      <c r="AV293" s="33"/>
      <c r="AW293" s="33"/>
      <c r="AX293" s="33"/>
      <c r="AY293" s="33"/>
      <c r="AZ293" s="33"/>
      <c r="BA293" s="33"/>
      <c r="BB293" s="31"/>
      <c r="BC293" s="32"/>
      <c r="BD293" s="33"/>
      <c r="BE293" s="33"/>
      <c r="BF293" s="33"/>
      <c r="BG293" s="33"/>
      <c r="BH293" s="33"/>
      <c r="BI293" s="33"/>
      <c r="BJ293" s="33"/>
      <c r="BK293" s="33"/>
      <c r="BL293" s="33"/>
      <c r="BM293" s="33"/>
      <c r="BN293" s="33"/>
      <c r="BO293" s="31"/>
      <c r="BP293" s="32"/>
      <c r="BQ293" s="33"/>
      <c r="BR293" s="33"/>
      <c r="BS293" s="33"/>
      <c r="BT293" s="33"/>
      <c r="BU293" s="33"/>
      <c r="BV293" s="33"/>
      <c r="BW293" s="33"/>
      <c r="BX293" s="33"/>
      <c r="BY293" s="33"/>
      <c r="BZ293" s="33"/>
      <c r="CA293" s="33"/>
      <c r="CB293" s="31"/>
      <c r="CC293" s="32"/>
      <c r="CD293" s="33"/>
      <c r="CE293" s="33"/>
      <c r="CF293" s="33"/>
      <c r="CG293" s="33"/>
      <c r="CH293" s="33"/>
      <c r="CI293" s="33"/>
      <c r="CJ293" s="33"/>
      <c r="CK293" s="33"/>
      <c r="CL293" s="33"/>
      <c r="CM293" s="33"/>
      <c r="CN293" s="33"/>
      <c r="CO293" s="31"/>
      <c r="CP293" s="32"/>
      <c r="CQ293" s="33"/>
      <c r="CR293" s="33"/>
      <c r="CS293" s="33"/>
      <c r="CT293" s="33"/>
      <c r="CU293" s="33"/>
      <c r="CV293" s="33"/>
      <c r="CW293" s="33"/>
      <c r="CX293" s="33"/>
      <c r="CY293" s="33"/>
      <c r="CZ293" s="33"/>
      <c r="DA293" s="33"/>
      <c r="DB293" s="31"/>
      <c r="DC293" s="32"/>
      <c r="DD293" s="33"/>
      <c r="DE293" s="33"/>
      <c r="DF293" s="33"/>
      <c r="DG293" s="33"/>
      <c r="DH293" s="33"/>
      <c r="DI293" s="33"/>
      <c r="DJ293" s="33"/>
      <c r="DK293" s="33"/>
      <c r="DL293" s="33"/>
      <c r="DM293" s="33"/>
      <c r="DN293" s="33"/>
      <c r="DO293" s="31"/>
      <c r="DP293" s="32"/>
      <c r="DQ293" s="33"/>
      <c r="DR293" s="33"/>
      <c r="DS293" s="33"/>
      <c r="DT293" s="33"/>
      <c r="DU293" s="33"/>
      <c r="DV293" s="33"/>
      <c r="DW293" s="33"/>
      <c r="DX293" s="33"/>
      <c r="DY293" s="33"/>
      <c r="DZ293" s="33"/>
      <c r="EA293" s="33"/>
      <c r="EB293" s="31"/>
      <c r="EC293" s="32"/>
      <c r="ED293" s="33"/>
      <c r="EE293" s="33"/>
      <c r="EF293" s="33"/>
      <c r="EG293" s="33"/>
      <c r="EH293" s="33"/>
      <c r="EI293" s="33"/>
      <c r="EJ293" s="33"/>
      <c r="EK293" s="33"/>
      <c r="EL293" s="33"/>
      <c r="EM293" s="33"/>
      <c r="EN293" s="33"/>
      <c r="EO293" s="31"/>
      <c r="EP293" s="32"/>
      <c r="EQ293" s="33"/>
      <c r="ER293" s="33"/>
      <c r="ES293" s="33"/>
      <c r="ET293" s="33"/>
      <c r="EU293" s="33"/>
      <c r="EV293" s="33"/>
      <c r="EW293" s="33"/>
      <c r="EX293" s="33"/>
      <c r="EY293" s="33"/>
      <c r="EZ293" s="33"/>
      <c r="FA293" s="33"/>
      <c r="FB293" s="31"/>
      <c r="FC293" s="32"/>
      <c r="FD293" s="33"/>
      <c r="FE293" s="33"/>
      <c r="FF293" s="33"/>
      <c r="FG293" s="33"/>
      <c r="FH293" s="33"/>
      <c r="FI293" s="33"/>
      <c r="FJ293" s="33"/>
      <c r="FK293" s="33"/>
      <c r="FL293" s="33"/>
      <c r="FM293" s="33"/>
      <c r="FN293" s="33"/>
      <c r="FO293" s="34">
        <f t="shared" ref="FO293:FV293" si="286">IFERROR(R293*1,0)+IFERROR(AE293*1,0)+IFERROR(AR293*1,0)+IFERROR(BE293*1,0)+IFERROR(BR293*1,0)+IFERROR(CE293*1,0)+IFERROR(CR293*1,0)+IFERROR(DE293*1,0)+IFERROR(DR293*1,0)+IFERROR(EE293*1,0)+IFERROR(ER293*1,0)+IFERROR(FE293*1,0)</f>
        <v>0</v>
      </c>
      <c r="FP293" s="34">
        <f t="shared" si="286"/>
        <v>0</v>
      </c>
      <c r="FQ293" s="34">
        <f t="shared" si="286"/>
        <v>0</v>
      </c>
      <c r="FR293" s="34">
        <f t="shared" si="286"/>
        <v>0</v>
      </c>
      <c r="FS293" s="34">
        <f t="shared" si="286"/>
        <v>0</v>
      </c>
      <c r="FT293" s="34">
        <f t="shared" si="286"/>
        <v>0</v>
      </c>
      <c r="FU293" s="34">
        <f t="shared" si="286"/>
        <v>0</v>
      </c>
      <c r="FV293" s="34">
        <f t="shared" si="286"/>
        <v>0</v>
      </c>
      <c r="FW293" s="28"/>
      <c r="FX293" s="29">
        <f t="shared" si="3"/>
        <v>0</v>
      </c>
    </row>
    <row r="294" spans="1:180" ht="18" customHeight="1" x14ac:dyDescent="0.25">
      <c r="A294" s="3" t="str">
        <f>IF(C294&lt;&gt;"","DRG-"&amp;TEXT(289,"000"),"")</f>
        <v/>
      </c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38">
        <v>4</v>
      </c>
      <c r="M294" s="23" t="str">
        <f t="shared" si="0"/>
        <v>✘ Pending</v>
      </c>
      <c r="N294" s="23">
        <f t="shared" si="1"/>
        <v>0</v>
      </c>
      <c r="O294" s="25"/>
      <c r="P294" s="26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5"/>
      <c r="AC294" s="26"/>
      <c r="AD294" s="24"/>
      <c r="AE294" s="24"/>
      <c r="AF294" s="24"/>
      <c r="AG294" s="24"/>
      <c r="AH294" s="24"/>
      <c r="AI294" s="24"/>
      <c r="AJ294" s="24"/>
      <c r="AK294" s="24"/>
      <c r="AL294" s="24"/>
      <c r="AM294" s="24"/>
      <c r="AN294" s="24"/>
      <c r="AO294" s="25"/>
      <c r="AP294" s="26"/>
      <c r="AQ294" s="24"/>
      <c r="AR294" s="24"/>
      <c r="AS294" s="24"/>
      <c r="AT294" s="24"/>
      <c r="AU294" s="24"/>
      <c r="AV294" s="24"/>
      <c r="AW294" s="24"/>
      <c r="AX294" s="24"/>
      <c r="AY294" s="24"/>
      <c r="AZ294" s="24"/>
      <c r="BA294" s="24"/>
      <c r="BB294" s="25"/>
      <c r="BC294" s="26"/>
      <c r="BD294" s="24"/>
      <c r="BE294" s="24"/>
      <c r="BF294" s="24"/>
      <c r="BG294" s="24"/>
      <c r="BH294" s="24"/>
      <c r="BI294" s="24"/>
      <c r="BJ294" s="24"/>
      <c r="BK294" s="24"/>
      <c r="BL294" s="24"/>
      <c r="BM294" s="24"/>
      <c r="BN294" s="24"/>
      <c r="BO294" s="25"/>
      <c r="BP294" s="26"/>
      <c r="BQ294" s="24"/>
      <c r="BR294" s="24"/>
      <c r="BS294" s="24"/>
      <c r="BT294" s="24"/>
      <c r="BU294" s="24"/>
      <c r="BV294" s="24"/>
      <c r="BW294" s="24"/>
      <c r="BX294" s="24"/>
      <c r="BY294" s="24"/>
      <c r="BZ294" s="24"/>
      <c r="CA294" s="24"/>
      <c r="CB294" s="25"/>
      <c r="CC294" s="26"/>
      <c r="CD294" s="24"/>
      <c r="CE294" s="24"/>
      <c r="CF294" s="24"/>
      <c r="CG294" s="24"/>
      <c r="CH294" s="24"/>
      <c r="CI294" s="24"/>
      <c r="CJ294" s="24"/>
      <c r="CK294" s="24"/>
      <c r="CL294" s="24"/>
      <c r="CM294" s="24"/>
      <c r="CN294" s="24"/>
      <c r="CO294" s="25"/>
      <c r="CP294" s="26"/>
      <c r="CQ294" s="24"/>
      <c r="CR294" s="24"/>
      <c r="CS294" s="24"/>
      <c r="CT294" s="24"/>
      <c r="CU294" s="24"/>
      <c r="CV294" s="24"/>
      <c r="CW294" s="24"/>
      <c r="CX294" s="24"/>
      <c r="CY294" s="24"/>
      <c r="CZ294" s="24"/>
      <c r="DA294" s="24"/>
      <c r="DB294" s="25"/>
      <c r="DC294" s="26"/>
      <c r="DD294" s="24"/>
      <c r="DE294" s="24"/>
      <c r="DF294" s="24"/>
      <c r="DG294" s="24"/>
      <c r="DH294" s="24"/>
      <c r="DI294" s="24"/>
      <c r="DJ294" s="24"/>
      <c r="DK294" s="24"/>
      <c r="DL294" s="24"/>
      <c r="DM294" s="24"/>
      <c r="DN294" s="24"/>
      <c r="DO294" s="25"/>
      <c r="DP294" s="26"/>
      <c r="DQ294" s="24"/>
      <c r="DR294" s="24"/>
      <c r="DS294" s="24"/>
      <c r="DT294" s="24"/>
      <c r="DU294" s="24"/>
      <c r="DV294" s="24"/>
      <c r="DW294" s="24"/>
      <c r="DX294" s="24"/>
      <c r="DY294" s="24"/>
      <c r="DZ294" s="24"/>
      <c r="EA294" s="24"/>
      <c r="EB294" s="25"/>
      <c r="EC294" s="26"/>
      <c r="ED294" s="24"/>
      <c r="EE294" s="24"/>
      <c r="EF294" s="24"/>
      <c r="EG294" s="24"/>
      <c r="EH294" s="24"/>
      <c r="EI294" s="24"/>
      <c r="EJ294" s="24"/>
      <c r="EK294" s="24"/>
      <c r="EL294" s="24"/>
      <c r="EM294" s="24"/>
      <c r="EN294" s="24"/>
      <c r="EO294" s="25"/>
      <c r="EP294" s="26"/>
      <c r="EQ294" s="24"/>
      <c r="ER294" s="24"/>
      <c r="ES294" s="24"/>
      <c r="ET294" s="24"/>
      <c r="EU294" s="24"/>
      <c r="EV294" s="24"/>
      <c r="EW294" s="24"/>
      <c r="EX294" s="24"/>
      <c r="EY294" s="24"/>
      <c r="EZ294" s="24"/>
      <c r="FA294" s="24"/>
      <c r="FB294" s="25"/>
      <c r="FC294" s="26"/>
      <c r="FD294" s="24"/>
      <c r="FE294" s="24"/>
      <c r="FF294" s="24"/>
      <c r="FG294" s="24"/>
      <c r="FH294" s="24"/>
      <c r="FI294" s="24"/>
      <c r="FJ294" s="24"/>
      <c r="FK294" s="24"/>
      <c r="FL294" s="24"/>
      <c r="FM294" s="24"/>
      <c r="FN294" s="24"/>
      <c r="FO294" s="27">
        <f t="shared" ref="FO294:FV294" si="287">IFERROR(R294*1,0)+IFERROR(AE294*1,0)+IFERROR(AR294*1,0)+IFERROR(BE294*1,0)+IFERROR(BR294*1,0)+IFERROR(CE294*1,0)+IFERROR(CR294*1,0)+IFERROR(DE294*1,0)+IFERROR(DR294*1,0)+IFERROR(EE294*1,0)+IFERROR(ER294*1,0)+IFERROR(FE294*1,0)</f>
        <v>0</v>
      </c>
      <c r="FP294" s="27">
        <f t="shared" si="287"/>
        <v>0</v>
      </c>
      <c r="FQ294" s="27">
        <f t="shared" si="287"/>
        <v>0</v>
      </c>
      <c r="FR294" s="27">
        <f t="shared" si="287"/>
        <v>0</v>
      </c>
      <c r="FS294" s="27">
        <f t="shared" si="287"/>
        <v>0</v>
      </c>
      <c r="FT294" s="27">
        <f t="shared" si="287"/>
        <v>0</v>
      </c>
      <c r="FU294" s="27">
        <f t="shared" si="287"/>
        <v>0</v>
      </c>
      <c r="FV294" s="27">
        <f t="shared" si="287"/>
        <v>0</v>
      </c>
      <c r="FW294" s="28"/>
      <c r="FX294" s="29">
        <f t="shared" si="3"/>
        <v>0</v>
      </c>
    </row>
    <row r="295" spans="1:180" ht="18" customHeight="1" x14ac:dyDescent="0.25">
      <c r="A295" s="3" t="str">
        <f>IF(C295&lt;&gt;"","DRG-"&amp;TEXT(290,"000"),"")</f>
        <v/>
      </c>
      <c r="B295" s="33"/>
      <c r="C295" s="33"/>
      <c r="D295" s="33"/>
      <c r="E295" s="33"/>
      <c r="F295" s="33"/>
      <c r="G295" s="33"/>
      <c r="H295" s="33"/>
      <c r="I295" s="33"/>
      <c r="J295" s="33"/>
      <c r="K295" s="33"/>
      <c r="L295" s="37">
        <v>4</v>
      </c>
      <c r="M295" s="30" t="str">
        <f t="shared" si="0"/>
        <v>✘ Pending</v>
      </c>
      <c r="N295" s="30">
        <f t="shared" si="1"/>
        <v>0</v>
      </c>
      <c r="O295" s="31"/>
      <c r="P295" s="32"/>
      <c r="Q295" s="33"/>
      <c r="R295" s="33"/>
      <c r="S295" s="33"/>
      <c r="T295" s="33"/>
      <c r="U295" s="33"/>
      <c r="V295" s="33"/>
      <c r="W295" s="33"/>
      <c r="X295" s="33"/>
      <c r="Y295" s="33"/>
      <c r="Z295" s="33"/>
      <c r="AA295" s="33"/>
      <c r="AB295" s="31"/>
      <c r="AC295" s="32"/>
      <c r="AD295" s="33"/>
      <c r="AE295" s="33"/>
      <c r="AF295" s="33"/>
      <c r="AG295" s="33"/>
      <c r="AH295" s="33"/>
      <c r="AI295" s="33"/>
      <c r="AJ295" s="33"/>
      <c r="AK295" s="33"/>
      <c r="AL295" s="33"/>
      <c r="AM295" s="33"/>
      <c r="AN295" s="33"/>
      <c r="AO295" s="31"/>
      <c r="AP295" s="32"/>
      <c r="AQ295" s="33"/>
      <c r="AR295" s="33"/>
      <c r="AS295" s="33"/>
      <c r="AT295" s="33"/>
      <c r="AU295" s="33"/>
      <c r="AV295" s="33"/>
      <c r="AW295" s="33"/>
      <c r="AX295" s="33"/>
      <c r="AY295" s="33"/>
      <c r="AZ295" s="33"/>
      <c r="BA295" s="33"/>
      <c r="BB295" s="31"/>
      <c r="BC295" s="32"/>
      <c r="BD295" s="33"/>
      <c r="BE295" s="33"/>
      <c r="BF295" s="33"/>
      <c r="BG295" s="33"/>
      <c r="BH295" s="33"/>
      <c r="BI295" s="33"/>
      <c r="BJ295" s="33"/>
      <c r="BK295" s="33"/>
      <c r="BL295" s="33"/>
      <c r="BM295" s="33"/>
      <c r="BN295" s="33"/>
      <c r="BO295" s="31"/>
      <c r="BP295" s="32"/>
      <c r="BQ295" s="33"/>
      <c r="BR295" s="33"/>
      <c r="BS295" s="33"/>
      <c r="BT295" s="33"/>
      <c r="BU295" s="33"/>
      <c r="BV295" s="33"/>
      <c r="BW295" s="33"/>
      <c r="BX295" s="33"/>
      <c r="BY295" s="33"/>
      <c r="BZ295" s="33"/>
      <c r="CA295" s="33"/>
      <c r="CB295" s="31"/>
      <c r="CC295" s="32"/>
      <c r="CD295" s="33"/>
      <c r="CE295" s="33"/>
      <c r="CF295" s="33"/>
      <c r="CG295" s="33"/>
      <c r="CH295" s="33"/>
      <c r="CI295" s="33"/>
      <c r="CJ295" s="33"/>
      <c r="CK295" s="33"/>
      <c r="CL295" s="33"/>
      <c r="CM295" s="33"/>
      <c r="CN295" s="33"/>
      <c r="CO295" s="31"/>
      <c r="CP295" s="32"/>
      <c r="CQ295" s="33"/>
      <c r="CR295" s="33"/>
      <c r="CS295" s="33"/>
      <c r="CT295" s="33"/>
      <c r="CU295" s="33"/>
      <c r="CV295" s="33"/>
      <c r="CW295" s="33"/>
      <c r="CX295" s="33"/>
      <c r="CY295" s="33"/>
      <c r="CZ295" s="33"/>
      <c r="DA295" s="33"/>
      <c r="DB295" s="31"/>
      <c r="DC295" s="32"/>
      <c r="DD295" s="33"/>
      <c r="DE295" s="33"/>
      <c r="DF295" s="33"/>
      <c r="DG295" s="33"/>
      <c r="DH295" s="33"/>
      <c r="DI295" s="33"/>
      <c r="DJ295" s="33"/>
      <c r="DK295" s="33"/>
      <c r="DL295" s="33"/>
      <c r="DM295" s="33"/>
      <c r="DN295" s="33"/>
      <c r="DO295" s="31"/>
      <c r="DP295" s="32"/>
      <c r="DQ295" s="33"/>
      <c r="DR295" s="33"/>
      <c r="DS295" s="33"/>
      <c r="DT295" s="33"/>
      <c r="DU295" s="33"/>
      <c r="DV295" s="33"/>
      <c r="DW295" s="33"/>
      <c r="DX295" s="33"/>
      <c r="DY295" s="33"/>
      <c r="DZ295" s="33"/>
      <c r="EA295" s="33"/>
      <c r="EB295" s="31"/>
      <c r="EC295" s="32"/>
      <c r="ED295" s="33"/>
      <c r="EE295" s="33"/>
      <c r="EF295" s="33"/>
      <c r="EG295" s="33"/>
      <c r="EH295" s="33"/>
      <c r="EI295" s="33"/>
      <c r="EJ295" s="33"/>
      <c r="EK295" s="33"/>
      <c r="EL295" s="33"/>
      <c r="EM295" s="33"/>
      <c r="EN295" s="33"/>
      <c r="EO295" s="31"/>
      <c r="EP295" s="32"/>
      <c r="EQ295" s="33"/>
      <c r="ER295" s="33"/>
      <c r="ES295" s="33"/>
      <c r="ET295" s="33"/>
      <c r="EU295" s="33"/>
      <c r="EV295" s="33"/>
      <c r="EW295" s="33"/>
      <c r="EX295" s="33"/>
      <c r="EY295" s="33"/>
      <c r="EZ295" s="33"/>
      <c r="FA295" s="33"/>
      <c r="FB295" s="31"/>
      <c r="FC295" s="32"/>
      <c r="FD295" s="33"/>
      <c r="FE295" s="33"/>
      <c r="FF295" s="33"/>
      <c r="FG295" s="33"/>
      <c r="FH295" s="33"/>
      <c r="FI295" s="33"/>
      <c r="FJ295" s="33"/>
      <c r="FK295" s="33"/>
      <c r="FL295" s="33"/>
      <c r="FM295" s="33"/>
      <c r="FN295" s="33"/>
      <c r="FO295" s="34">
        <f t="shared" ref="FO295:FV295" si="288">IFERROR(R295*1,0)+IFERROR(AE295*1,0)+IFERROR(AR295*1,0)+IFERROR(BE295*1,0)+IFERROR(BR295*1,0)+IFERROR(CE295*1,0)+IFERROR(CR295*1,0)+IFERROR(DE295*1,0)+IFERROR(DR295*1,0)+IFERROR(EE295*1,0)+IFERROR(ER295*1,0)+IFERROR(FE295*1,0)</f>
        <v>0</v>
      </c>
      <c r="FP295" s="34">
        <f t="shared" si="288"/>
        <v>0</v>
      </c>
      <c r="FQ295" s="34">
        <f t="shared" si="288"/>
        <v>0</v>
      </c>
      <c r="FR295" s="34">
        <f t="shared" si="288"/>
        <v>0</v>
      </c>
      <c r="FS295" s="34">
        <f t="shared" si="288"/>
        <v>0</v>
      </c>
      <c r="FT295" s="34">
        <f t="shared" si="288"/>
        <v>0</v>
      </c>
      <c r="FU295" s="34">
        <f t="shared" si="288"/>
        <v>0</v>
      </c>
      <c r="FV295" s="34">
        <f t="shared" si="288"/>
        <v>0</v>
      </c>
      <c r="FW295" s="28"/>
      <c r="FX295" s="29">
        <f t="shared" si="3"/>
        <v>0</v>
      </c>
    </row>
    <row r="296" spans="1:180" ht="18" customHeight="1" x14ac:dyDescent="0.25">
      <c r="A296" s="3" t="str">
        <f>IF(C296&lt;&gt;"","DRG-"&amp;TEXT(291,"000"),"")</f>
        <v/>
      </c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38">
        <v>4</v>
      </c>
      <c r="M296" s="23" t="str">
        <f t="shared" si="0"/>
        <v>✘ Pending</v>
      </c>
      <c r="N296" s="23">
        <f t="shared" si="1"/>
        <v>0</v>
      </c>
      <c r="O296" s="25"/>
      <c r="P296" s="26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  <c r="AB296" s="25"/>
      <c r="AC296" s="26"/>
      <c r="AD296" s="24"/>
      <c r="AE296" s="24"/>
      <c r="AF296" s="24"/>
      <c r="AG296" s="24"/>
      <c r="AH296" s="24"/>
      <c r="AI296" s="24"/>
      <c r="AJ296" s="24"/>
      <c r="AK296" s="24"/>
      <c r="AL296" s="24"/>
      <c r="AM296" s="24"/>
      <c r="AN296" s="24"/>
      <c r="AO296" s="25"/>
      <c r="AP296" s="26"/>
      <c r="AQ296" s="24"/>
      <c r="AR296" s="24"/>
      <c r="AS296" s="24"/>
      <c r="AT296" s="24"/>
      <c r="AU296" s="24"/>
      <c r="AV296" s="24"/>
      <c r="AW296" s="24"/>
      <c r="AX296" s="24"/>
      <c r="AY296" s="24"/>
      <c r="AZ296" s="24"/>
      <c r="BA296" s="24"/>
      <c r="BB296" s="25"/>
      <c r="BC296" s="26"/>
      <c r="BD296" s="24"/>
      <c r="BE296" s="24"/>
      <c r="BF296" s="24"/>
      <c r="BG296" s="24"/>
      <c r="BH296" s="24"/>
      <c r="BI296" s="24"/>
      <c r="BJ296" s="24"/>
      <c r="BK296" s="24"/>
      <c r="BL296" s="24"/>
      <c r="BM296" s="24"/>
      <c r="BN296" s="24"/>
      <c r="BO296" s="25"/>
      <c r="BP296" s="26"/>
      <c r="BQ296" s="24"/>
      <c r="BR296" s="24"/>
      <c r="BS296" s="24"/>
      <c r="BT296" s="24"/>
      <c r="BU296" s="24"/>
      <c r="BV296" s="24"/>
      <c r="BW296" s="24"/>
      <c r="BX296" s="24"/>
      <c r="BY296" s="24"/>
      <c r="BZ296" s="24"/>
      <c r="CA296" s="24"/>
      <c r="CB296" s="25"/>
      <c r="CC296" s="26"/>
      <c r="CD296" s="24"/>
      <c r="CE296" s="24"/>
      <c r="CF296" s="24"/>
      <c r="CG296" s="24"/>
      <c r="CH296" s="24"/>
      <c r="CI296" s="24"/>
      <c r="CJ296" s="24"/>
      <c r="CK296" s="24"/>
      <c r="CL296" s="24"/>
      <c r="CM296" s="24"/>
      <c r="CN296" s="24"/>
      <c r="CO296" s="25"/>
      <c r="CP296" s="26"/>
      <c r="CQ296" s="24"/>
      <c r="CR296" s="24"/>
      <c r="CS296" s="24"/>
      <c r="CT296" s="24"/>
      <c r="CU296" s="24"/>
      <c r="CV296" s="24"/>
      <c r="CW296" s="24"/>
      <c r="CX296" s="24"/>
      <c r="CY296" s="24"/>
      <c r="CZ296" s="24"/>
      <c r="DA296" s="24"/>
      <c r="DB296" s="25"/>
      <c r="DC296" s="26"/>
      <c r="DD296" s="24"/>
      <c r="DE296" s="24"/>
      <c r="DF296" s="24"/>
      <c r="DG296" s="24"/>
      <c r="DH296" s="24"/>
      <c r="DI296" s="24"/>
      <c r="DJ296" s="24"/>
      <c r="DK296" s="24"/>
      <c r="DL296" s="24"/>
      <c r="DM296" s="24"/>
      <c r="DN296" s="24"/>
      <c r="DO296" s="25"/>
      <c r="DP296" s="26"/>
      <c r="DQ296" s="24"/>
      <c r="DR296" s="24"/>
      <c r="DS296" s="24"/>
      <c r="DT296" s="24"/>
      <c r="DU296" s="24"/>
      <c r="DV296" s="24"/>
      <c r="DW296" s="24"/>
      <c r="DX296" s="24"/>
      <c r="DY296" s="24"/>
      <c r="DZ296" s="24"/>
      <c r="EA296" s="24"/>
      <c r="EB296" s="25"/>
      <c r="EC296" s="26"/>
      <c r="ED296" s="24"/>
      <c r="EE296" s="24"/>
      <c r="EF296" s="24"/>
      <c r="EG296" s="24"/>
      <c r="EH296" s="24"/>
      <c r="EI296" s="24"/>
      <c r="EJ296" s="24"/>
      <c r="EK296" s="24"/>
      <c r="EL296" s="24"/>
      <c r="EM296" s="24"/>
      <c r="EN296" s="24"/>
      <c r="EO296" s="25"/>
      <c r="EP296" s="26"/>
      <c r="EQ296" s="24"/>
      <c r="ER296" s="24"/>
      <c r="ES296" s="24"/>
      <c r="ET296" s="24"/>
      <c r="EU296" s="24"/>
      <c r="EV296" s="24"/>
      <c r="EW296" s="24"/>
      <c r="EX296" s="24"/>
      <c r="EY296" s="24"/>
      <c r="EZ296" s="24"/>
      <c r="FA296" s="24"/>
      <c r="FB296" s="25"/>
      <c r="FC296" s="26"/>
      <c r="FD296" s="24"/>
      <c r="FE296" s="24"/>
      <c r="FF296" s="24"/>
      <c r="FG296" s="24"/>
      <c r="FH296" s="24"/>
      <c r="FI296" s="24"/>
      <c r="FJ296" s="24"/>
      <c r="FK296" s="24"/>
      <c r="FL296" s="24"/>
      <c r="FM296" s="24"/>
      <c r="FN296" s="24"/>
      <c r="FO296" s="27">
        <f t="shared" ref="FO296:FV296" si="289">IFERROR(R296*1,0)+IFERROR(AE296*1,0)+IFERROR(AR296*1,0)+IFERROR(BE296*1,0)+IFERROR(BR296*1,0)+IFERROR(CE296*1,0)+IFERROR(CR296*1,0)+IFERROR(DE296*1,0)+IFERROR(DR296*1,0)+IFERROR(EE296*1,0)+IFERROR(ER296*1,0)+IFERROR(FE296*1,0)</f>
        <v>0</v>
      </c>
      <c r="FP296" s="27">
        <f t="shared" si="289"/>
        <v>0</v>
      </c>
      <c r="FQ296" s="27">
        <f t="shared" si="289"/>
        <v>0</v>
      </c>
      <c r="FR296" s="27">
        <f t="shared" si="289"/>
        <v>0</v>
      </c>
      <c r="FS296" s="27">
        <f t="shared" si="289"/>
        <v>0</v>
      </c>
      <c r="FT296" s="27">
        <f t="shared" si="289"/>
        <v>0</v>
      </c>
      <c r="FU296" s="27">
        <f t="shared" si="289"/>
        <v>0</v>
      </c>
      <c r="FV296" s="27">
        <f t="shared" si="289"/>
        <v>0</v>
      </c>
      <c r="FW296" s="28"/>
      <c r="FX296" s="29">
        <f t="shared" si="3"/>
        <v>0</v>
      </c>
    </row>
    <row r="297" spans="1:180" ht="18" customHeight="1" x14ac:dyDescent="0.25">
      <c r="A297" s="3" t="str">
        <f>IF(C297&lt;&gt;"","DRG-"&amp;TEXT(292,"000"),"")</f>
        <v/>
      </c>
      <c r="B297" s="33"/>
      <c r="C297" s="33"/>
      <c r="D297" s="33"/>
      <c r="E297" s="33"/>
      <c r="F297" s="33"/>
      <c r="G297" s="33"/>
      <c r="H297" s="33"/>
      <c r="I297" s="33"/>
      <c r="J297" s="33"/>
      <c r="K297" s="33"/>
      <c r="L297" s="37">
        <v>4</v>
      </c>
      <c r="M297" s="30" t="str">
        <f t="shared" si="0"/>
        <v>✘ Pending</v>
      </c>
      <c r="N297" s="30">
        <f t="shared" si="1"/>
        <v>0</v>
      </c>
      <c r="O297" s="31"/>
      <c r="P297" s="32"/>
      <c r="Q297" s="33"/>
      <c r="R297" s="33"/>
      <c r="S297" s="33"/>
      <c r="T297" s="33"/>
      <c r="U297" s="33"/>
      <c r="V297" s="33"/>
      <c r="W297" s="33"/>
      <c r="X297" s="33"/>
      <c r="Y297" s="33"/>
      <c r="Z297" s="33"/>
      <c r="AA297" s="33"/>
      <c r="AB297" s="31"/>
      <c r="AC297" s="32"/>
      <c r="AD297" s="33"/>
      <c r="AE297" s="33"/>
      <c r="AF297" s="33"/>
      <c r="AG297" s="33"/>
      <c r="AH297" s="33"/>
      <c r="AI297" s="33"/>
      <c r="AJ297" s="33"/>
      <c r="AK297" s="33"/>
      <c r="AL297" s="33"/>
      <c r="AM297" s="33"/>
      <c r="AN297" s="33"/>
      <c r="AO297" s="31"/>
      <c r="AP297" s="32"/>
      <c r="AQ297" s="33"/>
      <c r="AR297" s="33"/>
      <c r="AS297" s="33"/>
      <c r="AT297" s="33"/>
      <c r="AU297" s="33"/>
      <c r="AV297" s="33"/>
      <c r="AW297" s="33"/>
      <c r="AX297" s="33"/>
      <c r="AY297" s="33"/>
      <c r="AZ297" s="33"/>
      <c r="BA297" s="33"/>
      <c r="BB297" s="31"/>
      <c r="BC297" s="32"/>
      <c r="BD297" s="33"/>
      <c r="BE297" s="33"/>
      <c r="BF297" s="33"/>
      <c r="BG297" s="33"/>
      <c r="BH297" s="33"/>
      <c r="BI297" s="33"/>
      <c r="BJ297" s="33"/>
      <c r="BK297" s="33"/>
      <c r="BL297" s="33"/>
      <c r="BM297" s="33"/>
      <c r="BN297" s="33"/>
      <c r="BO297" s="31"/>
      <c r="BP297" s="32"/>
      <c r="BQ297" s="33"/>
      <c r="BR297" s="33"/>
      <c r="BS297" s="33"/>
      <c r="BT297" s="33"/>
      <c r="BU297" s="33"/>
      <c r="BV297" s="33"/>
      <c r="BW297" s="33"/>
      <c r="BX297" s="33"/>
      <c r="BY297" s="33"/>
      <c r="BZ297" s="33"/>
      <c r="CA297" s="33"/>
      <c r="CB297" s="31"/>
      <c r="CC297" s="32"/>
      <c r="CD297" s="33"/>
      <c r="CE297" s="33"/>
      <c r="CF297" s="33"/>
      <c r="CG297" s="33"/>
      <c r="CH297" s="33"/>
      <c r="CI297" s="33"/>
      <c r="CJ297" s="33"/>
      <c r="CK297" s="33"/>
      <c r="CL297" s="33"/>
      <c r="CM297" s="33"/>
      <c r="CN297" s="33"/>
      <c r="CO297" s="31"/>
      <c r="CP297" s="32"/>
      <c r="CQ297" s="33"/>
      <c r="CR297" s="33"/>
      <c r="CS297" s="33"/>
      <c r="CT297" s="33"/>
      <c r="CU297" s="33"/>
      <c r="CV297" s="33"/>
      <c r="CW297" s="33"/>
      <c r="CX297" s="33"/>
      <c r="CY297" s="33"/>
      <c r="CZ297" s="33"/>
      <c r="DA297" s="33"/>
      <c r="DB297" s="31"/>
      <c r="DC297" s="32"/>
      <c r="DD297" s="33"/>
      <c r="DE297" s="33"/>
      <c r="DF297" s="33"/>
      <c r="DG297" s="33"/>
      <c r="DH297" s="33"/>
      <c r="DI297" s="33"/>
      <c r="DJ297" s="33"/>
      <c r="DK297" s="33"/>
      <c r="DL297" s="33"/>
      <c r="DM297" s="33"/>
      <c r="DN297" s="33"/>
      <c r="DO297" s="31"/>
      <c r="DP297" s="32"/>
      <c r="DQ297" s="33"/>
      <c r="DR297" s="33"/>
      <c r="DS297" s="33"/>
      <c r="DT297" s="33"/>
      <c r="DU297" s="33"/>
      <c r="DV297" s="33"/>
      <c r="DW297" s="33"/>
      <c r="DX297" s="33"/>
      <c r="DY297" s="33"/>
      <c r="DZ297" s="33"/>
      <c r="EA297" s="33"/>
      <c r="EB297" s="31"/>
      <c r="EC297" s="32"/>
      <c r="ED297" s="33"/>
      <c r="EE297" s="33"/>
      <c r="EF297" s="33"/>
      <c r="EG297" s="33"/>
      <c r="EH297" s="33"/>
      <c r="EI297" s="33"/>
      <c r="EJ297" s="33"/>
      <c r="EK297" s="33"/>
      <c r="EL297" s="33"/>
      <c r="EM297" s="33"/>
      <c r="EN297" s="33"/>
      <c r="EO297" s="31"/>
      <c r="EP297" s="32"/>
      <c r="EQ297" s="33"/>
      <c r="ER297" s="33"/>
      <c r="ES297" s="33"/>
      <c r="ET297" s="33"/>
      <c r="EU297" s="33"/>
      <c r="EV297" s="33"/>
      <c r="EW297" s="33"/>
      <c r="EX297" s="33"/>
      <c r="EY297" s="33"/>
      <c r="EZ297" s="33"/>
      <c r="FA297" s="33"/>
      <c r="FB297" s="31"/>
      <c r="FC297" s="32"/>
      <c r="FD297" s="33"/>
      <c r="FE297" s="33"/>
      <c r="FF297" s="33"/>
      <c r="FG297" s="33"/>
      <c r="FH297" s="33"/>
      <c r="FI297" s="33"/>
      <c r="FJ297" s="33"/>
      <c r="FK297" s="33"/>
      <c r="FL297" s="33"/>
      <c r="FM297" s="33"/>
      <c r="FN297" s="33"/>
      <c r="FO297" s="34">
        <f t="shared" ref="FO297:FV297" si="290">IFERROR(R297*1,0)+IFERROR(AE297*1,0)+IFERROR(AR297*1,0)+IFERROR(BE297*1,0)+IFERROR(BR297*1,0)+IFERROR(CE297*1,0)+IFERROR(CR297*1,0)+IFERROR(DE297*1,0)+IFERROR(DR297*1,0)+IFERROR(EE297*1,0)+IFERROR(ER297*1,0)+IFERROR(FE297*1,0)</f>
        <v>0</v>
      </c>
      <c r="FP297" s="34">
        <f t="shared" si="290"/>
        <v>0</v>
      </c>
      <c r="FQ297" s="34">
        <f t="shared" si="290"/>
        <v>0</v>
      </c>
      <c r="FR297" s="34">
        <f t="shared" si="290"/>
        <v>0</v>
      </c>
      <c r="FS297" s="34">
        <f t="shared" si="290"/>
        <v>0</v>
      </c>
      <c r="FT297" s="34">
        <f t="shared" si="290"/>
        <v>0</v>
      </c>
      <c r="FU297" s="34">
        <f t="shared" si="290"/>
        <v>0</v>
      </c>
      <c r="FV297" s="34">
        <f t="shared" si="290"/>
        <v>0</v>
      </c>
      <c r="FW297" s="28"/>
      <c r="FX297" s="29">
        <f t="shared" si="3"/>
        <v>0</v>
      </c>
    </row>
    <row r="298" spans="1:180" ht="18" customHeight="1" x14ac:dyDescent="0.25">
      <c r="A298" s="3" t="str">
        <f>IF(C298&lt;&gt;"","DRG-"&amp;TEXT(293,"000"),"")</f>
        <v/>
      </c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38">
        <v>4</v>
      </c>
      <c r="M298" s="23" t="str">
        <f t="shared" si="0"/>
        <v>✘ Pending</v>
      </c>
      <c r="N298" s="23">
        <f t="shared" si="1"/>
        <v>0</v>
      </c>
      <c r="O298" s="25"/>
      <c r="P298" s="26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  <c r="AB298" s="25"/>
      <c r="AC298" s="26"/>
      <c r="AD298" s="24"/>
      <c r="AE298" s="24"/>
      <c r="AF298" s="24"/>
      <c r="AG298" s="24"/>
      <c r="AH298" s="24"/>
      <c r="AI298" s="24"/>
      <c r="AJ298" s="24"/>
      <c r="AK298" s="24"/>
      <c r="AL298" s="24"/>
      <c r="AM298" s="24"/>
      <c r="AN298" s="24"/>
      <c r="AO298" s="25"/>
      <c r="AP298" s="26"/>
      <c r="AQ298" s="24"/>
      <c r="AR298" s="24"/>
      <c r="AS298" s="24"/>
      <c r="AT298" s="24"/>
      <c r="AU298" s="24"/>
      <c r="AV298" s="24"/>
      <c r="AW298" s="24"/>
      <c r="AX298" s="24"/>
      <c r="AY298" s="24"/>
      <c r="AZ298" s="24"/>
      <c r="BA298" s="24"/>
      <c r="BB298" s="25"/>
      <c r="BC298" s="26"/>
      <c r="BD298" s="24"/>
      <c r="BE298" s="24"/>
      <c r="BF298" s="24"/>
      <c r="BG298" s="24"/>
      <c r="BH298" s="24"/>
      <c r="BI298" s="24"/>
      <c r="BJ298" s="24"/>
      <c r="BK298" s="24"/>
      <c r="BL298" s="24"/>
      <c r="BM298" s="24"/>
      <c r="BN298" s="24"/>
      <c r="BO298" s="25"/>
      <c r="BP298" s="26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5"/>
      <c r="CC298" s="26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5"/>
      <c r="CP298" s="26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5"/>
      <c r="DC298" s="26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5"/>
      <c r="DP298" s="26"/>
      <c r="DQ298" s="24"/>
      <c r="DR298" s="24"/>
      <c r="DS298" s="24"/>
      <c r="DT298" s="24"/>
      <c r="DU298" s="24"/>
      <c r="DV298" s="24"/>
      <c r="DW298" s="24"/>
      <c r="DX298" s="24"/>
      <c r="DY298" s="24"/>
      <c r="DZ298" s="24"/>
      <c r="EA298" s="24"/>
      <c r="EB298" s="25"/>
      <c r="EC298" s="26"/>
      <c r="ED298" s="24"/>
      <c r="EE298" s="24"/>
      <c r="EF298" s="24"/>
      <c r="EG298" s="24"/>
      <c r="EH298" s="24"/>
      <c r="EI298" s="24"/>
      <c r="EJ298" s="24"/>
      <c r="EK298" s="24"/>
      <c r="EL298" s="24"/>
      <c r="EM298" s="24"/>
      <c r="EN298" s="24"/>
      <c r="EO298" s="25"/>
      <c r="EP298" s="26"/>
      <c r="EQ298" s="24"/>
      <c r="ER298" s="24"/>
      <c r="ES298" s="24"/>
      <c r="ET298" s="24"/>
      <c r="EU298" s="24"/>
      <c r="EV298" s="24"/>
      <c r="EW298" s="24"/>
      <c r="EX298" s="24"/>
      <c r="EY298" s="24"/>
      <c r="EZ298" s="24"/>
      <c r="FA298" s="24"/>
      <c r="FB298" s="25"/>
      <c r="FC298" s="26"/>
      <c r="FD298" s="24"/>
      <c r="FE298" s="24"/>
      <c r="FF298" s="24"/>
      <c r="FG298" s="24"/>
      <c r="FH298" s="24"/>
      <c r="FI298" s="24"/>
      <c r="FJ298" s="24"/>
      <c r="FK298" s="24"/>
      <c r="FL298" s="24"/>
      <c r="FM298" s="24"/>
      <c r="FN298" s="24"/>
      <c r="FO298" s="27">
        <f t="shared" ref="FO298:FV298" si="291">IFERROR(R298*1,0)+IFERROR(AE298*1,0)+IFERROR(AR298*1,0)+IFERROR(BE298*1,0)+IFERROR(BR298*1,0)+IFERROR(CE298*1,0)+IFERROR(CR298*1,0)+IFERROR(DE298*1,0)+IFERROR(DR298*1,0)+IFERROR(EE298*1,0)+IFERROR(ER298*1,0)+IFERROR(FE298*1,0)</f>
        <v>0</v>
      </c>
      <c r="FP298" s="27">
        <f t="shared" si="291"/>
        <v>0</v>
      </c>
      <c r="FQ298" s="27">
        <f t="shared" si="291"/>
        <v>0</v>
      </c>
      <c r="FR298" s="27">
        <f t="shared" si="291"/>
        <v>0</v>
      </c>
      <c r="FS298" s="27">
        <f t="shared" si="291"/>
        <v>0</v>
      </c>
      <c r="FT298" s="27">
        <f t="shared" si="291"/>
        <v>0</v>
      </c>
      <c r="FU298" s="27">
        <f t="shared" si="291"/>
        <v>0</v>
      </c>
      <c r="FV298" s="27">
        <f t="shared" si="291"/>
        <v>0</v>
      </c>
      <c r="FW298" s="28"/>
      <c r="FX298" s="29">
        <f t="shared" si="3"/>
        <v>0</v>
      </c>
    </row>
    <row r="299" spans="1:180" ht="18" customHeight="1" x14ac:dyDescent="0.25">
      <c r="A299" s="3" t="str">
        <f>IF(C299&lt;&gt;"","DRG-"&amp;TEXT(294,"000"),"")</f>
        <v/>
      </c>
      <c r="B299" s="33"/>
      <c r="C299" s="33"/>
      <c r="D299" s="33"/>
      <c r="E299" s="33"/>
      <c r="F299" s="33"/>
      <c r="G299" s="33"/>
      <c r="H299" s="33"/>
      <c r="I299" s="33"/>
      <c r="J299" s="33"/>
      <c r="K299" s="33"/>
      <c r="L299" s="37">
        <v>4</v>
      </c>
      <c r="M299" s="30" t="str">
        <f t="shared" si="0"/>
        <v>✘ Pending</v>
      </c>
      <c r="N299" s="30">
        <f t="shared" si="1"/>
        <v>0</v>
      </c>
      <c r="O299" s="31"/>
      <c r="P299" s="32"/>
      <c r="Q299" s="33"/>
      <c r="R299" s="33"/>
      <c r="S299" s="33"/>
      <c r="T299" s="33"/>
      <c r="U299" s="33"/>
      <c r="V299" s="33"/>
      <c r="W299" s="33"/>
      <c r="X299" s="33"/>
      <c r="Y299" s="33"/>
      <c r="Z299" s="33"/>
      <c r="AA299" s="33"/>
      <c r="AB299" s="31"/>
      <c r="AC299" s="32"/>
      <c r="AD299" s="33"/>
      <c r="AE299" s="33"/>
      <c r="AF299" s="33"/>
      <c r="AG299" s="33"/>
      <c r="AH299" s="33"/>
      <c r="AI299" s="33"/>
      <c r="AJ299" s="33"/>
      <c r="AK299" s="33"/>
      <c r="AL299" s="33"/>
      <c r="AM299" s="33"/>
      <c r="AN299" s="33"/>
      <c r="AO299" s="31"/>
      <c r="AP299" s="32"/>
      <c r="AQ299" s="33"/>
      <c r="AR299" s="33"/>
      <c r="AS299" s="33"/>
      <c r="AT299" s="33"/>
      <c r="AU299" s="33"/>
      <c r="AV299" s="33"/>
      <c r="AW299" s="33"/>
      <c r="AX299" s="33"/>
      <c r="AY299" s="33"/>
      <c r="AZ299" s="33"/>
      <c r="BA299" s="33"/>
      <c r="BB299" s="31"/>
      <c r="BC299" s="32"/>
      <c r="BD299" s="33"/>
      <c r="BE299" s="33"/>
      <c r="BF299" s="33"/>
      <c r="BG299" s="33"/>
      <c r="BH299" s="33"/>
      <c r="BI299" s="33"/>
      <c r="BJ299" s="33"/>
      <c r="BK299" s="33"/>
      <c r="BL299" s="33"/>
      <c r="BM299" s="33"/>
      <c r="BN299" s="33"/>
      <c r="BO299" s="31"/>
      <c r="BP299" s="32"/>
      <c r="BQ299" s="33"/>
      <c r="BR299" s="33"/>
      <c r="BS299" s="33"/>
      <c r="BT299" s="33"/>
      <c r="BU299" s="33"/>
      <c r="BV299" s="33"/>
      <c r="BW299" s="33"/>
      <c r="BX299" s="33"/>
      <c r="BY299" s="33"/>
      <c r="BZ299" s="33"/>
      <c r="CA299" s="33"/>
      <c r="CB299" s="31"/>
      <c r="CC299" s="32"/>
      <c r="CD299" s="33"/>
      <c r="CE299" s="33"/>
      <c r="CF299" s="33"/>
      <c r="CG299" s="33"/>
      <c r="CH299" s="33"/>
      <c r="CI299" s="33"/>
      <c r="CJ299" s="33"/>
      <c r="CK299" s="33"/>
      <c r="CL299" s="33"/>
      <c r="CM299" s="33"/>
      <c r="CN299" s="33"/>
      <c r="CO299" s="31"/>
      <c r="CP299" s="32"/>
      <c r="CQ299" s="33"/>
      <c r="CR299" s="33"/>
      <c r="CS299" s="33"/>
      <c r="CT299" s="33"/>
      <c r="CU299" s="33"/>
      <c r="CV299" s="33"/>
      <c r="CW299" s="33"/>
      <c r="CX299" s="33"/>
      <c r="CY299" s="33"/>
      <c r="CZ299" s="33"/>
      <c r="DA299" s="33"/>
      <c r="DB299" s="31"/>
      <c r="DC299" s="32"/>
      <c r="DD299" s="33"/>
      <c r="DE299" s="33"/>
      <c r="DF299" s="33"/>
      <c r="DG299" s="33"/>
      <c r="DH299" s="33"/>
      <c r="DI299" s="33"/>
      <c r="DJ299" s="33"/>
      <c r="DK299" s="33"/>
      <c r="DL299" s="33"/>
      <c r="DM299" s="33"/>
      <c r="DN299" s="33"/>
      <c r="DO299" s="31"/>
      <c r="DP299" s="32"/>
      <c r="DQ299" s="33"/>
      <c r="DR299" s="33"/>
      <c r="DS299" s="33"/>
      <c r="DT299" s="33"/>
      <c r="DU299" s="33"/>
      <c r="DV299" s="33"/>
      <c r="DW299" s="33"/>
      <c r="DX299" s="33"/>
      <c r="DY299" s="33"/>
      <c r="DZ299" s="33"/>
      <c r="EA299" s="33"/>
      <c r="EB299" s="31"/>
      <c r="EC299" s="32"/>
      <c r="ED299" s="33"/>
      <c r="EE299" s="33"/>
      <c r="EF299" s="33"/>
      <c r="EG299" s="33"/>
      <c r="EH299" s="33"/>
      <c r="EI299" s="33"/>
      <c r="EJ299" s="33"/>
      <c r="EK299" s="33"/>
      <c r="EL299" s="33"/>
      <c r="EM299" s="33"/>
      <c r="EN299" s="33"/>
      <c r="EO299" s="31"/>
      <c r="EP299" s="32"/>
      <c r="EQ299" s="33"/>
      <c r="ER299" s="33"/>
      <c r="ES299" s="33"/>
      <c r="ET299" s="33"/>
      <c r="EU299" s="33"/>
      <c r="EV299" s="33"/>
      <c r="EW299" s="33"/>
      <c r="EX299" s="33"/>
      <c r="EY299" s="33"/>
      <c r="EZ299" s="33"/>
      <c r="FA299" s="33"/>
      <c r="FB299" s="31"/>
      <c r="FC299" s="32"/>
      <c r="FD299" s="33"/>
      <c r="FE299" s="33"/>
      <c r="FF299" s="33"/>
      <c r="FG299" s="33"/>
      <c r="FH299" s="33"/>
      <c r="FI299" s="33"/>
      <c r="FJ299" s="33"/>
      <c r="FK299" s="33"/>
      <c r="FL299" s="33"/>
      <c r="FM299" s="33"/>
      <c r="FN299" s="33"/>
      <c r="FO299" s="34">
        <f t="shared" ref="FO299:FV299" si="292">IFERROR(R299*1,0)+IFERROR(AE299*1,0)+IFERROR(AR299*1,0)+IFERROR(BE299*1,0)+IFERROR(BR299*1,0)+IFERROR(CE299*1,0)+IFERROR(CR299*1,0)+IFERROR(DE299*1,0)+IFERROR(DR299*1,0)+IFERROR(EE299*1,0)+IFERROR(ER299*1,0)+IFERROR(FE299*1,0)</f>
        <v>0</v>
      </c>
      <c r="FP299" s="34">
        <f t="shared" si="292"/>
        <v>0</v>
      </c>
      <c r="FQ299" s="34">
        <f t="shared" si="292"/>
        <v>0</v>
      </c>
      <c r="FR299" s="34">
        <f t="shared" si="292"/>
        <v>0</v>
      </c>
      <c r="FS299" s="34">
        <f t="shared" si="292"/>
        <v>0</v>
      </c>
      <c r="FT299" s="34">
        <f t="shared" si="292"/>
        <v>0</v>
      </c>
      <c r="FU299" s="34">
        <f t="shared" si="292"/>
        <v>0</v>
      </c>
      <c r="FV299" s="34">
        <f t="shared" si="292"/>
        <v>0</v>
      </c>
      <c r="FW299" s="28"/>
      <c r="FX299" s="29">
        <f t="shared" si="3"/>
        <v>0</v>
      </c>
    </row>
    <row r="300" spans="1:180" ht="18" customHeight="1" x14ac:dyDescent="0.25">
      <c r="A300" s="3" t="str">
        <f>IF(C300&lt;&gt;"","DRG-"&amp;TEXT(295,"000"),"")</f>
        <v/>
      </c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38">
        <v>4</v>
      </c>
      <c r="M300" s="23" t="str">
        <f t="shared" si="0"/>
        <v>✘ Pending</v>
      </c>
      <c r="N300" s="23">
        <f t="shared" si="1"/>
        <v>0</v>
      </c>
      <c r="O300" s="25"/>
      <c r="P300" s="26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  <c r="AB300" s="25"/>
      <c r="AC300" s="26"/>
      <c r="AD300" s="24"/>
      <c r="AE300" s="24"/>
      <c r="AF300" s="24"/>
      <c r="AG300" s="24"/>
      <c r="AH300" s="24"/>
      <c r="AI300" s="24"/>
      <c r="AJ300" s="24"/>
      <c r="AK300" s="24"/>
      <c r="AL300" s="24"/>
      <c r="AM300" s="24"/>
      <c r="AN300" s="24"/>
      <c r="AO300" s="25"/>
      <c r="AP300" s="26"/>
      <c r="AQ300" s="24"/>
      <c r="AR300" s="24"/>
      <c r="AS300" s="24"/>
      <c r="AT300" s="24"/>
      <c r="AU300" s="24"/>
      <c r="AV300" s="24"/>
      <c r="AW300" s="24"/>
      <c r="AX300" s="24"/>
      <c r="AY300" s="24"/>
      <c r="AZ300" s="24"/>
      <c r="BA300" s="24"/>
      <c r="BB300" s="25"/>
      <c r="BC300" s="26"/>
      <c r="BD300" s="24"/>
      <c r="BE300" s="24"/>
      <c r="BF300" s="24"/>
      <c r="BG300" s="24"/>
      <c r="BH300" s="24"/>
      <c r="BI300" s="24"/>
      <c r="BJ300" s="24"/>
      <c r="BK300" s="24"/>
      <c r="BL300" s="24"/>
      <c r="BM300" s="24"/>
      <c r="BN300" s="24"/>
      <c r="BO300" s="25"/>
      <c r="BP300" s="26"/>
      <c r="BQ300" s="24"/>
      <c r="BR300" s="24"/>
      <c r="BS300" s="24"/>
      <c r="BT300" s="24"/>
      <c r="BU300" s="24"/>
      <c r="BV300" s="24"/>
      <c r="BW300" s="24"/>
      <c r="BX300" s="24"/>
      <c r="BY300" s="24"/>
      <c r="BZ300" s="24"/>
      <c r="CA300" s="24"/>
      <c r="CB300" s="25"/>
      <c r="CC300" s="26"/>
      <c r="CD300" s="24"/>
      <c r="CE300" s="24"/>
      <c r="CF300" s="24"/>
      <c r="CG300" s="24"/>
      <c r="CH300" s="24"/>
      <c r="CI300" s="24"/>
      <c r="CJ300" s="24"/>
      <c r="CK300" s="24"/>
      <c r="CL300" s="24"/>
      <c r="CM300" s="24"/>
      <c r="CN300" s="24"/>
      <c r="CO300" s="25"/>
      <c r="CP300" s="26"/>
      <c r="CQ300" s="24"/>
      <c r="CR300" s="24"/>
      <c r="CS300" s="24"/>
      <c r="CT300" s="24"/>
      <c r="CU300" s="24"/>
      <c r="CV300" s="24"/>
      <c r="CW300" s="24"/>
      <c r="CX300" s="24"/>
      <c r="CY300" s="24"/>
      <c r="CZ300" s="24"/>
      <c r="DA300" s="24"/>
      <c r="DB300" s="25"/>
      <c r="DC300" s="26"/>
      <c r="DD300" s="24"/>
      <c r="DE300" s="24"/>
      <c r="DF300" s="24"/>
      <c r="DG300" s="24"/>
      <c r="DH300" s="24"/>
      <c r="DI300" s="24"/>
      <c r="DJ300" s="24"/>
      <c r="DK300" s="24"/>
      <c r="DL300" s="24"/>
      <c r="DM300" s="24"/>
      <c r="DN300" s="24"/>
      <c r="DO300" s="25"/>
      <c r="DP300" s="26"/>
      <c r="DQ300" s="24"/>
      <c r="DR300" s="24"/>
      <c r="DS300" s="24"/>
      <c r="DT300" s="24"/>
      <c r="DU300" s="24"/>
      <c r="DV300" s="24"/>
      <c r="DW300" s="24"/>
      <c r="DX300" s="24"/>
      <c r="DY300" s="24"/>
      <c r="DZ300" s="24"/>
      <c r="EA300" s="24"/>
      <c r="EB300" s="25"/>
      <c r="EC300" s="26"/>
      <c r="ED300" s="24"/>
      <c r="EE300" s="24"/>
      <c r="EF300" s="24"/>
      <c r="EG300" s="24"/>
      <c r="EH300" s="24"/>
      <c r="EI300" s="24"/>
      <c r="EJ300" s="24"/>
      <c r="EK300" s="24"/>
      <c r="EL300" s="24"/>
      <c r="EM300" s="24"/>
      <c r="EN300" s="24"/>
      <c r="EO300" s="25"/>
      <c r="EP300" s="26"/>
      <c r="EQ300" s="24"/>
      <c r="ER300" s="24"/>
      <c r="ES300" s="24"/>
      <c r="ET300" s="24"/>
      <c r="EU300" s="24"/>
      <c r="EV300" s="24"/>
      <c r="EW300" s="24"/>
      <c r="EX300" s="24"/>
      <c r="EY300" s="24"/>
      <c r="EZ300" s="24"/>
      <c r="FA300" s="24"/>
      <c r="FB300" s="25"/>
      <c r="FC300" s="26"/>
      <c r="FD300" s="24"/>
      <c r="FE300" s="24"/>
      <c r="FF300" s="24"/>
      <c r="FG300" s="24"/>
      <c r="FH300" s="24"/>
      <c r="FI300" s="24"/>
      <c r="FJ300" s="24"/>
      <c r="FK300" s="24"/>
      <c r="FL300" s="24"/>
      <c r="FM300" s="24"/>
      <c r="FN300" s="24"/>
      <c r="FO300" s="27">
        <f t="shared" ref="FO300:FV300" si="293">IFERROR(R300*1,0)+IFERROR(AE300*1,0)+IFERROR(AR300*1,0)+IFERROR(BE300*1,0)+IFERROR(BR300*1,0)+IFERROR(CE300*1,0)+IFERROR(CR300*1,0)+IFERROR(DE300*1,0)+IFERROR(DR300*1,0)+IFERROR(EE300*1,0)+IFERROR(ER300*1,0)+IFERROR(FE300*1,0)</f>
        <v>0</v>
      </c>
      <c r="FP300" s="27">
        <f t="shared" si="293"/>
        <v>0</v>
      </c>
      <c r="FQ300" s="27">
        <f t="shared" si="293"/>
        <v>0</v>
      </c>
      <c r="FR300" s="27">
        <f t="shared" si="293"/>
        <v>0</v>
      </c>
      <c r="FS300" s="27">
        <f t="shared" si="293"/>
        <v>0</v>
      </c>
      <c r="FT300" s="27">
        <f t="shared" si="293"/>
        <v>0</v>
      </c>
      <c r="FU300" s="27">
        <f t="shared" si="293"/>
        <v>0</v>
      </c>
      <c r="FV300" s="27">
        <f t="shared" si="293"/>
        <v>0</v>
      </c>
      <c r="FW300" s="28"/>
      <c r="FX300" s="29">
        <f t="shared" si="3"/>
        <v>0</v>
      </c>
    </row>
    <row r="301" spans="1:180" ht="18" customHeight="1" x14ac:dyDescent="0.25">
      <c r="A301" s="3" t="str">
        <f>IF(C301&lt;&gt;"","DRG-"&amp;TEXT(296,"000"),"")</f>
        <v/>
      </c>
      <c r="B301" s="33"/>
      <c r="C301" s="33"/>
      <c r="D301" s="33"/>
      <c r="E301" s="33"/>
      <c r="F301" s="33"/>
      <c r="G301" s="33"/>
      <c r="H301" s="33"/>
      <c r="I301" s="33"/>
      <c r="J301" s="33"/>
      <c r="K301" s="33"/>
      <c r="L301" s="37">
        <v>4</v>
      </c>
      <c r="M301" s="30" t="str">
        <f t="shared" si="0"/>
        <v>✘ Pending</v>
      </c>
      <c r="N301" s="30">
        <f t="shared" si="1"/>
        <v>0</v>
      </c>
      <c r="O301" s="31"/>
      <c r="P301" s="32"/>
      <c r="Q301" s="33"/>
      <c r="R301" s="33"/>
      <c r="S301" s="33"/>
      <c r="T301" s="33"/>
      <c r="U301" s="33"/>
      <c r="V301" s="33"/>
      <c r="W301" s="33"/>
      <c r="X301" s="33"/>
      <c r="Y301" s="33"/>
      <c r="Z301" s="33"/>
      <c r="AA301" s="33"/>
      <c r="AB301" s="31"/>
      <c r="AC301" s="32"/>
      <c r="AD301" s="33"/>
      <c r="AE301" s="33"/>
      <c r="AF301" s="33"/>
      <c r="AG301" s="33"/>
      <c r="AH301" s="33"/>
      <c r="AI301" s="33"/>
      <c r="AJ301" s="33"/>
      <c r="AK301" s="33"/>
      <c r="AL301" s="33"/>
      <c r="AM301" s="33"/>
      <c r="AN301" s="33"/>
      <c r="AO301" s="31"/>
      <c r="AP301" s="32"/>
      <c r="AQ301" s="33"/>
      <c r="AR301" s="33"/>
      <c r="AS301" s="33"/>
      <c r="AT301" s="33"/>
      <c r="AU301" s="33"/>
      <c r="AV301" s="33"/>
      <c r="AW301" s="33"/>
      <c r="AX301" s="33"/>
      <c r="AY301" s="33"/>
      <c r="AZ301" s="33"/>
      <c r="BA301" s="33"/>
      <c r="BB301" s="31"/>
      <c r="BC301" s="32"/>
      <c r="BD301" s="33"/>
      <c r="BE301" s="33"/>
      <c r="BF301" s="33"/>
      <c r="BG301" s="33"/>
      <c r="BH301" s="33"/>
      <c r="BI301" s="33"/>
      <c r="BJ301" s="33"/>
      <c r="BK301" s="33"/>
      <c r="BL301" s="33"/>
      <c r="BM301" s="33"/>
      <c r="BN301" s="33"/>
      <c r="BO301" s="31"/>
      <c r="BP301" s="32"/>
      <c r="BQ301" s="33"/>
      <c r="BR301" s="33"/>
      <c r="BS301" s="33"/>
      <c r="BT301" s="33"/>
      <c r="BU301" s="33"/>
      <c r="BV301" s="33"/>
      <c r="BW301" s="33"/>
      <c r="BX301" s="33"/>
      <c r="BY301" s="33"/>
      <c r="BZ301" s="33"/>
      <c r="CA301" s="33"/>
      <c r="CB301" s="31"/>
      <c r="CC301" s="32"/>
      <c r="CD301" s="33"/>
      <c r="CE301" s="33"/>
      <c r="CF301" s="33"/>
      <c r="CG301" s="33"/>
      <c r="CH301" s="33"/>
      <c r="CI301" s="33"/>
      <c r="CJ301" s="33"/>
      <c r="CK301" s="33"/>
      <c r="CL301" s="33"/>
      <c r="CM301" s="33"/>
      <c r="CN301" s="33"/>
      <c r="CO301" s="31"/>
      <c r="CP301" s="32"/>
      <c r="CQ301" s="33"/>
      <c r="CR301" s="33"/>
      <c r="CS301" s="33"/>
      <c r="CT301" s="33"/>
      <c r="CU301" s="33"/>
      <c r="CV301" s="33"/>
      <c r="CW301" s="33"/>
      <c r="CX301" s="33"/>
      <c r="CY301" s="33"/>
      <c r="CZ301" s="33"/>
      <c r="DA301" s="33"/>
      <c r="DB301" s="31"/>
      <c r="DC301" s="32"/>
      <c r="DD301" s="33"/>
      <c r="DE301" s="33"/>
      <c r="DF301" s="33"/>
      <c r="DG301" s="33"/>
      <c r="DH301" s="33"/>
      <c r="DI301" s="33"/>
      <c r="DJ301" s="33"/>
      <c r="DK301" s="33"/>
      <c r="DL301" s="33"/>
      <c r="DM301" s="33"/>
      <c r="DN301" s="33"/>
      <c r="DO301" s="31"/>
      <c r="DP301" s="32"/>
      <c r="DQ301" s="33"/>
      <c r="DR301" s="33"/>
      <c r="DS301" s="33"/>
      <c r="DT301" s="33"/>
      <c r="DU301" s="33"/>
      <c r="DV301" s="33"/>
      <c r="DW301" s="33"/>
      <c r="DX301" s="33"/>
      <c r="DY301" s="33"/>
      <c r="DZ301" s="33"/>
      <c r="EA301" s="33"/>
      <c r="EB301" s="31"/>
      <c r="EC301" s="32"/>
      <c r="ED301" s="33"/>
      <c r="EE301" s="33"/>
      <c r="EF301" s="33"/>
      <c r="EG301" s="33"/>
      <c r="EH301" s="33"/>
      <c r="EI301" s="33"/>
      <c r="EJ301" s="33"/>
      <c r="EK301" s="33"/>
      <c r="EL301" s="33"/>
      <c r="EM301" s="33"/>
      <c r="EN301" s="33"/>
      <c r="EO301" s="31"/>
      <c r="EP301" s="32"/>
      <c r="EQ301" s="33"/>
      <c r="ER301" s="33"/>
      <c r="ES301" s="33"/>
      <c r="ET301" s="33"/>
      <c r="EU301" s="33"/>
      <c r="EV301" s="33"/>
      <c r="EW301" s="33"/>
      <c r="EX301" s="33"/>
      <c r="EY301" s="33"/>
      <c r="EZ301" s="33"/>
      <c r="FA301" s="33"/>
      <c r="FB301" s="31"/>
      <c r="FC301" s="32"/>
      <c r="FD301" s="33"/>
      <c r="FE301" s="33"/>
      <c r="FF301" s="33"/>
      <c r="FG301" s="33"/>
      <c r="FH301" s="33"/>
      <c r="FI301" s="33"/>
      <c r="FJ301" s="33"/>
      <c r="FK301" s="33"/>
      <c r="FL301" s="33"/>
      <c r="FM301" s="33"/>
      <c r="FN301" s="33"/>
      <c r="FO301" s="34">
        <f t="shared" ref="FO301:FV301" si="294">IFERROR(R301*1,0)+IFERROR(AE301*1,0)+IFERROR(AR301*1,0)+IFERROR(BE301*1,0)+IFERROR(BR301*1,0)+IFERROR(CE301*1,0)+IFERROR(CR301*1,0)+IFERROR(DE301*1,0)+IFERROR(DR301*1,0)+IFERROR(EE301*1,0)+IFERROR(ER301*1,0)+IFERROR(FE301*1,0)</f>
        <v>0</v>
      </c>
      <c r="FP301" s="34">
        <f t="shared" si="294"/>
        <v>0</v>
      </c>
      <c r="FQ301" s="34">
        <f t="shared" si="294"/>
        <v>0</v>
      </c>
      <c r="FR301" s="34">
        <f t="shared" si="294"/>
        <v>0</v>
      </c>
      <c r="FS301" s="34">
        <f t="shared" si="294"/>
        <v>0</v>
      </c>
      <c r="FT301" s="34">
        <f t="shared" si="294"/>
        <v>0</v>
      </c>
      <c r="FU301" s="34">
        <f t="shared" si="294"/>
        <v>0</v>
      </c>
      <c r="FV301" s="34">
        <f t="shared" si="294"/>
        <v>0</v>
      </c>
      <c r="FW301" s="28"/>
      <c r="FX301" s="29">
        <f t="shared" si="3"/>
        <v>0</v>
      </c>
    </row>
    <row r="302" spans="1:180" ht="18" customHeight="1" x14ac:dyDescent="0.25">
      <c r="A302" s="3" t="str">
        <f>IF(C302&lt;&gt;"","DRG-"&amp;TEXT(297,"000"),"")</f>
        <v/>
      </c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38">
        <v>4</v>
      </c>
      <c r="M302" s="23" t="str">
        <f t="shared" si="0"/>
        <v>✘ Pending</v>
      </c>
      <c r="N302" s="23">
        <f t="shared" si="1"/>
        <v>0</v>
      </c>
      <c r="O302" s="25"/>
      <c r="P302" s="26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  <c r="AB302" s="25"/>
      <c r="AC302" s="26"/>
      <c r="AD302" s="24"/>
      <c r="AE302" s="24"/>
      <c r="AF302" s="24"/>
      <c r="AG302" s="24"/>
      <c r="AH302" s="24"/>
      <c r="AI302" s="24"/>
      <c r="AJ302" s="24"/>
      <c r="AK302" s="24"/>
      <c r="AL302" s="24"/>
      <c r="AM302" s="24"/>
      <c r="AN302" s="24"/>
      <c r="AO302" s="25"/>
      <c r="AP302" s="26"/>
      <c r="AQ302" s="24"/>
      <c r="AR302" s="24"/>
      <c r="AS302" s="24"/>
      <c r="AT302" s="24"/>
      <c r="AU302" s="24"/>
      <c r="AV302" s="24"/>
      <c r="AW302" s="24"/>
      <c r="AX302" s="24"/>
      <c r="AY302" s="24"/>
      <c r="AZ302" s="24"/>
      <c r="BA302" s="24"/>
      <c r="BB302" s="25"/>
      <c r="BC302" s="26"/>
      <c r="BD302" s="24"/>
      <c r="BE302" s="24"/>
      <c r="BF302" s="24"/>
      <c r="BG302" s="24"/>
      <c r="BH302" s="24"/>
      <c r="BI302" s="24"/>
      <c r="BJ302" s="24"/>
      <c r="BK302" s="24"/>
      <c r="BL302" s="24"/>
      <c r="BM302" s="24"/>
      <c r="BN302" s="24"/>
      <c r="BO302" s="25"/>
      <c r="BP302" s="26"/>
      <c r="BQ302" s="24"/>
      <c r="BR302" s="24"/>
      <c r="BS302" s="24"/>
      <c r="BT302" s="24"/>
      <c r="BU302" s="24"/>
      <c r="BV302" s="24"/>
      <c r="BW302" s="24"/>
      <c r="BX302" s="24"/>
      <c r="BY302" s="24"/>
      <c r="BZ302" s="24"/>
      <c r="CA302" s="24"/>
      <c r="CB302" s="25"/>
      <c r="CC302" s="26"/>
      <c r="CD302" s="24"/>
      <c r="CE302" s="24"/>
      <c r="CF302" s="24"/>
      <c r="CG302" s="24"/>
      <c r="CH302" s="24"/>
      <c r="CI302" s="24"/>
      <c r="CJ302" s="24"/>
      <c r="CK302" s="24"/>
      <c r="CL302" s="24"/>
      <c r="CM302" s="24"/>
      <c r="CN302" s="24"/>
      <c r="CO302" s="25"/>
      <c r="CP302" s="26"/>
      <c r="CQ302" s="24"/>
      <c r="CR302" s="24"/>
      <c r="CS302" s="24"/>
      <c r="CT302" s="24"/>
      <c r="CU302" s="24"/>
      <c r="CV302" s="24"/>
      <c r="CW302" s="24"/>
      <c r="CX302" s="24"/>
      <c r="CY302" s="24"/>
      <c r="CZ302" s="24"/>
      <c r="DA302" s="24"/>
      <c r="DB302" s="25"/>
      <c r="DC302" s="26"/>
      <c r="DD302" s="24"/>
      <c r="DE302" s="24"/>
      <c r="DF302" s="24"/>
      <c r="DG302" s="24"/>
      <c r="DH302" s="24"/>
      <c r="DI302" s="24"/>
      <c r="DJ302" s="24"/>
      <c r="DK302" s="24"/>
      <c r="DL302" s="24"/>
      <c r="DM302" s="24"/>
      <c r="DN302" s="24"/>
      <c r="DO302" s="25"/>
      <c r="DP302" s="26"/>
      <c r="DQ302" s="24"/>
      <c r="DR302" s="24"/>
      <c r="DS302" s="24"/>
      <c r="DT302" s="24"/>
      <c r="DU302" s="24"/>
      <c r="DV302" s="24"/>
      <c r="DW302" s="24"/>
      <c r="DX302" s="24"/>
      <c r="DY302" s="24"/>
      <c r="DZ302" s="24"/>
      <c r="EA302" s="24"/>
      <c r="EB302" s="25"/>
      <c r="EC302" s="26"/>
      <c r="ED302" s="24"/>
      <c r="EE302" s="24"/>
      <c r="EF302" s="24"/>
      <c r="EG302" s="24"/>
      <c r="EH302" s="24"/>
      <c r="EI302" s="24"/>
      <c r="EJ302" s="24"/>
      <c r="EK302" s="24"/>
      <c r="EL302" s="24"/>
      <c r="EM302" s="24"/>
      <c r="EN302" s="24"/>
      <c r="EO302" s="25"/>
      <c r="EP302" s="26"/>
      <c r="EQ302" s="24"/>
      <c r="ER302" s="24"/>
      <c r="ES302" s="24"/>
      <c r="ET302" s="24"/>
      <c r="EU302" s="24"/>
      <c r="EV302" s="24"/>
      <c r="EW302" s="24"/>
      <c r="EX302" s="24"/>
      <c r="EY302" s="24"/>
      <c r="EZ302" s="24"/>
      <c r="FA302" s="24"/>
      <c r="FB302" s="25"/>
      <c r="FC302" s="26"/>
      <c r="FD302" s="24"/>
      <c r="FE302" s="24"/>
      <c r="FF302" s="24"/>
      <c r="FG302" s="24"/>
      <c r="FH302" s="24"/>
      <c r="FI302" s="24"/>
      <c r="FJ302" s="24"/>
      <c r="FK302" s="24"/>
      <c r="FL302" s="24"/>
      <c r="FM302" s="24"/>
      <c r="FN302" s="24"/>
      <c r="FO302" s="27">
        <f t="shared" ref="FO302:FV302" si="295">IFERROR(R302*1,0)+IFERROR(AE302*1,0)+IFERROR(AR302*1,0)+IFERROR(BE302*1,0)+IFERROR(BR302*1,0)+IFERROR(CE302*1,0)+IFERROR(CR302*1,0)+IFERROR(DE302*1,0)+IFERROR(DR302*1,0)+IFERROR(EE302*1,0)+IFERROR(ER302*1,0)+IFERROR(FE302*1,0)</f>
        <v>0</v>
      </c>
      <c r="FP302" s="27">
        <f t="shared" si="295"/>
        <v>0</v>
      </c>
      <c r="FQ302" s="27">
        <f t="shared" si="295"/>
        <v>0</v>
      </c>
      <c r="FR302" s="27">
        <f t="shared" si="295"/>
        <v>0</v>
      </c>
      <c r="FS302" s="27">
        <f t="shared" si="295"/>
        <v>0</v>
      </c>
      <c r="FT302" s="27">
        <f t="shared" si="295"/>
        <v>0</v>
      </c>
      <c r="FU302" s="27">
        <f t="shared" si="295"/>
        <v>0</v>
      </c>
      <c r="FV302" s="27">
        <f t="shared" si="295"/>
        <v>0</v>
      </c>
      <c r="FW302" s="28"/>
      <c r="FX302" s="29">
        <f t="shared" si="3"/>
        <v>0</v>
      </c>
    </row>
    <row r="303" spans="1:180" ht="18" customHeight="1" x14ac:dyDescent="0.25">
      <c r="A303" s="3" t="str">
        <f>IF(C303&lt;&gt;"","DRG-"&amp;TEXT(298,"000"),"")</f>
        <v/>
      </c>
      <c r="B303" s="33"/>
      <c r="C303" s="33"/>
      <c r="D303" s="33"/>
      <c r="E303" s="33"/>
      <c r="F303" s="33"/>
      <c r="G303" s="33"/>
      <c r="H303" s="33"/>
      <c r="I303" s="33"/>
      <c r="J303" s="33"/>
      <c r="K303" s="33"/>
      <c r="L303" s="37">
        <v>4</v>
      </c>
      <c r="M303" s="30" t="str">
        <f t="shared" si="0"/>
        <v>✘ Pending</v>
      </c>
      <c r="N303" s="30">
        <f t="shared" si="1"/>
        <v>0</v>
      </c>
      <c r="O303" s="31"/>
      <c r="P303" s="32"/>
      <c r="Q303" s="33"/>
      <c r="R303" s="33"/>
      <c r="S303" s="33"/>
      <c r="T303" s="33"/>
      <c r="U303" s="33"/>
      <c r="V303" s="33"/>
      <c r="W303" s="33"/>
      <c r="X303" s="33"/>
      <c r="Y303" s="33"/>
      <c r="Z303" s="33"/>
      <c r="AA303" s="33"/>
      <c r="AB303" s="31"/>
      <c r="AC303" s="32"/>
      <c r="AD303" s="33"/>
      <c r="AE303" s="33"/>
      <c r="AF303" s="33"/>
      <c r="AG303" s="33"/>
      <c r="AH303" s="33"/>
      <c r="AI303" s="33"/>
      <c r="AJ303" s="33"/>
      <c r="AK303" s="33"/>
      <c r="AL303" s="33"/>
      <c r="AM303" s="33"/>
      <c r="AN303" s="33"/>
      <c r="AO303" s="31"/>
      <c r="AP303" s="32"/>
      <c r="AQ303" s="33"/>
      <c r="AR303" s="33"/>
      <c r="AS303" s="33"/>
      <c r="AT303" s="33"/>
      <c r="AU303" s="33"/>
      <c r="AV303" s="33"/>
      <c r="AW303" s="33"/>
      <c r="AX303" s="33"/>
      <c r="AY303" s="33"/>
      <c r="AZ303" s="33"/>
      <c r="BA303" s="33"/>
      <c r="BB303" s="31"/>
      <c r="BC303" s="32"/>
      <c r="BD303" s="33"/>
      <c r="BE303" s="33"/>
      <c r="BF303" s="33"/>
      <c r="BG303" s="33"/>
      <c r="BH303" s="33"/>
      <c r="BI303" s="33"/>
      <c r="BJ303" s="33"/>
      <c r="BK303" s="33"/>
      <c r="BL303" s="33"/>
      <c r="BM303" s="33"/>
      <c r="BN303" s="33"/>
      <c r="BO303" s="31"/>
      <c r="BP303" s="32"/>
      <c r="BQ303" s="33"/>
      <c r="BR303" s="33"/>
      <c r="BS303" s="33"/>
      <c r="BT303" s="33"/>
      <c r="BU303" s="33"/>
      <c r="BV303" s="33"/>
      <c r="BW303" s="33"/>
      <c r="BX303" s="33"/>
      <c r="BY303" s="33"/>
      <c r="BZ303" s="33"/>
      <c r="CA303" s="33"/>
      <c r="CB303" s="31"/>
      <c r="CC303" s="32"/>
      <c r="CD303" s="33"/>
      <c r="CE303" s="33"/>
      <c r="CF303" s="33"/>
      <c r="CG303" s="33"/>
      <c r="CH303" s="33"/>
      <c r="CI303" s="33"/>
      <c r="CJ303" s="33"/>
      <c r="CK303" s="33"/>
      <c r="CL303" s="33"/>
      <c r="CM303" s="33"/>
      <c r="CN303" s="33"/>
      <c r="CO303" s="31"/>
      <c r="CP303" s="32"/>
      <c r="CQ303" s="33"/>
      <c r="CR303" s="33"/>
      <c r="CS303" s="33"/>
      <c r="CT303" s="33"/>
      <c r="CU303" s="33"/>
      <c r="CV303" s="33"/>
      <c r="CW303" s="33"/>
      <c r="CX303" s="33"/>
      <c r="CY303" s="33"/>
      <c r="CZ303" s="33"/>
      <c r="DA303" s="33"/>
      <c r="DB303" s="31"/>
      <c r="DC303" s="32"/>
      <c r="DD303" s="33"/>
      <c r="DE303" s="33"/>
      <c r="DF303" s="33"/>
      <c r="DG303" s="33"/>
      <c r="DH303" s="33"/>
      <c r="DI303" s="33"/>
      <c r="DJ303" s="33"/>
      <c r="DK303" s="33"/>
      <c r="DL303" s="33"/>
      <c r="DM303" s="33"/>
      <c r="DN303" s="33"/>
      <c r="DO303" s="31"/>
      <c r="DP303" s="32"/>
      <c r="DQ303" s="33"/>
      <c r="DR303" s="33"/>
      <c r="DS303" s="33"/>
      <c r="DT303" s="33"/>
      <c r="DU303" s="33"/>
      <c r="DV303" s="33"/>
      <c r="DW303" s="33"/>
      <c r="DX303" s="33"/>
      <c r="DY303" s="33"/>
      <c r="DZ303" s="33"/>
      <c r="EA303" s="33"/>
      <c r="EB303" s="31"/>
      <c r="EC303" s="32"/>
      <c r="ED303" s="33"/>
      <c r="EE303" s="33"/>
      <c r="EF303" s="33"/>
      <c r="EG303" s="33"/>
      <c r="EH303" s="33"/>
      <c r="EI303" s="33"/>
      <c r="EJ303" s="33"/>
      <c r="EK303" s="33"/>
      <c r="EL303" s="33"/>
      <c r="EM303" s="33"/>
      <c r="EN303" s="33"/>
      <c r="EO303" s="31"/>
      <c r="EP303" s="32"/>
      <c r="EQ303" s="33"/>
      <c r="ER303" s="33"/>
      <c r="ES303" s="33"/>
      <c r="ET303" s="33"/>
      <c r="EU303" s="33"/>
      <c r="EV303" s="33"/>
      <c r="EW303" s="33"/>
      <c r="EX303" s="33"/>
      <c r="EY303" s="33"/>
      <c r="EZ303" s="33"/>
      <c r="FA303" s="33"/>
      <c r="FB303" s="31"/>
      <c r="FC303" s="32"/>
      <c r="FD303" s="33"/>
      <c r="FE303" s="33"/>
      <c r="FF303" s="33"/>
      <c r="FG303" s="33"/>
      <c r="FH303" s="33"/>
      <c r="FI303" s="33"/>
      <c r="FJ303" s="33"/>
      <c r="FK303" s="33"/>
      <c r="FL303" s="33"/>
      <c r="FM303" s="33"/>
      <c r="FN303" s="33"/>
      <c r="FO303" s="34">
        <f t="shared" ref="FO303:FV303" si="296">IFERROR(R303*1,0)+IFERROR(AE303*1,0)+IFERROR(AR303*1,0)+IFERROR(BE303*1,0)+IFERROR(BR303*1,0)+IFERROR(CE303*1,0)+IFERROR(CR303*1,0)+IFERROR(DE303*1,0)+IFERROR(DR303*1,0)+IFERROR(EE303*1,0)+IFERROR(ER303*1,0)+IFERROR(FE303*1,0)</f>
        <v>0</v>
      </c>
      <c r="FP303" s="34">
        <f t="shared" si="296"/>
        <v>0</v>
      </c>
      <c r="FQ303" s="34">
        <f t="shared" si="296"/>
        <v>0</v>
      </c>
      <c r="FR303" s="34">
        <f t="shared" si="296"/>
        <v>0</v>
      </c>
      <c r="FS303" s="34">
        <f t="shared" si="296"/>
        <v>0</v>
      </c>
      <c r="FT303" s="34">
        <f t="shared" si="296"/>
        <v>0</v>
      </c>
      <c r="FU303" s="34">
        <f t="shared" si="296"/>
        <v>0</v>
      </c>
      <c r="FV303" s="34">
        <f t="shared" si="296"/>
        <v>0</v>
      </c>
      <c r="FW303" s="28"/>
      <c r="FX303" s="29">
        <f t="shared" si="3"/>
        <v>0</v>
      </c>
    </row>
    <row r="304" spans="1:180" ht="18" customHeight="1" x14ac:dyDescent="0.25">
      <c r="A304" s="3" t="str">
        <f>IF(C304&lt;&gt;"","DRG-"&amp;TEXT(299,"000"),"")</f>
        <v/>
      </c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38">
        <v>4</v>
      </c>
      <c r="M304" s="23" t="str">
        <f t="shared" si="0"/>
        <v>✘ Pending</v>
      </c>
      <c r="N304" s="23">
        <f t="shared" si="1"/>
        <v>0</v>
      </c>
      <c r="O304" s="25"/>
      <c r="P304" s="26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  <c r="AB304" s="25"/>
      <c r="AC304" s="26"/>
      <c r="AD304" s="24"/>
      <c r="AE304" s="24"/>
      <c r="AF304" s="24"/>
      <c r="AG304" s="24"/>
      <c r="AH304" s="24"/>
      <c r="AI304" s="24"/>
      <c r="AJ304" s="24"/>
      <c r="AK304" s="24"/>
      <c r="AL304" s="24"/>
      <c r="AM304" s="24"/>
      <c r="AN304" s="24"/>
      <c r="AO304" s="25"/>
      <c r="AP304" s="26"/>
      <c r="AQ304" s="24"/>
      <c r="AR304" s="24"/>
      <c r="AS304" s="24"/>
      <c r="AT304" s="24"/>
      <c r="AU304" s="24"/>
      <c r="AV304" s="24"/>
      <c r="AW304" s="24"/>
      <c r="AX304" s="24"/>
      <c r="AY304" s="24"/>
      <c r="AZ304" s="24"/>
      <c r="BA304" s="24"/>
      <c r="BB304" s="25"/>
      <c r="BC304" s="26"/>
      <c r="BD304" s="24"/>
      <c r="BE304" s="24"/>
      <c r="BF304" s="24"/>
      <c r="BG304" s="24"/>
      <c r="BH304" s="24"/>
      <c r="BI304" s="24"/>
      <c r="BJ304" s="24"/>
      <c r="BK304" s="24"/>
      <c r="BL304" s="24"/>
      <c r="BM304" s="24"/>
      <c r="BN304" s="24"/>
      <c r="BO304" s="25"/>
      <c r="BP304" s="26"/>
      <c r="BQ304" s="24"/>
      <c r="BR304" s="24"/>
      <c r="BS304" s="24"/>
      <c r="BT304" s="24"/>
      <c r="BU304" s="24"/>
      <c r="BV304" s="24"/>
      <c r="BW304" s="24"/>
      <c r="BX304" s="24"/>
      <c r="BY304" s="24"/>
      <c r="BZ304" s="24"/>
      <c r="CA304" s="24"/>
      <c r="CB304" s="25"/>
      <c r="CC304" s="26"/>
      <c r="CD304" s="24"/>
      <c r="CE304" s="24"/>
      <c r="CF304" s="24"/>
      <c r="CG304" s="24"/>
      <c r="CH304" s="24"/>
      <c r="CI304" s="24"/>
      <c r="CJ304" s="24"/>
      <c r="CK304" s="24"/>
      <c r="CL304" s="24"/>
      <c r="CM304" s="24"/>
      <c r="CN304" s="24"/>
      <c r="CO304" s="25"/>
      <c r="CP304" s="26"/>
      <c r="CQ304" s="24"/>
      <c r="CR304" s="24"/>
      <c r="CS304" s="24"/>
      <c r="CT304" s="24"/>
      <c r="CU304" s="24"/>
      <c r="CV304" s="24"/>
      <c r="CW304" s="24"/>
      <c r="CX304" s="24"/>
      <c r="CY304" s="24"/>
      <c r="CZ304" s="24"/>
      <c r="DA304" s="24"/>
      <c r="DB304" s="25"/>
      <c r="DC304" s="26"/>
      <c r="DD304" s="24"/>
      <c r="DE304" s="24"/>
      <c r="DF304" s="24"/>
      <c r="DG304" s="24"/>
      <c r="DH304" s="24"/>
      <c r="DI304" s="24"/>
      <c r="DJ304" s="24"/>
      <c r="DK304" s="24"/>
      <c r="DL304" s="24"/>
      <c r="DM304" s="24"/>
      <c r="DN304" s="24"/>
      <c r="DO304" s="25"/>
      <c r="DP304" s="26"/>
      <c r="DQ304" s="24"/>
      <c r="DR304" s="24"/>
      <c r="DS304" s="24"/>
      <c r="DT304" s="24"/>
      <c r="DU304" s="24"/>
      <c r="DV304" s="24"/>
      <c r="DW304" s="24"/>
      <c r="DX304" s="24"/>
      <c r="DY304" s="24"/>
      <c r="DZ304" s="24"/>
      <c r="EA304" s="24"/>
      <c r="EB304" s="25"/>
      <c r="EC304" s="26"/>
      <c r="ED304" s="24"/>
      <c r="EE304" s="24"/>
      <c r="EF304" s="24"/>
      <c r="EG304" s="24"/>
      <c r="EH304" s="24"/>
      <c r="EI304" s="24"/>
      <c r="EJ304" s="24"/>
      <c r="EK304" s="24"/>
      <c r="EL304" s="24"/>
      <c r="EM304" s="24"/>
      <c r="EN304" s="24"/>
      <c r="EO304" s="25"/>
      <c r="EP304" s="26"/>
      <c r="EQ304" s="24"/>
      <c r="ER304" s="24"/>
      <c r="ES304" s="24"/>
      <c r="ET304" s="24"/>
      <c r="EU304" s="24"/>
      <c r="EV304" s="24"/>
      <c r="EW304" s="24"/>
      <c r="EX304" s="24"/>
      <c r="EY304" s="24"/>
      <c r="EZ304" s="24"/>
      <c r="FA304" s="24"/>
      <c r="FB304" s="25"/>
      <c r="FC304" s="26"/>
      <c r="FD304" s="24"/>
      <c r="FE304" s="24"/>
      <c r="FF304" s="24"/>
      <c r="FG304" s="24"/>
      <c r="FH304" s="24"/>
      <c r="FI304" s="24"/>
      <c r="FJ304" s="24"/>
      <c r="FK304" s="24"/>
      <c r="FL304" s="24"/>
      <c r="FM304" s="24"/>
      <c r="FN304" s="24"/>
      <c r="FO304" s="27">
        <f t="shared" ref="FO304:FV304" si="297">IFERROR(R304*1,0)+IFERROR(AE304*1,0)+IFERROR(AR304*1,0)+IFERROR(BE304*1,0)+IFERROR(BR304*1,0)+IFERROR(CE304*1,0)+IFERROR(CR304*1,0)+IFERROR(DE304*1,0)+IFERROR(DR304*1,0)+IFERROR(EE304*1,0)+IFERROR(ER304*1,0)+IFERROR(FE304*1,0)</f>
        <v>0</v>
      </c>
      <c r="FP304" s="27">
        <f t="shared" si="297"/>
        <v>0</v>
      </c>
      <c r="FQ304" s="27">
        <f t="shared" si="297"/>
        <v>0</v>
      </c>
      <c r="FR304" s="27">
        <f t="shared" si="297"/>
        <v>0</v>
      </c>
      <c r="FS304" s="27">
        <f t="shared" si="297"/>
        <v>0</v>
      </c>
      <c r="FT304" s="27">
        <f t="shared" si="297"/>
        <v>0</v>
      </c>
      <c r="FU304" s="27">
        <f t="shared" si="297"/>
        <v>0</v>
      </c>
      <c r="FV304" s="27">
        <f t="shared" si="297"/>
        <v>0</v>
      </c>
      <c r="FW304" s="28"/>
      <c r="FX304" s="29">
        <f t="shared" si="3"/>
        <v>0</v>
      </c>
    </row>
    <row r="305" spans="1:180" ht="18" customHeight="1" x14ac:dyDescent="0.25">
      <c r="A305" s="3" t="str">
        <f>IF(C305&lt;&gt;"","DRG-"&amp;TEXT(300,"000"),"")</f>
        <v/>
      </c>
      <c r="B305" s="33"/>
      <c r="C305" s="33"/>
      <c r="D305" s="33"/>
      <c r="E305" s="33"/>
      <c r="F305" s="33"/>
      <c r="G305" s="33"/>
      <c r="H305" s="33"/>
      <c r="I305" s="33"/>
      <c r="J305" s="33"/>
      <c r="K305" s="33"/>
      <c r="L305" s="37">
        <v>4</v>
      </c>
      <c r="M305" s="30" t="str">
        <f t="shared" si="0"/>
        <v>✘ Pending</v>
      </c>
      <c r="N305" s="30">
        <f t="shared" si="1"/>
        <v>0</v>
      </c>
      <c r="O305" s="31"/>
      <c r="P305" s="32"/>
      <c r="Q305" s="33"/>
      <c r="R305" s="33"/>
      <c r="S305" s="33"/>
      <c r="T305" s="33"/>
      <c r="U305" s="33"/>
      <c r="V305" s="33"/>
      <c r="W305" s="33"/>
      <c r="X305" s="33"/>
      <c r="Y305" s="33"/>
      <c r="Z305" s="33"/>
      <c r="AA305" s="33"/>
      <c r="AB305" s="31"/>
      <c r="AC305" s="32"/>
      <c r="AD305" s="33"/>
      <c r="AE305" s="33"/>
      <c r="AF305" s="33"/>
      <c r="AG305" s="33"/>
      <c r="AH305" s="33"/>
      <c r="AI305" s="33"/>
      <c r="AJ305" s="33"/>
      <c r="AK305" s="33"/>
      <c r="AL305" s="33"/>
      <c r="AM305" s="33"/>
      <c r="AN305" s="33"/>
      <c r="AO305" s="31"/>
      <c r="AP305" s="32"/>
      <c r="AQ305" s="33"/>
      <c r="AR305" s="33"/>
      <c r="AS305" s="33"/>
      <c r="AT305" s="33"/>
      <c r="AU305" s="33"/>
      <c r="AV305" s="33"/>
      <c r="AW305" s="33"/>
      <c r="AX305" s="33"/>
      <c r="AY305" s="33"/>
      <c r="AZ305" s="33"/>
      <c r="BA305" s="33"/>
      <c r="BB305" s="31"/>
      <c r="BC305" s="32"/>
      <c r="BD305" s="33"/>
      <c r="BE305" s="33"/>
      <c r="BF305" s="33"/>
      <c r="BG305" s="33"/>
      <c r="BH305" s="33"/>
      <c r="BI305" s="33"/>
      <c r="BJ305" s="33"/>
      <c r="BK305" s="33"/>
      <c r="BL305" s="33"/>
      <c r="BM305" s="33"/>
      <c r="BN305" s="33"/>
      <c r="BO305" s="31"/>
      <c r="BP305" s="32"/>
      <c r="BQ305" s="33"/>
      <c r="BR305" s="33"/>
      <c r="BS305" s="33"/>
      <c r="BT305" s="33"/>
      <c r="BU305" s="33"/>
      <c r="BV305" s="33"/>
      <c r="BW305" s="33"/>
      <c r="BX305" s="33"/>
      <c r="BY305" s="33"/>
      <c r="BZ305" s="33"/>
      <c r="CA305" s="33"/>
      <c r="CB305" s="31"/>
      <c r="CC305" s="32"/>
      <c r="CD305" s="33"/>
      <c r="CE305" s="33"/>
      <c r="CF305" s="33"/>
      <c r="CG305" s="33"/>
      <c r="CH305" s="33"/>
      <c r="CI305" s="33"/>
      <c r="CJ305" s="33"/>
      <c r="CK305" s="33"/>
      <c r="CL305" s="33"/>
      <c r="CM305" s="33"/>
      <c r="CN305" s="33"/>
      <c r="CO305" s="31"/>
      <c r="CP305" s="32"/>
      <c r="CQ305" s="33"/>
      <c r="CR305" s="33"/>
      <c r="CS305" s="33"/>
      <c r="CT305" s="33"/>
      <c r="CU305" s="33"/>
      <c r="CV305" s="33"/>
      <c r="CW305" s="33"/>
      <c r="CX305" s="33"/>
      <c r="CY305" s="33"/>
      <c r="CZ305" s="33"/>
      <c r="DA305" s="33"/>
      <c r="DB305" s="31"/>
      <c r="DC305" s="32"/>
      <c r="DD305" s="33"/>
      <c r="DE305" s="33"/>
      <c r="DF305" s="33"/>
      <c r="DG305" s="33"/>
      <c r="DH305" s="33"/>
      <c r="DI305" s="33"/>
      <c r="DJ305" s="33"/>
      <c r="DK305" s="33"/>
      <c r="DL305" s="33"/>
      <c r="DM305" s="33"/>
      <c r="DN305" s="33"/>
      <c r="DO305" s="31"/>
      <c r="DP305" s="32"/>
      <c r="DQ305" s="33"/>
      <c r="DR305" s="33"/>
      <c r="DS305" s="33"/>
      <c r="DT305" s="33"/>
      <c r="DU305" s="33"/>
      <c r="DV305" s="33"/>
      <c r="DW305" s="33"/>
      <c r="DX305" s="33"/>
      <c r="DY305" s="33"/>
      <c r="DZ305" s="33"/>
      <c r="EA305" s="33"/>
      <c r="EB305" s="31"/>
      <c r="EC305" s="32"/>
      <c r="ED305" s="33"/>
      <c r="EE305" s="33"/>
      <c r="EF305" s="33"/>
      <c r="EG305" s="33"/>
      <c r="EH305" s="33"/>
      <c r="EI305" s="33"/>
      <c r="EJ305" s="33"/>
      <c r="EK305" s="33"/>
      <c r="EL305" s="33"/>
      <c r="EM305" s="33"/>
      <c r="EN305" s="33"/>
      <c r="EO305" s="31"/>
      <c r="EP305" s="32"/>
      <c r="EQ305" s="33"/>
      <c r="ER305" s="33"/>
      <c r="ES305" s="33"/>
      <c r="ET305" s="33"/>
      <c r="EU305" s="33"/>
      <c r="EV305" s="33"/>
      <c r="EW305" s="33"/>
      <c r="EX305" s="33"/>
      <c r="EY305" s="33"/>
      <c r="EZ305" s="33"/>
      <c r="FA305" s="33"/>
      <c r="FB305" s="31"/>
      <c r="FC305" s="32"/>
      <c r="FD305" s="33"/>
      <c r="FE305" s="33"/>
      <c r="FF305" s="33"/>
      <c r="FG305" s="33"/>
      <c r="FH305" s="33"/>
      <c r="FI305" s="33"/>
      <c r="FJ305" s="33"/>
      <c r="FK305" s="33"/>
      <c r="FL305" s="33"/>
      <c r="FM305" s="33"/>
      <c r="FN305" s="33"/>
      <c r="FO305" s="34">
        <f t="shared" ref="FO305:FV305" si="298">IFERROR(R305*1,0)+IFERROR(AE305*1,0)+IFERROR(AR305*1,0)+IFERROR(BE305*1,0)+IFERROR(BR305*1,0)+IFERROR(CE305*1,0)+IFERROR(CR305*1,0)+IFERROR(DE305*1,0)+IFERROR(DR305*1,0)+IFERROR(EE305*1,0)+IFERROR(ER305*1,0)+IFERROR(FE305*1,0)</f>
        <v>0</v>
      </c>
      <c r="FP305" s="34">
        <f t="shared" si="298"/>
        <v>0</v>
      </c>
      <c r="FQ305" s="34">
        <f t="shared" si="298"/>
        <v>0</v>
      </c>
      <c r="FR305" s="34">
        <f t="shared" si="298"/>
        <v>0</v>
      </c>
      <c r="FS305" s="34">
        <f t="shared" si="298"/>
        <v>0</v>
      </c>
      <c r="FT305" s="34">
        <f t="shared" si="298"/>
        <v>0</v>
      </c>
      <c r="FU305" s="34">
        <f t="shared" si="298"/>
        <v>0</v>
      </c>
      <c r="FV305" s="34">
        <f t="shared" si="298"/>
        <v>0</v>
      </c>
      <c r="FW305" s="28"/>
      <c r="FX305" s="29">
        <f t="shared" si="3"/>
        <v>0</v>
      </c>
    </row>
    <row r="306" spans="1:180" ht="18" customHeight="1" x14ac:dyDescent="0.25">
      <c r="A306" s="3" t="str">
        <f>IF(C306&lt;&gt;"","DRG-"&amp;TEXT(301,"000"),"")</f>
        <v/>
      </c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38">
        <v>4</v>
      </c>
      <c r="M306" s="23" t="str">
        <f t="shared" si="0"/>
        <v>✘ Pending</v>
      </c>
      <c r="N306" s="23">
        <f t="shared" si="1"/>
        <v>0</v>
      </c>
      <c r="O306" s="25"/>
      <c r="P306" s="26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  <c r="AB306" s="25"/>
      <c r="AC306" s="26"/>
      <c r="AD306" s="24"/>
      <c r="AE306" s="24"/>
      <c r="AF306" s="24"/>
      <c r="AG306" s="24"/>
      <c r="AH306" s="24"/>
      <c r="AI306" s="24"/>
      <c r="AJ306" s="24"/>
      <c r="AK306" s="24"/>
      <c r="AL306" s="24"/>
      <c r="AM306" s="24"/>
      <c r="AN306" s="24"/>
      <c r="AO306" s="25"/>
      <c r="AP306" s="26"/>
      <c r="AQ306" s="24"/>
      <c r="AR306" s="24"/>
      <c r="AS306" s="24"/>
      <c r="AT306" s="24"/>
      <c r="AU306" s="24"/>
      <c r="AV306" s="24"/>
      <c r="AW306" s="24"/>
      <c r="AX306" s="24"/>
      <c r="AY306" s="24"/>
      <c r="AZ306" s="24"/>
      <c r="BA306" s="24"/>
      <c r="BB306" s="25"/>
      <c r="BC306" s="26"/>
      <c r="BD306" s="24"/>
      <c r="BE306" s="24"/>
      <c r="BF306" s="24"/>
      <c r="BG306" s="24"/>
      <c r="BH306" s="24"/>
      <c r="BI306" s="24"/>
      <c r="BJ306" s="24"/>
      <c r="BK306" s="24"/>
      <c r="BL306" s="24"/>
      <c r="BM306" s="24"/>
      <c r="BN306" s="24"/>
      <c r="BO306" s="25"/>
      <c r="BP306" s="26"/>
      <c r="BQ306" s="24"/>
      <c r="BR306" s="24"/>
      <c r="BS306" s="24"/>
      <c r="BT306" s="24"/>
      <c r="BU306" s="24"/>
      <c r="BV306" s="24"/>
      <c r="BW306" s="24"/>
      <c r="BX306" s="24"/>
      <c r="BY306" s="24"/>
      <c r="BZ306" s="24"/>
      <c r="CA306" s="24"/>
      <c r="CB306" s="25"/>
      <c r="CC306" s="26"/>
      <c r="CD306" s="24"/>
      <c r="CE306" s="24"/>
      <c r="CF306" s="24"/>
      <c r="CG306" s="24"/>
      <c r="CH306" s="24"/>
      <c r="CI306" s="24"/>
      <c r="CJ306" s="24"/>
      <c r="CK306" s="24"/>
      <c r="CL306" s="24"/>
      <c r="CM306" s="24"/>
      <c r="CN306" s="24"/>
      <c r="CO306" s="25"/>
      <c r="CP306" s="26"/>
      <c r="CQ306" s="24"/>
      <c r="CR306" s="24"/>
      <c r="CS306" s="24"/>
      <c r="CT306" s="24"/>
      <c r="CU306" s="24"/>
      <c r="CV306" s="24"/>
      <c r="CW306" s="24"/>
      <c r="CX306" s="24"/>
      <c r="CY306" s="24"/>
      <c r="CZ306" s="24"/>
      <c r="DA306" s="24"/>
      <c r="DB306" s="25"/>
      <c r="DC306" s="26"/>
      <c r="DD306" s="24"/>
      <c r="DE306" s="24"/>
      <c r="DF306" s="24"/>
      <c r="DG306" s="24"/>
      <c r="DH306" s="24"/>
      <c r="DI306" s="24"/>
      <c r="DJ306" s="24"/>
      <c r="DK306" s="24"/>
      <c r="DL306" s="24"/>
      <c r="DM306" s="24"/>
      <c r="DN306" s="24"/>
      <c r="DO306" s="25"/>
      <c r="DP306" s="26"/>
      <c r="DQ306" s="24"/>
      <c r="DR306" s="24"/>
      <c r="DS306" s="24"/>
      <c r="DT306" s="24"/>
      <c r="DU306" s="24"/>
      <c r="DV306" s="24"/>
      <c r="DW306" s="24"/>
      <c r="DX306" s="24"/>
      <c r="DY306" s="24"/>
      <c r="DZ306" s="24"/>
      <c r="EA306" s="24"/>
      <c r="EB306" s="25"/>
      <c r="EC306" s="26"/>
      <c r="ED306" s="24"/>
      <c r="EE306" s="24"/>
      <c r="EF306" s="24"/>
      <c r="EG306" s="24"/>
      <c r="EH306" s="24"/>
      <c r="EI306" s="24"/>
      <c r="EJ306" s="24"/>
      <c r="EK306" s="24"/>
      <c r="EL306" s="24"/>
      <c r="EM306" s="24"/>
      <c r="EN306" s="24"/>
      <c r="EO306" s="25"/>
      <c r="EP306" s="26"/>
      <c r="EQ306" s="24"/>
      <c r="ER306" s="24"/>
      <c r="ES306" s="24"/>
      <c r="ET306" s="24"/>
      <c r="EU306" s="24"/>
      <c r="EV306" s="24"/>
      <c r="EW306" s="24"/>
      <c r="EX306" s="24"/>
      <c r="EY306" s="24"/>
      <c r="EZ306" s="24"/>
      <c r="FA306" s="24"/>
      <c r="FB306" s="25"/>
      <c r="FC306" s="26"/>
      <c r="FD306" s="24"/>
      <c r="FE306" s="24"/>
      <c r="FF306" s="24"/>
      <c r="FG306" s="24"/>
      <c r="FH306" s="24"/>
      <c r="FI306" s="24"/>
      <c r="FJ306" s="24"/>
      <c r="FK306" s="24"/>
      <c r="FL306" s="24"/>
      <c r="FM306" s="24"/>
      <c r="FN306" s="24"/>
      <c r="FO306" s="27">
        <f t="shared" ref="FO306:FV306" si="299">IFERROR(R306*1,0)+IFERROR(AE306*1,0)+IFERROR(AR306*1,0)+IFERROR(BE306*1,0)+IFERROR(BR306*1,0)+IFERROR(CE306*1,0)+IFERROR(CR306*1,0)+IFERROR(DE306*1,0)+IFERROR(DR306*1,0)+IFERROR(EE306*1,0)+IFERROR(ER306*1,0)+IFERROR(FE306*1,0)</f>
        <v>0</v>
      </c>
      <c r="FP306" s="27">
        <f t="shared" si="299"/>
        <v>0</v>
      </c>
      <c r="FQ306" s="27">
        <f t="shared" si="299"/>
        <v>0</v>
      </c>
      <c r="FR306" s="27">
        <f t="shared" si="299"/>
        <v>0</v>
      </c>
      <c r="FS306" s="27">
        <f t="shared" si="299"/>
        <v>0</v>
      </c>
      <c r="FT306" s="27">
        <f t="shared" si="299"/>
        <v>0</v>
      </c>
      <c r="FU306" s="27">
        <f t="shared" si="299"/>
        <v>0</v>
      </c>
      <c r="FV306" s="27">
        <f t="shared" si="299"/>
        <v>0</v>
      </c>
      <c r="FW306" s="28"/>
      <c r="FX306" s="29">
        <f t="shared" si="3"/>
        <v>0</v>
      </c>
    </row>
    <row r="307" spans="1:180" ht="18" customHeight="1" x14ac:dyDescent="0.25">
      <c r="A307" s="3" t="str">
        <f>IF(C307&lt;&gt;"","DRG-"&amp;TEXT(302,"000"),"")</f>
        <v/>
      </c>
      <c r="B307" s="33"/>
      <c r="C307" s="33"/>
      <c r="D307" s="33"/>
      <c r="E307" s="33"/>
      <c r="F307" s="33"/>
      <c r="G307" s="33"/>
      <c r="H307" s="33"/>
      <c r="I307" s="33"/>
      <c r="J307" s="33"/>
      <c r="K307" s="33"/>
      <c r="L307" s="37">
        <v>4</v>
      </c>
      <c r="M307" s="30" t="str">
        <f t="shared" si="0"/>
        <v>✘ Pending</v>
      </c>
      <c r="N307" s="30">
        <f t="shared" si="1"/>
        <v>0</v>
      </c>
      <c r="O307" s="31"/>
      <c r="P307" s="32"/>
      <c r="Q307" s="33"/>
      <c r="R307" s="33"/>
      <c r="S307" s="33"/>
      <c r="T307" s="33"/>
      <c r="U307" s="33"/>
      <c r="V307" s="33"/>
      <c r="W307" s="33"/>
      <c r="X307" s="33"/>
      <c r="Y307" s="33"/>
      <c r="Z307" s="33"/>
      <c r="AA307" s="33"/>
      <c r="AB307" s="31"/>
      <c r="AC307" s="32"/>
      <c r="AD307" s="33"/>
      <c r="AE307" s="33"/>
      <c r="AF307" s="33"/>
      <c r="AG307" s="33"/>
      <c r="AH307" s="33"/>
      <c r="AI307" s="33"/>
      <c r="AJ307" s="33"/>
      <c r="AK307" s="33"/>
      <c r="AL307" s="33"/>
      <c r="AM307" s="33"/>
      <c r="AN307" s="33"/>
      <c r="AO307" s="31"/>
      <c r="AP307" s="32"/>
      <c r="AQ307" s="33"/>
      <c r="AR307" s="33"/>
      <c r="AS307" s="33"/>
      <c r="AT307" s="33"/>
      <c r="AU307" s="33"/>
      <c r="AV307" s="33"/>
      <c r="AW307" s="33"/>
      <c r="AX307" s="33"/>
      <c r="AY307" s="33"/>
      <c r="AZ307" s="33"/>
      <c r="BA307" s="33"/>
      <c r="BB307" s="31"/>
      <c r="BC307" s="32"/>
      <c r="BD307" s="33"/>
      <c r="BE307" s="33"/>
      <c r="BF307" s="33"/>
      <c r="BG307" s="33"/>
      <c r="BH307" s="33"/>
      <c r="BI307" s="33"/>
      <c r="BJ307" s="33"/>
      <c r="BK307" s="33"/>
      <c r="BL307" s="33"/>
      <c r="BM307" s="33"/>
      <c r="BN307" s="33"/>
      <c r="BO307" s="31"/>
      <c r="BP307" s="32"/>
      <c r="BQ307" s="33"/>
      <c r="BR307" s="33"/>
      <c r="BS307" s="33"/>
      <c r="BT307" s="33"/>
      <c r="BU307" s="33"/>
      <c r="BV307" s="33"/>
      <c r="BW307" s="33"/>
      <c r="BX307" s="33"/>
      <c r="BY307" s="33"/>
      <c r="BZ307" s="33"/>
      <c r="CA307" s="33"/>
      <c r="CB307" s="31"/>
      <c r="CC307" s="32"/>
      <c r="CD307" s="33"/>
      <c r="CE307" s="33"/>
      <c r="CF307" s="33"/>
      <c r="CG307" s="33"/>
      <c r="CH307" s="33"/>
      <c r="CI307" s="33"/>
      <c r="CJ307" s="33"/>
      <c r="CK307" s="33"/>
      <c r="CL307" s="33"/>
      <c r="CM307" s="33"/>
      <c r="CN307" s="33"/>
      <c r="CO307" s="31"/>
      <c r="CP307" s="32"/>
      <c r="CQ307" s="33"/>
      <c r="CR307" s="33"/>
      <c r="CS307" s="33"/>
      <c r="CT307" s="33"/>
      <c r="CU307" s="33"/>
      <c r="CV307" s="33"/>
      <c r="CW307" s="33"/>
      <c r="CX307" s="33"/>
      <c r="CY307" s="33"/>
      <c r="CZ307" s="33"/>
      <c r="DA307" s="33"/>
      <c r="DB307" s="31"/>
      <c r="DC307" s="32"/>
      <c r="DD307" s="33"/>
      <c r="DE307" s="33"/>
      <c r="DF307" s="33"/>
      <c r="DG307" s="33"/>
      <c r="DH307" s="33"/>
      <c r="DI307" s="33"/>
      <c r="DJ307" s="33"/>
      <c r="DK307" s="33"/>
      <c r="DL307" s="33"/>
      <c r="DM307" s="33"/>
      <c r="DN307" s="33"/>
      <c r="DO307" s="31"/>
      <c r="DP307" s="32"/>
      <c r="DQ307" s="33"/>
      <c r="DR307" s="33"/>
      <c r="DS307" s="33"/>
      <c r="DT307" s="33"/>
      <c r="DU307" s="33"/>
      <c r="DV307" s="33"/>
      <c r="DW307" s="33"/>
      <c r="DX307" s="33"/>
      <c r="DY307" s="33"/>
      <c r="DZ307" s="33"/>
      <c r="EA307" s="33"/>
      <c r="EB307" s="31"/>
      <c r="EC307" s="32"/>
      <c r="ED307" s="33"/>
      <c r="EE307" s="33"/>
      <c r="EF307" s="33"/>
      <c r="EG307" s="33"/>
      <c r="EH307" s="33"/>
      <c r="EI307" s="33"/>
      <c r="EJ307" s="33"/>
      <c r="EK307" s="33"/>
      <c r="EL307" s="33"/>
      <c r="EM307" s="33"/>
      <c r="EN307" s="33"/>
      <c r="EO307" s="31"/>
      <c r="EP307" s="32"/>
      <c r="EQ307" s="33"/>
      <c r="ER307" s="33"/>
      <c r="ES307" s="33"/>
      <c r="ET307" s="33"/>
      <c r="EU307" s="33"/>
      <c r="EV307" s="33"/>
      <c r="EW307" s="33"/>
      <c r="EX307" s="33"/>
      <c r="EY307" s="33"/>
      <c r="EZ307" s="33"/>
      <c r="FA307" s="33"/>
      <c r="FB307" s="31"/>
      <c r="FC307" s="32"/>
      <c r="FD307" s="33"/>
      <c r="FE307" s="33"/>
      <c r="FF307" s="33"/>
      <c r="FG307" s="33"/>
      <c r="FH307" s="33"/>
      <c r="FI307" s="33"/>
      <c r="FJ307" s="33"/>
      <c r="FK307" s="33"/>
      <c r="FL307" s="33"/>
      <c r="FM307" s="33"/>
      <c r="FN307" s="33"/>
      <c r="FO307" s="34">
        <f t="shared" ref="FO307:FV307" si="300">IFERROR(R307*1,0)+IFERROR(AE307*1,0)+IFERROR(AR307*1,0)+IFERROR(BE307*1,0)+IFERROR(BR307*1,0)+IFERROR(CE307*1,0)+IFERROR(CR307*1,0)+IFERROR(DE307*1,0)+IFERROR(DR307*1,0)+IFERROR(EE307*1,0)+IFERROR(ER307*1,0)+IFERROR(FE307*1,0)</f>
        <v>0</v>
      </c>
      <c r="FP307" s="34">
        <f t="shared" si="300"/>
        <v>0</v>
      </c>
      <c r="FQ307" s="34">
        <f t="shared" si="300"/>
        <v>0</v>
      </c>
      <c r="FR307" s="34">
        <f t="shared" si="300"/>
        <v>0</v>
      </c>
      <c r="FS307" s="34">
        <f t="shared" si="300"/>
        <v>0</v>
      </c>
      <c r="FT307" s="34">
        <f t="shared" si="300"/>
        <v>0</v>
      </c>
      <c r="FU307" s="34">
        <f t="shared" si="300"/>
        <v>0</v>
      </c>
      <c r="FV307" s="34">
        <f t="shared" si="300"/>
        <v>0</v>
      </c>
      <c r="FW307" s="28"/>
      <c r="FX307" s="29">
        <f t="shared" si="3"/>
        <v>0</v>
      </c>
    </row>
    <row r="308" spans="1:180" ht="18" customHeight="1" x14ac:dyDescent="0.25">
      <c r="A308" s="3" t="str">
        <f>IF(C308&lt;&gt;"","DRG-"&amp;TEXT(303,"000"),"")</f>
        <v/>
      </c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38">
        <v>4</v>
      </c>
      <c r="M308" s="23" t="str">
        <f t="shared" si="0"/>
        <v>✘ Pending</v>
      </c>
      <c r="N308" s="23">
        <f t="shared" si="1"/>
        <v>0</v>
      </c>
      <c r="O308" s="25"/>
      <c r="P308" s="26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  <c r="AB308" s="25"/>
      <c r="AC308" s="26"/>
      <c r="AD308" s="24"/>
      <c r="AE308" s="24"/>
      <c r="AF308" s="24"/>
      <c r="AG308" s="24"/>
      <c r="AH308" s="24"/>
      <c r="AI308" s="24"/>
      <c r="AJ308" s="24"/>
      <c r="AK308" s="24"/>
      <c r="AL308" s="24"/>
      <c r="AM308" s="24"/>
      <c r="AN308" s="24"/>
      <c r="AO308" s="25"/>
      <c r="AP308" s="26"/>
      <c r="AQ308" s="24"/>
      <c r="AR308" s="24"/>
      <c r="AS308" s="24"/>
      <c r="AT308" s="24"/>
      <c r="AU308" s="24"/>
      <c r="AV308" s="24"/>
      <c r="AW308" s="24"/>
      <c r="AX308" s="24"/>
      <c r="AY308" s="24"/>
      <c r="AZ308" s="24"/>
      <c r="BA308" s="24"/>
      <c r="BB308" s="25"/>
      <c r="BC308" s="26"/>
      <c r="BD308" s="24"/>
      <c r="BE308" s="24"/>
      <c r="BF308" s="24"/>
      <c r="BG308" s="24"/>
      <c r="BH308" s="24"/>
      <c r="BI308" s="24"/>
      <c r="BJ308" s="24"/>
      <c r="BK308" s="24"/>
      <c r="BL308" s="24"/>
      <c r="BM308" s="24"/>
      <c r="BN308" s="24"/>
      <c r="BO308" s="25"/>
      <c r="BP308" s="26"/>
      <c r="BQ308" s="24"/>
      <c r="BR308" s="24"/>
      <c r="BS308" s="24"/>
      <c r="BT308" s="24"/>
      <c r="BU308" s="24"/>
      <c r="BV308" s="24"/>
      <c r="BW308" s="24"/>
      <c r="BX308" s="24"/>
      <c r="BY308" s="24"/>
      <c r="BZ308" s="24"/>
      <c r="CA308" s="24"/>
      <c r="CB308" s="25"/>
      <c r="CC308" s="26"/>
      <c r="CD308" s="24"/>
      <c r="CE308" s="24"/>
      <c r="CF308" s="24"/>
      <c r="CG308" s="24"/>
      <c r="CH308" s="24"/>
      <c r="CI308" s="24"/>
      <c r="CJ308" s="24"/>
      <c r="CK308" s="24"/>
      <c r="CL308" s="24"/>
      <c r="CM308" s="24"/>
      <c r="CN308" s="24"/>
      <c r="CO308" s="25"/>
      <c r="CP308" s="26"/>
      <c r="CQ308" s="24"/>
      <c r="CR308" s="24"/>
      <c r="CS308" s="24"/>
      <c r="CT308" s="24"/>
      <c r="CU308" s="24"/>
      <c r="CV308" s="24"/>
      <c r="CW308" s="24"/>
      <c r="CX308" s="24"/>
      <c r="CY308" s="24"/>
      <c r="CZ308" s="24"/>
      <c r="DA308" s="24"/>
      <c r="DB308" s="25"/>
      <c r="DC308" s="26"/>
      <c r="DD308" s="24"/>
      <c r="DE308" s="24"/>
      <c r="DF308" s="24"/>
      <c r="DG308" s="24"/>
      <c r="DH308" s="24"/>
      <c r="DI308" s="24"/>
      <c r="DJ308" s="24"/>
      <c r="DK308" s="24"/>
      <c r="DL308" s="24"/>
      <c r="DM308" s="24"/>
      <c r="DN308" s="24"/>
      <c r="DO308" s="25"/>
      <c r="DP308" s="26"/>
      <c r="DQ308" s="24"/>
      <c r="DR308" s="24"/>
      <c r="DS308" s="24"/>
      <c r="DT308" s="24"/>
      <c r="DU308" s="24"/>
      <c r="DV308" s="24"/>
      <c r="DW308" s="24"/>
      <c r="DX308" s="24"/>
      <c r="DY308" s="24"/>
      <c r="DZ308" s="24"/>
      <c r="EA308" s="24"/>
      <c r="EB308" s="25"/>
      <c r="EC308" s="26"/>
      <c r="ED308" s="24"/>
      <c r="EE308" s="24"/>
      <c r="EF308" s="24"/>
      <c r="EG308" s="24"/>
      <c r="EH308" s="24"/>
      <c r="EI308" s="24"/>
      <c r="EJ308" s="24"/>
      <c r="EK308" s="24"/>
      <c r="EL308" s="24"/>
      <c r="EM308" s="24"/>
      <c r="EN308" s="24"/>
      <c r="EO308" s="25"/>
      <c r="EP308" s="26"/>
      <c r="EQ308" s="24"/>
      <c r="ER308" s="24"/>
      <c r="ES308" s="24"/>
      <c r="ET308" s="24"/>
      <c r="EU308" s="24"/>
      <c r="EV308" s="24"/>
      <c r="EW308" s="24"/>
      <c r="EX308" s="24"/>
      <c r="EY308" s="24"/>
      <c r="EZ308" s="24"/>
      <c r="FA308" s="24"/>
      <c r="FB308" s="25"/>
      <c r="FC308" s="26"/>
      <c r="FD308" s="24"/>
      <c r="FE308" s="24"/>
      <c r="FF308" s="24"/>
      <c r="FG308" s="24"/>
      <c r="FH308" s="24"/>
      <c r="FI308" s="24"/>
      <c r="FJ308" s="24"/>
      <c r="FK308" s="24"/>
      <c r="FL308" s="24"/>
      <c r="FM308" s="24"/>
      <c r="FN308" s="24"/>
      <c r="FO308" s="27">
        <f t="shared" ref="FO308:FV308" si="301">IFERROR(R308*1,0)+IFERROR(AE308*1,0)+IFERROR(AR308*1,0)+IFERROR(BE308*1,0)+IFERROR(BR308*1,0)+IFERROR(CE308*1,0)+IFERROR(CR308*1,0)+IFERROR(DE308*1,0)+IFERROR(DR308*1,0)+IFERROR(EE308*1,0)+IFERROR(ER308*1,0)+IFERROR(FE308*1,0)</f>
        <v>0</v>
      </c>
      <c r="FP308" s="27">
        <f t="shared" si="301"/>
        <v>0</v>
      </c>
      <c r="FQ308" s="27">
        <f t="shared" si="301"/>
        <v>0</v>
      </c>
      <c r="FR308" s="27">
        <f t="shared" si="301"/>
        <v>0</v>
      </c>
      <c r="FS308" s="27">
        <f t="shared" si="301"/>
        <v>0</v>
      </c>
      <c r="FT308" s="27">
        <f t="shared" si="301"/>
        <v>0</v>
      </c>
      <c r="FU308" s="27">
        <f t="shared" si="301"/>
        <v>0</v>
      </c>
      <c r="FV308" s="27">
        <f t="shared" si="301"/>
        <v>0</v>
      </c>
      <c r="FW308" s="28"/>
      <c r="FX308" s="29">
        <f t="shared" si="3"/>
        <v>0</v>
      </c>
    </row>
    <row r="309" spans="1:180" ht="18" customHeight="1" x14ac:dyDescent="0.25">
      <c r="A309" s="3" t="str">
        <f>IF(C309&lt;&gt;"","DRG-"&amp;TEXT(304,"000"),"")</f>
        <v/>
      </c>
      <c r="B309" s="33"/>
      <c r="C309" s="33"/>
      <c r="D309" s="33"/>
      <c r="E309" s="33"/>
      <c r="F309" s="33"/>
      <c r="G309" s="33"/>
      <c r="H309" s="33"/>
      <c r="I309" s="33"/>
      <c r="J309" s="33"/>
      <c r="K309" s="33"/>
      <c r="L309" s="37">
        <v>4</v>
      </c>
      <c r="M309" s="30" t="str">
        <f t="shared" si="0"/>
        <v>✘ Pending</v>
      </c>
      <c r="N309" s="30">
        <f t="shared" si="1"/>
        <v>0</v>
      </c>
      <c r="O309" s="31"/>
      <c r="P309" s="32"/>
      <c r="Q309" s="33"/>
      <c r="R309" s="33"/>
      <c r="S309" s="33"/>
      <c r="T309" s="33"/>
      <c r="U309" s="33"/>
      <c r="V309" s="33"/>
      <c r="W309" s="33"/>
      <c r="X309" s="33"/>
      <c r="Y309" s="33"/>
      <c r="Z309" s="33"/>
      <c r="AA309" s="33"/>
      <c r="AB309" s="31"/>
      <c r="AC309" s="32"/>
      <c r="AD309" s="33"/>
      <c r="AE309" s="33"/>
      <c r="AF309" s="33"/>
      <c r="AG309" s="33"/>
      <c r="AH309" s="33"/>
      <c r="AI309" s="33"/>
      <c r="AJ309" s="33"/>
      <c r="AK309" s="33"/>
      <c r="AL309" s="33"/>
      <c r="AM309" s="33"/>
      <c r="AN309" s="33"/>
      <c r="AO309" s="31"/>
      <c r="AP309" s="32"/>
      <c r="AQ309" s="33"/>
      <c r="AR309" s="33"/>
      <c r="AS309" s="33"/>
      <c r="AT309" s="33"/>
      <c r="AU309" s="33"/>
      <c r="AV309" s="33"/>
      <c r="AW309" s="33"/>
      <c r="AX309" s="33"/>
      <c r="AY309" s="33"/>
      <c r="AZ309" s="33"/>
      <c r="BA309" s="33"/>
      <c r="BB309" s="31"/>
      <c r="BC309" s="32"/>
      <c r="BD309" s="33"/>
      <c r="BE309" s="33"/>
      <c r="BF309" s="33"/>
      <c r="BG309" s="33"/>
      <c r="BH309" s="33"/>
      <c r="BI309" s="33"/>
      <c r="BJ309" s="33"/>
      <c r="BK309" s="33"/>
      <c r="BL309" s="33"/>
      <c r="BM309" s="33"/>
      <c r="BN309" s="33"/>
      <c r="BO309" s="31"/>
      <c r="BP309" s="32"/>
      <c r="BQ309" s="33"/>
      <c r="BR309" s="33"/>
      <c r="BS309" s="33"/>
      <c r="BT309" s="33"/>
      <c r="BU309" s="33"/>
      <c r="BV309" s="33"/>
      <c r="BW309" s="33"/>
      <c r="BX309" s="33"/>
      <c r="BY309" s="33"/>
      <c r="BZ309" s="33"/>
      <c r="CA309" s="33"/>
      <c r="CB309" s="31"/>
      <c r="CC309" s="32"/>
      <c r="CD309" s="33"/>
      <c r="CE309" s="33"/>
      <c r="CF309" s="33"/>
      <c r="CG309" s="33"/>
      <c r="CH309" s="33"/>
      <c r="CI309" s="33"/>
      <c r="CJ309" s="33"/>
      <c r="CK309" s="33"/>
      <c r="CL309" s="33"/>
      <c r="CM309" s="33"/>
      <c r="CN309" s="33"/>
      <c r="CO309" s="31"/>
      <c r="CP309" s="32"/>
      <c r="CQ309" s="33"/>
      <c r="CR309" s="33"/>
      <c r="CS309" s="33"/>
      <c r="CT309" s="33"/>
      <c r="CU309" s="33"/>
      <c r="CV309" s="33"/>
      <c r="CW309" s="33"/>
      <c r="CX309" s="33"/>
      <c r="CY309" s="33"/>
      <c r="CZ309" s="33"/>
      <c r="DA309" s="33"/>
      <c r="DB309" s="31"/>
      <c r="DC309" s="32"/>
      <c r="DD309" s="33"/>
      <c r="DE309" s="33"/>
      <c r="DF309" s="33"/>
      <c r="DG309" s="33"/>
      <c r="DH309" s="33"/>
      <c r="DI309" s="33"/>
      <c r="DJ309" s="33"/>
      <c r="DK309" s="33"/>
      <c r="DL309" s="33"/>
      <c r="DM309" s="33"/>
      <c r="DN309" s="33"/>
      <c r="DO309" s="31"/>
      <c r="DP309" s="32"/>
      <c r="DQ309" s="33"/>
      <c r="DR309" s="33"/>
      <c r="DS309" s="33"/>
      <c r="DT309" s="33"/>
      <c r="DU309" s="33"/>
      <c r="DV309" s="33"/>
      <c r="DW309" s="33"/>
      <c r="DX309" s="33"/>
      <c r="DY309" s="33"/>
      <c r="DZ309" s="33"/>
      <c r="EA309" s="33"/>
      <c r="EB309" s="31"/>
      <c r="EC309" s="32"/>
      <c r="ED309" s="33"/>
      <c r="EE309" s="33"/>
      <c r="EF309" s="33"/>
      <c r="EG309" s="33"/>
      <c r="EH309" s="33"/>
      <c r="EI309" s="33"/>
      <c r="EJ309" s="33"/>
      <c r="EK309" s="33"/>
      <c r="EL309" s="33"/>
      <c r="EM309" s="33"/>
      <c r="EN309" s="33"/>
      <c r="EO309" s="31"/>
      <c r="EP309" s="32"/>
      <c r="EQ309" s="33"/>
      <c r="ER309" s="33"/>
      <c r="ES309" s="33"/>
      <c r="ET309" s="33"/>
      <c r="EU309" s="33"/>
      <c r="EV309" s="33"/>
      <c r="EW309" s="33"/>
      <c r="EX309" s="33"/>
      <c r="EY309" s="33"/>
      <c r="EZ309" s="33"/>
      <c r="FA309" s="33"/>
      <c r="FB309" s="31"/>
      <c r="FC309" s="32"/>
      <c r="FD309" s="33"/>
      <c r="FE309" s="33"/>
      <c r="FF309" s="33"/>
      <c r="FG309" s="33"/>
      <c r="FH309" s="33"/>
      <c r="FI309" s="33"/>
      <c r="FJ309" s="33"/>
      <c r="FK309" s="33"/>
      <c r="FL309" s="33"/>
      <c r="FM309" s="33"/>
      <c r="FN309" s="33"/>
      <c r="FO309" s="34">
        <f t="shared" ref="FO309:FV309" si="302">IFERROR(R309*1,0)+IFERROR(AE309*1,0)+IFERROR(AR309*1,0)+IFERROR(BE309*1,0)+IFERROR(BR309*1,0)+IFERROR(CE309*1,0)+IFERROR(CR309*1,0)+IFERROR(DE309*1,0)+IFERROR(DR309*1,0)+IFERROR(EE309*1,0)+IFERROR(ER309*1,0)+IFERROR(FE309*1,0)</f>
        <v>0</v>
      </c>
      <c r="FP309" s="34">
        <f t="shared" si="302"/>
        <v>0</v>
      </c>
      <c r="FQ309" s="34">
        <f t="shared" si="302"/>
        <v>0</v>
      </c>
      <c r="FR309" s="34">
        <f t="shared" si="302"/>
        <v>0</v>
      </c>
      <c r="FS309" s="34">
        <f t="shared" si="302"/>
        <v>0</v>
      </c>
      <c r="FT309" s="34">
        <f t="shared" si="302"/>
        <v>0</v>
      </c>
      <c r="FU309" s="34">
        <f t="shared" si="302"/>
        <v>0</v>
      </c>
      <c r="FV309" s="34">
        <f t="shared" si="302"/>
        <v>0</v>
      </c>
      <c r="FW309" s="28"/>
      <c r="FX309" s="29">
        <f t="shared" si="3"/>
        <v>0</v>
      </c>
    </row>
    <row r="310" spans="1:180" ht="18" customHeight="1" x14ac:dyDescent="0.25">
      <c r="A310" s="3" t="str">
        <f>IF(C310&lt;&gt;"","DRG-"&amp;TEXT(305,"000"),"")</f>
        <v/>
      </c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38">
        <v>4</v>
      </c>
      <c r="M310" s="23" t="str">
        <f t="shared" si="0"/>
        <v>✘ Pending</v>
      </c>
      <c r="N310" s="23">
        <f t="shared" si="1"/>
        <v>0</v>
      </c>
      <c r="O310" s="25"/>
      <c r="P310" s="26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  <c r="AB310" s="25"/>
      <c r="AC310" s="26"/>
      <c r="AD310" s="24"/>
      <c r="AE310" s="24"/>
      <c r="AF310" s="24"/>
      <c r="AG310" s="24"/>
      <c r="AH310" s="24"/>
      <c r="AI310" s="24"/>
      <c r="AJ310" s="24"/>
      <c r="AK310" s="24"/>
      <c r="AL310" s="24"/>
      <c r="AM310" s="24"/>
      <c r="AN310" s="24"/>
      <c r="AO310" s="25"/>
      <c r="AP310" s="26"/>
      <c r="AQ310" s="24"/>
      <c r="AR310" s="24"/>
      <c r="AS310" s="24"/>
      <c r="AT310" s="24"/>
      <c r="AU310" s="24"/>
      <c r="AV310" s="24"/>
      <c r="AW310" s="24"/>
      <c r="AX310" s="24"/>
      <c r="AY310" s="24"/>
      <c r="AZ310" s="24"/>
      <c r="BA310" s="24"/>
      <c r="BB310" s="25"/>
      <c r="BC310" s="26"/>
      <c r="BD310" s="24"/>
      <c r="BE310" s="24"/>
      <c r="BF310" s="24"/>
      <c r="BG310" s="24"/>
      <c r="BH310" s="24"/>
      <c r="BI310" s="24"/>
      <c r="BJ310" s="24"/>
      <c r="BK310" s="24"/>
      <c r="BL310" s="24"/>
      <c r="BM310" s="24"/>
      <c r="BN310" s="24"/>
      <c r="BO310" s="25"/>
      <c r="BP310" s="26"/>
      <c r="BQ310" s="24"/>
      <c r="BR310" s="24"/>
      <c r="BS310" s="24"/>
      <c r="BT310" s="24"/>
      <c r="BU310" s="24"/>
      <c r="BV310" s="24"/>
      <c r="BW310" s="24"/>
      <c r="BX310" s="24"/>
      <c r="BY310" s="24"/>
      <c r="BZ310" s="24"/>
      <c r="CA310" s="24"/>
      <c r="CB310" s="25"/>
      <c r="CC310" s="26"/>
      <c r="CD310" s="24"/>
      <c r="CE310" s="24"/>
      <c r="CF310" s="24"/>
      <c r="CG310" s="24"/>
      <c r="CH310" s="24"/>
      <c r="CI310" s="24"/>
      <c r="CJ310" s="24"/>
      <c r="CK310" s="24"/>
      <c r="CL310" s="24"/>
      <c r="CM310" s="24"/>
      <c r="CN310" s="24"/>
      <c r="CO310" s="25"/>
      <c r="CP310" s="26"/>
      <c r="CQ310" s="24"/>
      <c r="CR310" s="24"/>
      <c r="CS310" s="24"/>
      <c r="CT310" s="24"/>
      <c r="CU310" s="24"/>
      <c r="CV310" s="24"/>
      <c r="CW310" s="24"/>
      <c r="CX310" s="24"/>
      <c r="CY310" s="24"/>
      <c r="CZ310" s="24"/>
      <c r="DA310" s="24"/>
      <c r="DB310" s="25"/>
      <c r="DC310" s="26"/>
      <c r="DD310" s="24"/>
      <c r="DE310" s="24"/>
      <c r="DF310" s="24"/>
      <c r="DG310" s="24"/>
      <c r="DH310" s="24"/>
      <c r="DI310" s="24"/>
      <c r="DJ310" s="24"/>
      <c r="DK310" s="24"/>
      <c r="DL310" s="24"/>
      <c r="DM310" s="24"/>
      <c r="DN310" s="24"/>
      <c r="DO310" s="25"/>
      <c r="DP310" s="26"/>
      <c r="DQ310" s="24"/>
      <c r="DR310" s="24"/>
      <c r="DS310" s="24"/>
      <c r="DT310" s="24"/>
      <c r="DU310" s="24"/>
      <c r="DV310" s="24"/>
      <c r="DW310" s="24"/>
      <c r="DX310" s="24"/>
      <c r="DY310" s="24"/>
      <c r="DZ310" s="24"/>
      <c r="EA310" s="24"/>
      <c r="EB310" s="25"/>
      <c r="EC310" s="26"/>
      <c r="ED310" s="24"/>
      <c r="EE310" s="24"/>
      <c r="EF310" s="24"/>
      <c r="EG310" s="24"/>
      <c r="EH310" s="24"/>
      <c r="EI310" s="24"/>
      <c r="EJ310" s="24"/>
      <c r="EK310" s="24"/>
      <c r="EL310" s="24"/>
      <c r="EM310" s="24"/>
      <c r="EN310" s="24"/>
      <c r="EO310" s="25"/>
      <c r="EP310" s="26"/>
      <c r="EQ310" s="24"/>
      <c r="ER310" s="24"/>
      <c r="ES310" s="24"/>
      <c r="ET310" s="24"/>
      <c r="EU310" s="24"/>
      <c r="EV310" s="24"/>
      <c r="EW310" s="24"/>
      <c r="EX310" s="24"/>
      <c r="EY310" s="24"/>
      <c r="EZ310" s="24"/>
      <c r="FA310" s="24"/>
      <c r="FB310" s="25"/>
      <c r="FC310" s="26"/>
      <c r="FD310" s="24"/>
      <c r="FE310" s="24"/>
      <c r="FF310" s="24"/>
      <c r="FG310" s="24"/>
      <c r="FH310" s="24"/>
      <c r="FI310" s="24"/>
      <c r="FJ310" s="24"/>
      <c r="FK310" s="24"/>
      <c r="FL310" s="24"/>
      <c r="FM310" s="24"/>
      <c r="FN310" s="24"/>
      <c r="FO310" s="27">
        <f t="shared" ref="FO310:FV310" si="303">IFERROR(R310*1,0)+IFERROR(AE310*1,0)+IFERROR(AR310*1,0)+IFERROR(BE310*1,0)+IFERROR(BR310*1,0)+IFERROR(CE310*1,0)+IFERROR(CR310*1,0)+IFERROR(DE310*1,0)+IFERROR(DR310*1,0)+IFERROR(EE310*1,0)+IFERROR(ER310*1,0)+IFERROR(FE310*1,0)</f>
        <v>0</v>
      </c>
      <c r="FP310" s="27">
        <f t="shared" si="303"/>
        <v>0</v>
      </c>
      <c r="FQ310" s="27">
        <f t="shared" si="303"/>
        <v>0</v>
      </c>
      <c r="FR310" s="27">
        <f t="shared" si="303"/>
        <v>0</v>
      </c>
      <c r="FS310" s="27">
        <f t="shared" si="303"/>
        <v>0</v>
      </c>
      <c r="FT310" s="27">
        <f t="shared" si="303"/>
        <v>0</v>
      </c>
      <c r="FU310" s="27">
        <f t="shared" si="303"/>
        <v>0</v>
      </c>
      <c r="FV310" s="27">
        <f t="shared" si="303"/>
        <v>0</v>
      </c>
      <c r="FW310" s="28"/>
      <c r="FX310" s="29">
        <f t="shared" si="3"/>
        <v>0</v>
      </c>
    </row>
    <row r="311" spans="1:180" ht="18" customHeight="1" x14ac:dyDescent="0.25">
      <c r="A311" s="3" t="str">
        <f>IF(C311&lt;&gt;"","DRG-"&amp;TEXT(306,"000"),"")</f>
        <v/>
      </c>
      <c r="B311" s="33"/>
      <c r="C311" s="33"/>
      <c r="D311" s="33"/>
      <c r="E311" s="33"/>
      <c r="F311" s="33"/>
      <c r="G311" s="33"/>
      <c r="H311" s="33"/>
      <c r="I311" s="33"/>
      <c r="J311" s="33"/>
      <c r="K311" s="33"/>
      <c r="L311" s="37">
        <v>4</v>
      </c>
      <c r="M311" s="30" t="str">
        <f t="shared" si="0"/>
        <v>✘ Pending</v>
      </c>
      <c r="N311" s="30">
        <f t="shared" si="1"/>
        <v>0</v>
      </c>
      <c r="O311" s="31"/>
      <c r="P311" s="32"/>
      <c r="Q311" s="33"/>
      <c r="R311" s="33"/>
      <c r="S311" s="33"/>
      <c r="T311" s="33"/>
      <c r="U311" s="33"/>
      <c r="V311" s="33"/>
      <c r="W311" s="33"/>
      <c r="X311" s="33"/>
      <c r="Y311" s="33"/>
      <c r="Z311" s="33"/>
      <c r="AA311" s="33"/>
      <c r="AB311" s="31"/>
      <c r="AC311" s="32"/>
      <c r="AD311" s="33"/>
      <c r="AE311" s="33"/>
      <c r="AF311" s="33"/>
      <c r="AG311" s="33"/>
      <c r="AH311" s="33"/>
      <c r="AI311" s="33"/>
      <c r="AJ311" s="33"/>
      <c r="AK311" s="33"/>
      <c r="AL311" s="33"/>
      <c r="AM311" s="33"/>
      <c r="AN311" s="33"/>
      <c r="AO311" s="31"/>
      <c r="AP311" s="32"/>
      <c r="AQ311" s="33"/>
      <c r="AR311" s="33"/>
      <c r="AS311" s="33"/>
      <c r="AT311" s="33"/>
      <c r="AU311" s="33"/>
      <c r="AV311" s="33"/>
      <c r="AW311" s="33"/>
      <c r="AX311" s="33"/>
      <c r="AY311" s="33"/>
      <c r="AZ311" s="33"/>
      <c r="BA311" s="33"/>
      <c r="BB311" s="31"/>
      <c r="BC311" s="32"/>
      <c r="BD311" s="33"/>
      <c r="BE311" s="33"/>
      <c r="BF311" s="33"/>
      <c r="BG311" s="33"/>
      <c r="BH311" s="33"/>
      <c r="BI311" s="33"/>
      <c r="BJ311" s="33"/>
      <c r="BK311" s="33"/>
      <c r="BL311" s="33"/>
      <c r="BM311" s="33"/>
      <c r="BN311" s="33"/>
      <c r="BO311" s="31"/>
      <c r="BP311" s="32"/>
      <c r="BQ311" s="33"/>
      <c r="BR311" s="33"/>
      <c r="BS311" s="33"/>
      <c r="BT311" s="33"/>
      <c r="BU311" s="33"/>
      <c r="BV311" s="33"/>
      <c r="BW311" s="33"/>
      <c r="BX311" s="33"/>
      <c r="BY311" s="33"/>
      <c r="BZ311" s="33"/>
      <c r="CA311" s="33"/>
      <c r="CB311" s="31"/>
      <c r="CC311" s="32"/>
      <c r="CD311" s="33"/>
      <c r="CE311" s="33"/>
      <c r="CF311" s="33"/>
      <c r="CG311" s="33"/>
      <c r="CH311" s="33"/>
      <c r="CI311" s="33"/>
      <c r="CJ311" s="33"/>
      <c r="CK311" s="33"/>
      <c r="CL311" s="33"/>
      <c r="CM311" s="33"/>
      <c r="CN311" s="33"/>
      <c r="CO311" s="31"/>
      <c r="CP311" s="32"/>
      <c r="CQ311" s="33"/>
      <c r="CR311" s="33"/>
      <c r="CS311" s="33"/>
      <c r="CT311" s="33"/>
      <c r="CU311" s="33"/>
      <c r="CV311" s="33"/>
      <c r="CW311" s="33"/>
      <c r="CX311" s="33"/>
      <c r="CY311" s="33"/>
      <c r="CZ311" s="33"/>
      <c r="DA311" s="33"/>
      <c r="DB311" s="31"/>
      <c r="DC311" s="32"/>
      <c r="DD311" s="33"/>
      <c r="DE311" s="33"/>
      <c r="DF311" s="33"/>
      <c r="DG311" s="33"/>
      <c r="DH311" s="33"/>
      <c r="DI311" s="33"/>
      <c r="DJ311" s="33"/>
      <c r="DK311" s="33"/>
      <c r="DL311" s="33"/>
      <c r="DM311" s="33"/>
      <c r="DN311" s="33"/>
      <c r="DO311" s="31"/>
      <c r="DP311" s="32"/>
      <c r="DQ311" s="33"/>
      <c r="DR311" s="33"/>
      <c r="DS311" s="33"/>
      <c r="DT311" s="33"/>
      <c r="DU311" s="33"/>
      <c r="DV311" s="33"/>
      <c r="DW311" s="33"/>
      <c r="DX311" s="33"/>
      <c r="DY311" s="33"/>
      <c r="DZ311" s="33"/>
      <c r="EA311" s="33"/>
      <c r="EB311" s="31"/>
      <c r="EC311" s="32"/>
      <c r="ED311" s="33"/>
      <c r="EE311" s="33"/>
      <c r="EF311" s="33"/>
      <c r="EG311" s="33"/>
      <c r="EH311" s="33"/>
      <c r="EI311" s="33"/>
      <c r="EJ311" s="33"/>
      <c r="EK311" s="33"/>
      <c r="EL311" s="33"/>
      <c r="EM311" s="33"/>
      <c r="EN311" s="33"/>
      <c r="EO311" s="31"/>
      <c r="EP311" s="32"/>
      <c r="EQ311" s="33"/>
      <c r="ER311" s="33"/>
      <c r="ES311" s="33"/>
      <c r="ET311" s="33"/>
      <c r="EU311" s="33"/>
      <c r="EV311" s="33"/>
      <c r="EW311" s="33"/>
      <c r="EX311" s="33"/>
      <c r="EY311" s="33"/>
      <c r="EZ311" s="33"/>
      <c r="FA311" s="33"/>
      <c r="FB311" s="31"/>
      <c r="FC311" s="32"/>
      <c r="FD311" s="33"/>
      <c r="FE311" s="33"/>
      <c r="FF311" s="33"/>
      <c r="FG311" s="33"/>
      <c r="FH311" s="33"/>
      <c r="FI311" s="33"/>
      <c r="FJ311" s="33"/>
      <c r="FK311" s="33"/>
      <c r="FL311" s="33"/>
      <c r="FM311" s="33"/>
      <c r="FN311" s="33"/>
      <c r="FO311" s="34">
        <f t="shared" ref="FO311:FV311" si="304">IFERROR(R311*1,0)+IFERROR(AE311*1,0)+IFERROR(AR311*1,0)+IFERROR(BE311*1,0)+IFERROR(BR311*1,0)+IFERROR(CE311*1,0)+IFERROR(CR311*1,0)+IFERROR(DE311*1,0)+IFERROR(DR311*1,0)+IFERROR(EE311*1,0)+IFERROR(ER311*1,0)+IFERROR(FE311*1,0)</f>
        <v>0</v>
      </c>
      <c r="FP311" s="34">
        <f t="shared" si="304"/>
        <v>0</v>
      </c>
      <c r="FQ311" s="34">
        <f t="shared" si="304"/>
        <v>0</v>
      </c>
      <c r="FR311" s="34">
        <f t="shared" si="304"/>
        <v>0</v>
      </c>
      <c r="FS311" s="34">
        <f t="shared" si="304"/>
        <v>0</v>
      </c>
      <c r="FT311" s="34">
        <f t="shared" si="304"/>
        <v>0</v>
      </c>
      <c r="FU311" s="34">
        <f t="shared" si="304"/>
        <v>0</v>
      </c>
      <c r="FV311" s="34">
        <f t="shared" si="304"/>
        <v>0</v>
      </c>
      <c r="FW311" s="28"/>
      <c r="FX311" s="29">
        <f t="shared" si="3"/>
        <v>0</v>
      </c>
    </row>
    <row r="312" spans="1:180" ht="18" customHeight="1" x14ac:dyDescent="0.25">
      <c r="A312" s="3" t="str">
        <f>IF(C312&lt;&gt;"","DRG-"&amp;TEXT(307,"000"),"")</f>
        <v/>
      </c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38">
        <v>4</v>
      </c>
      <c r="M312" s="23" t="str">
        <f t="shared" si="0"/>
        <v>✘ Pending</v>
      </c>
      <c r="N312" s="23">
        <f t="shared" si="1"/>
        <v>0</v>
      </c>
      <c r="O312" s="25"/>
      <c r="P312" s="26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  <c r="AB312" s="25"/>
      <c r="AC312" s="26"/>
      <c r="AD312" s="24"/>
      <c r="AE312" s="24"/>
      <c r="AF312" s="24"/>
      <c r="AG312" s="24"/>
      <c r="AH312" s="24"/>
      <c r="AI312" s="24"/>
      <c r="AJ312" s="24"/>
      <c r="AK312" s="24"/>
      <c r="AL312" s="24"/>
      <c r="AM312" s="24"/>
      <c r="AN312" s="24"/>
      <c r="AO312" s="25"/>
      <c r="AP312" s="26"/>
      <c r="AQ312" s="24"/>
      <c r="AR312" s="24"/>
      <c r="AS312" s="24"/>
      <c r="AT312" s="24"/>
      <c r="AU312" s="24"/>
      <c r="AV312" s="24"/>
      <c r="AW312" s="24"/>
      <c r="AX312" s="24"/>
      <c r="AY312" s="24"/>
      <c r="AZ312" s="24"/>
      <c r="BA312" s="24"/>
      <c r="BB312" s="25"/>
      <c r="BC312" s="26"/>
      <c r="BD312" s="24"/>
      <c r="BE312" s="24"/>
      <c r="BF312" s="24"/>
      <c r="BG312" s="24"/>
      <c r="BH312" s="24"/>
      <c r="BI312" s="24"/>
      <c r="BJ312" s="24"/>
      <c r="BK312" s="24"/>
      <c r="BL312" s="24"/>
      <c r="BM312" s="24"/>
      <c r="BN312" s="24"/>
      <c r="BO312" s="25"/>
      <c r="BP312" s="26"/>
      <c r="BQ312" s="24"/>
      <c r="BR312" s="24"/>
      <c r="BS312" s="24"/>
      <c r="BT312" s="24"/>
      <c r="BU312" s="24"/>
      <c r="BV312" s="24"/>
      <c r="BW312" s="24"/>
      <c r="BX312" s="24"/>
      <c r="BY312" s="24"/>
      <c r="BZ312" s="24"/>
      <c r="CA312" s="24"/>
      <c r="CB312" s="25"/>
      <c r="CC312" s="26"/>
      <c r="CD312" s="24"/>
      <c r="CE312" s="24"/>
      <c r="CF312" s="24"/>
      <c r="CG312" s="24"/>
      <c r="CH312" s="24"/>
      <c r="CI312" s="24"/>
      <c r="CJ312" s="24"/>
      <c r="CK312" s="24"/>
      <c r="CL312" s="24"/>
      <c r="CM312" s="24"/>
      <c r="CN312" s="24"/>
      <c r="CO312" s="25"/>
      <c r="CP312" s="26"/>
      <c r="CQ312" s="24"/>
      <c r="CR312" s="24"/>
      <c r="CS312" s="24"/>
      <c r="CT312" s="24"/>
      <c r="CU312" s="24"/>
      <c r="CV312" s="24"/>
      <c r="CW312" s="24"/>
      <c r="CX312" s="24"/>
      <c r="CY312" s="24"/>
      <c r="CZ312" s="24"/>
      <c r="DA312" s="24"/>
      <c r="DB312" s="25"/>
      <c r="DC312" s="26"/>
      <c r="DD312" s="24"/>
      <c r="DE312" s="24"/>
      <c r="DF312" s="24"/>
      <c r="DG312" s="24"/>
      <c r="DH312" s="24"/>
      <c r="DI312" s="24"/>
      <c r="DJ312" s="24"/>
      <c r="DK312" s="24"/>
      <c r="DL312" s="24"/>
      <c r="DM312" s="24"/>
      <c r="DN312" s="24"/>
      <c r="DO312" s="25"/>
      <c r="DP312" s="26"/>
      <c r="DQ312" s="24"/>
      <c r="DR312" s="24"/>
      <c r="DS312" s="24"/>
      <c r="DT312" s="24"/>
      <c r="DU312" s="24"/>
      <c r="DV312" s="24"/>
      <c r="DW312" s="24"/>
      <c r="DX312" s="24"/>
      <c r="DY312" s="24"/>
      <c r="DZ312" s="24"/>
      <c r="EA312" s="24"/>
      <c r="EB312" s="25"/>
      <c r="EC312" s="26"/>
      <c r="ED312" s="24"/>
      <c r="EE312" s="24"/>
      <c r="EF312" s="24"/>
      <c r="EG312" s="24"/>
      <c r="EH312" s="24"/>
      <c r="EI312" s="24"/>
      <c r="EJ312" s="24"/>
      <c r="EK312" s="24"/>
      <c r="EL312" s="24"/>
      <c r="EM312" s="24"/>
      <c r="EN312" s="24"/>
      <c r="EO312" s="25"/>
      <c r="EP312" s="26"/>
      <c r="EQ312" s="24"/>
      <c r="ER312" s="24"/>
      <c r="ES312" s="24"/>
      <c r="ET312" s="24"/>
      <c r="EU312" s="24"/>
      <c r="EV312" s="24"/>
      <c r="EW312" s="24"/>
      <c r="EX312" s="24"/>
      <c r="EY312" s="24"/>
      <c r="EZ312" s="24"/>
      <c r="FA312" s="24"/>
      <c r="FB312" s="25"/>
      <c r="FC312" s="26"/>
      <c r="FD312" s="24"/>
      <c r="FE312" s="24"/>
      <c r="FF312" s="24"/>
      <c r="FG312" s="24"/>
      <c r="FH312" s="24"/>
      <c r="FI312" s="24"/>
      <c r="FJ312" s="24"/>
      <c r="FK312" s="24"/>
      <c r="FL312" s="24"/>
      <c r="FM312" s="24"/>
      <c r="FN312" s="24"/>
      <c r="FO312" s="27">
        <f t="shared" ref="FO312:FV312" si="305">IFERROR(R312*1,0)+IFERROR(AE312*1,0)+IFERROR(AR312*1,0)+IFERROR(BE312*1,0)+IFERROR(BR312*1,0)+IFERROR(CE312*1,0)+IFERROR(CR312*1,0)+IFERROR(DE312*1,0)+IFERROR(DR312*1,0)+IFERROR(EE312*1,0)+IFERROR(ER312*1,0)+IFERROR(FE312*1,0)</f>
        <v>0</v>
      </c>
      <c r="FP312" s="27">
        <f t="shared" si="305"/>
        <v>0</v>
      </c>
      <c r="FQ312" s="27">
        <f t="shared" si="305"/>
        <v>0</v>
      </c>
      <c r="FR312" s="27">
        <f t="shared" si="305"/>
        <v>0</v>
      </c>
      <c r="FS312" s="27">
        <f t="shared" si="305"/>
        <v>0</v>
      </c>
      <c r="FT312" s="27">
        <f t="shared" si="305"/>
        <v>0</v>
      </c>
      <c r="FU312" s="27">
        <f t="shared" si="305"/>
        <v>0</v>
      </c>
      <c r="FV312" s="27">
        <f t="shared" si="305"/>
        <v>0</v>
      </c>
      <c r="FW312" s="28"/>
      <c r="FX312" s="29">
        <f t="shared" si="3"/>
        <v>0</v>
      </c>
    </row>
    <row r="313" spans="1:180" ht="18" customHeight="1" x14ac:dyDescent="0.25">
      <c r="A313" s="3" t="str">
        <f>IF(C313&lt;&gt;"","DRG-"&amp;TEXT(308,"000"),"")</f>
        <v/>
      </c>
      <c r="B313" s="33"/>
      <c r="C313" s="33"/>
      <c r="D313" s="33"/>
      <c r="E313" s="33"/>
      <c r="F313" s="33"/>
      <c r="G313" s="33"/>
      <c r="H313" s="33"/>
      <c r="I313" s="33"/>
      <c r="J313" s="33"/>
      <c r="K313" s="33"/>
      <c r="L313" s="37">
        <v>4</v>
      </c>
      <c r="M313" s="30" t="str">
        <f t="shared" si="0"/>
        <v>✘ Pending</v>
      </c>
      <c r="N313" s="30">
        <f t="shared" si="1"/>
        <v>0</v>
      </c>
      <c r="O313" s="31"/>
      <c r="P313" s="32"/>
      <c r="Q313" s="33"/>
      <c r="R313" s="33"/>
      <c r="S313" s="33"/>
      <c r="T313" s="33"/>
      <c r="U313" s="33"/>
      <c r="V313" s="33"/>
      <c r="W313" s="33"/>
      <c r="X313" s="33"/>
      <c r="Y313" s="33"/>
      <c r="Z313" s="33"/>
      <c r="AA313" s="33"/>
      <c r="AB313" s="31"/>
      <c r="AC313" s="32"/>
      <c r="AD313" s="33"/>
      <c r="AE313" s="33"/>
      <c r="AF313" s="33"/>
      <c r="AG313" s="33"/>
      <c r="AH313" s="33"/>
      <c r="AI313" s="33"/>
      <c r="AJ313" s="33"/>
      <c r="AK313" s="33"/>
      <c r="AL313" s="33"/>
      <c r="AM313" s="33"/>
      <c r="AN313" s="33"/>
      <c r="AO313" s="31"/>
      <c r="AP313" s="32"/>
      <c r="AQ313" s="33"/>
      <c r="AR313" s="33"/>
      <c r="AS313" s="33"/>
      <c r="AT313" s="33"/>
      <c r="AU313" s="33"/>
      <c r="AV313" s="33"/>
      <c r="AW313" s="33"/>
      <c r="AX313" s="33"/>
      <c r="AY313" s="33"/>
      <c r="AZ313" s="33"/>
      <c r="BA313" s="33"/>
      <c r="BB313" s="31"/>
      <c r="BC313" s="32"/>
      <c r="BD313" s="33"/>
      <c r="BE313" s="33"/>
      <c r="BF313" s="33"/>
      <c r="BG313" s="33"/>
      <c r="BH313" s="33"/>
      <c r="BI313" s="33"/>
      <c r="BJ313" s="33"/>
      <c r="BK313" s="33"/>
      <c r="BL313" s="33"/>
      <c r="BM313" s="33"/>
      <c r="BN313" s="33"/>
      <c r="BO313" s="31"/>
      <c r="BP313" s="32"/>
      <c r="BQ313" s="33"/>
      <c r="BR313" s="33"/>
      <c r="BS313" s="33"/>
      <c r="BT313" s="33"/>
      <c r="BU313" s="33"/>
      <c r="BV313" s="33"/>
      <c r="BW313" s="33"/>
      <c r="BX313" s="33"/>
      <c r="BY313" s="33"/>
      <c r="BZ313" s="33"/>
      <c r="CA313" s="33"/>
      <c r="CB313" s="31"/>
      <c r="CC313" s="32"/>
      <c r="CD313" s="33"/>
      <c r="CE313" s="33"/>
      <c r="CF313" s="33"/>
      <c r="CG313" s="33"/>
      <c r="CH313" s="33"/>
      <c r="CI313" s="33"/>
      <c r="CJ313" s="33"/>
      <c r="CK313" s="33"/>
      <c r="CL313" s="33"/>
      <c r="CM313" s="33"/>
      <c r="CN313" s="33"/>
      <c r="CO313" s="31"/>
      <c r="CP313" s="32"/>
      <c r="CQ313" s="33"/>
      <c r="CR313" s="33"/>
      <c r="CS313" s="33"/>
      <c r="CT313" s="33"/>
      <c r="CU313" s="33"/>
      <c r="CV313" s="33"/>
      <c r="CW313" s="33"/>
      <c r="CX313" s="33"/>
      <c r="CY313" s="33"/>
      <c r="CZ313" s="33"/>
      <c r="DA313" s="33"/>
      <c r="DB313" s="31"/>
      <c r="DC313" s="32"/>
      <c r="DD313" s="33"/>
      <c r="DE313" s="33"/>
      <c r="DF313" s="33"/>
      <c r="DG313" s="33"/>
      <c r="DH313" s="33"/>
      <c r="DI313" s="33"/>
      <c r="DJ313" s="33"/>
      <c r="DK313" s="33"/>
      <c r="DL313" s="33"/>
      <c r="DM313" s="33"/>
      <c r="DN313" s="33"/>
      <c r="DO313" s="31"/>
      <c r="DP313" s="32"/>
      <c r="DQ313" s="33"/>
      <c r="DR313" s="33"/>
      <c r="DS313" s="33"/>
      <c r="DT313" s="33"/>
      <c r="DU313" s="33"/>
      <c r="DV313" s="33"/>
      <c r="DW313" s="33"/>
      <c r="DX313" s="33"/>
      <c r="DY313" s="33"/>
      <c r="DZ313" s="33"/>
      <c r="EA313" s="33"/>
      <c r="EB313" s="31"/>
      <c r="EC313" s="32"/>
      <c r="ED313" s="33"/>
      <c r="EE313" s="33"/>
      <c r="EF313" s="33"/>
      <c r="EG313" s="33"/>
      <c r="EH313" s="33"/>
      <c r="EI313" s="33"/>
      <c r="EJ313" s="33"/>
      <c r="EK313" s="33"/>
      <c r="EL313" s="33"/>
      <c r="EM313" s="33"/>
      <c r="EN313" s="33"/>
      <c r="EO313" s="31"/>
      <c r="EP313" s="32"/>
      <c r="EQ313" s="33"/>
      <c r="ER313" s="33"/>
      <c r="ES313" s="33"/>
      <c r="ET313" s="33"/>
      <c r="EU313" s="33"/>
      <c r="EV313" s="33"/>
      <c r="EW313" s="33"/>
      <c r="EX313" s="33"/>
      <c r="EY313" s="33"/>
      <c r="EZ313" s="33"/>
      <c r="FA313" s="33"/>
      <c r="FB313" s="31"/>
      <c r="FC313" s="32"/>
      <c r="FD313" s="33"/>
      <c r="FE313" s="33"/>
      <c r="FF313" s="33"/>
      <c r="FG313" s="33"/>
      <c r="FH313" s="33"/>
      <c r="FI313" s="33"/>
      <c r="FJ313" s="33"/>
      <c r="FK313" s="33"/>
      <c r="FL313" s="33"/>
      <c r="FM313" s="33"/>
      <c r="FN313" s="33"/>
      <c r="FO313" s="34">
        <f t="shared" ref="FO313:FV313" si="306">IFERROR(R313*1,0)+IFERROR(AE313*1,0)+IFERROR(AR313*1,0)+IFERROR(BE313*1,0)+IFERROR(BR313*1,0)+IFERROR(CE313*1,0)+IFERROR(CR313*1,0)+IFERROR(DE313*1,0)+IFERROR(DR313*1,0)+IFERROR(EE313*1,0)+IFERROR(ER313*1,0)+IFERROR(FE313*1,0)</f>
        <v>0</v>
      </c>
      <c r="FP313" s="34">
        <f t="shared" si="306"/>
        <v>0</v>
      </c>
      <c r="FQ313" s="34">
        <f t="shared" si="306"/>
        <v>0</v>
      </c>
      <c r="FR313" s="34">
        <f t="shared" si="306"/>
        <v>0</v>
      </c>
      <c r="FS313" s="34">
        <f t="shared" si="306"/>
        <v>0</v>
      </c>
      <c r="FT313" s="34">
        <f t="shared" si="306"/>
        <v>0</v>
      </c>
      <c r="FU313" s="34">
        <f t="shared" si="306"/>
        <v>0</v>
      </c>
      <c r="FV313" s="34">
        <f t="shared" si="306"/>
        <v>0</v>
      </c>
      <c r="FW313" s="28"/>
      <c r="FX313" s="29">
        <f t="shared" si="3"/>
        <v>0</v>
      </c>
    </row>
    <row r="314" spans="1:180" ht="18" customHeight="1" x14ac:dyDescent="0.25">
      <c r="A314" s="3" t="str">
        <f>IF(C314&lt;&gt;"","DRG-"&amp;TEXT(309,"000"),"")</f>
        <v/>
      </c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38">
        <v>4</v>
      </c>
      <c r="M314" s="23" t="str">
        <f t="shared" si="0"/>
        <v>✘ Pending</v>
      </c>
      <c r="N314" s="23">
        <f t="shared" si="1"/>
        <v>0</v>
      </c>
      <c r="O314" s="25"/>
      <c r="P314" s="26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  <c r="AB314" s="25"/>
      <c r="AC314" s="26"/>
      <c r="AD314" s="24"/>
      <c r="AE314" s="24"/>
      <c r="AF314" s="24"/>
      <c r="AG314" s="24"/>
      <c r="AH314" s="24"/>
      <c r="AI314" s="24"/>
      <c r="AJ314" s="24"/>
      <c r="AK314" s="24"/>
      <c r="AL314" s="24"/>
      <c r="AM314" s="24"/>
      <c r="AN314" s="24"/>
      <c r="AO314" s="25"/>
      <c r="AP314" s="26"/>
      <c r="AQ314" s="24"/>
      <c r="AR314" s="24"/>
      <c r="AS314" s="24"/>
      <c r="AT314" s="24"/>
      <c r="AU314" s="24"/>
      <c r="AV314" s="24"/>
      <c r="AW314" s="24"/>
      <c r="AX314" s="24"/>
      <c r="AY314" s="24"/>
      <c r="AZ314" s="24"/>
      <c r="BA314" s="24"/>
      <c r="BB314" s="25"/>
      <c r="BC314" s="26"/>
      <c r="BD314" s="24"/>
      <c r="BE314" s="24"/>
      <c r="BF314" s="24"/>
      <c r="BG314" s="24"/>
      <c r="BH314" s="24"/>
      <c r="BI314" s="24"/>
      <c r="BJ314" s="24"/>
      <c r="BK314" s="24"/>
      <c r="BL314" s="24"/>
      <c r="BM314" s="24"/>
      <c r="BN314" s="24"/>
      <c r="BO314" s="25"/>
      <c r="BP314" s="26"/>
      <c r="BQ314" s="24"/>
      <c r="BR314" s="24"/>
      <c r="BS314" s="24"/>
      <c r="BT314" s="24"/>
      <c r="BU314" s="24"/>
      <c r="BV314" s="24"/>
      <c r="BW314" s="24"/>
      <c r="BX314" s="24"/>
      <c r="BY314" s="24"/>
      <c r="BZ314" s="24"/>
      <c r="CA314" s="24"/>
      <c r="CB314" s="25"/>
      <c r="CC314" s="26"/>
      <c r="CD314" s="24"/>
      <c r="CE314" s="24"/>
      <c r="CF314" s="24"/>
      <c r="CG314" s="24"/>
      <c r="CH314" s="24"/>
      <c r="CI314" s="24"/>
      <c r="CJ314" s="24"/>
      <c r="CK314" s="24"/>
      <c r="CL314" s="24"/>
      <c r="CM314" s="24"/>
      <c r="CN314" s="24"/>
      <c r="CO314" s="25"/>
      <c r="CP314" s="26"/>
      <c r="CQ314" s="24"/>
      <c r="CR314" s="24"/>
      <c r="CS314" s="24"/>
      <c r="CT314" s="24"/>
      <c r="CU314" s="24"/>
      <c r="CV314" s="24"/>
      <c r="CW314" s="24"/>
      <c r="CX314" s="24"/>
      <c r="CY314" s="24"/>
      <c r="CZ314" s="24"/>
      <c r="DA314" s="24"/>
      <c r="DB314" s="25"/>
      <c r="DC314" s="26"/>
      <c r="DD314" s="24"/>
      <c r="DE314" s="24"/>
      <c r="DF314" s="24"/>
      <c r="DG314" s="24"/>
      <c r="DH314" s="24"/>
      <c r="DI314" s="24"/>
      <c r="DJ314" s="24"/>
      <c r="DK314" s="24"/>
      <c r="DL314" s="24"/>
      <c r="DM314" s="24"/>
      <c r="DN314" s="24"/>
      <c r="DO314" s="25"/>
      <c r="DP314" s="26"/>
      <c r="DQ314" s="24"/>
      <c r="DR314" s="24"/>
      <c r="DS314" s="24"/>
      <c r="DT314" s="24"/>
      <c r="DU314" s="24"/>
      <c r="DV314" s="24"/>
      <c r="DW314" s="24"/>
      <c r="DX314" s="24"/>
      <c r="DY314" s="24"/>
      <c r="DZ314" s="24"/>
      <c r="EA314" s="24"/>
      <c r="EB314" s="25"/>
      <c r="EC314" s="26"/>
      <c r="ED314" s="24"/>
      <c r="EE314" s="24"/>
      <c r="EF314" s="24"/>
      <c r="EG314" s="24"/>
      <c r="EH314" s="24"/>
      <c r="EI314" s="24"/>
      <c r="EJ314" s="24"/>
      <c r="EK314" s="24"/>
      <c r="EL314" s="24"/>
      <c r="EM314" s="24"/>
      <c r="EN314" s="24"/>
      <c r="EO314" s="25"/>
      <c r="EP314" s="26"/>
      <c r="EQ314" s="24"/>
      <c r="ER314" s="24"/>
      <c r="ES314" s="24"/>
      <c r="ET314" s="24"/>
      <c r="EU314" s="24"/>
      <c r="EV314" s="24"/>
      <c r="EW314" s="24"/>
      <c r="EX314" s="24"/>
      <c r="EY314" s="24"/>
      <c r="EZ314" s="24"/>
      <c r="FA314" s="24"/>
      <c r="FB314" s="25"/>
      <c r="FC314" s="26"/>
      <c r="FD314" s="24"/>
      <c r="FE314" s="24"/>
      <c r="FF314" s="24"/>
      <c r="FG314" s="24"/>
      <c r="FH314" s="24"/>
      <c r="FI314" s="24"/>
      <c r="FJ314" s="24"/>
      <c r="FK314" s="24"/>
      <c r="FL314" s="24"/>
      <c r="FM314" s="24"/>
      <c r="FN314" s="24"/>
      <c r="FO314" s="27">
        <f t="shared" ref="FO314:FV314" si="307">IFERROR(R314*1,0)+IFERROR(AE314*1,0)+IFERROR(AR314*1,0)+IFERROR(BE314*1,0)+IFERROR(BR314*1,0)+IFERROR(CE314*1,0)+IFERROR(CR314*1,0)+IFERROR(DE314*1,0)+IFERROR(DR314*1,0)+IFERROR(EE314*1,0)+IFERROR(ER314*1,0)+IFERROR(FE314*1,0)</f>
        <v>0</v>
      </c>
      <c r="FP314" s="27">
        <f t="shared" si="307"/>
        <v>0</v>
      </c>
      <c r="FQ314" s="27">
        <f t="shared" si="307"/>
        <v>0</v>
      </c>
      <c r="FR314" s="27">
        <f t="shared" si="307"/>
        <v>0</v>
      </c>
      <c r="FS314" s="27">
        <f t="shared" si="307"/>
        <v>0</v>
      </c>
      <c r="FT314" s="27">
        <f t="shared" si="307"/>
        <v>0</v>
      </c>
      <c r="FU314" s="27">
        <f t="shared" si="307"/>
        <v>0</v>
      </c>
      <c r="FV314" s="27">
        <f t="shared" si="307"/>
        <v>0</v>
      </c>
      <c r="FW314" s="28"/>
      <c r="FX314" s="29">
        <f t="shared" si="3"/>
        <v>0</v>
      </c>
    </row>
    <row r="315" spans="1:180" ht="18" customHeight="1" x14ac:dyDescent="0.25">
      <c r="A315" s="3" t="str">
        <f>IF(C315&lt;&gt;"","DRG-"&amp;TEXT(310,"000"),"")</f>
        <v/>
      </c>
      <c r="B315" s="33"/>
      <c r="C315" s="33"/>
      <c r="D315" s="33"/>
      <c r="E315" s="33"/>
      <c r="F315" s="33"/>
      <c r="G315" s="33"/>
      <c r="H315" s="33"/>
      <c r="I315" s="33"/>
      <c r="J315" s="33"/>
      <c r="K315" s="33"/>
      <c r="L315" s="37">
        <v>4</v>
      </c>
      <c r="M315" s="30" t="str">
        <f t="shared" si="0"/>
        <v>✘ Pending</v>
      </c>
      <c r="N315" s="30">
        <f t="shared" si="1"/>
        <v>0</v>
      </c>
      <c r="O315" s="31"/>
      <c r="P315" s="32"/>
      <c r="Q315" s="33"/>
      <c r="R315" s="33"/>
      <c r="S315" s="33"/>
      <c r="T315" s="33"/>
      <c r="U315" s="33"/>
      <c r="V315" s="33"/>
      <c r="W315" s="33"/>
      <c r="X315" s="33"/>
      <c r="Y315" s="33"/>
      <c r="Z315" s="33"/>
      <c r="AA315" s="33"/>
      <c r="AB315" s="31"/>
      <c r="AC315" s="32"/>
      <c r="AD315" s="33"/>
      <c r="AE315" s="33"/>
      <c r="AF315" s="33"/>
      <c r="AG315" s="33"/>
      <c r="AH315" s="33"/>
      <c r="AI315" s="33"/>
      <c r="AJ315" s="33"/>
      <c r="AK315" s="33"/>
      <c r="AL315" s="33"/>
      <c r="AM315" s="33"/>
      <c r="AN315" s="33"/>
      <c r="AO315" s="31"/>
      <c r="AP315" s="32"/>
      <c r="AQ315" s="33"/>
      <c r="AR315" s="33"/>
      <c r="AS315" s="33"/>
      <c r="AT315" s="33"/>
      <c r="AU315" s="33"/>
      <c r="AV315" s="33"/>
      <c r="AW315" s="33"/>
      <c r="AX315" s="33"/>
      <c r="AY315" s="33"/>
      <c r="AZ315" s="33"/>
      <c r="BA315" s="33"/>
      <c r="BB315" s="31"/>
      <c r="BC315" s="32"/>
      <c r="BD315" s="33"/>
      <c r="BE315" s="33"/>
      <c r="BF315" s="33"/>
      <c r="BG315" s="33"/>
      <c r="BH315" s="33"/>
      <c r="BI315" s="33"/>
      <c r="BJ315" s="33"/>
      <c r="BK315" s="33"/>
      <c r="BL315" s="33"/>
      <c r="BM315" s="33"/>
      <c r="BN315" s="33"/>
      <c r="BO315" s="31"/>
      <c r="BP315" s="32"/>
      <c r="BQ315" s="33"/>
      <c r="BR315" s="33"/>
      <c r="BS315" s="33"/>
      <c r="BT315" s="33"/>
      <c r="BU315" s="33"/>
      <c r="BV315" s="33"/>
      <c r="BW315" s="33"/>
      <c r="BX315" s="33"/>
      <c r="BY315" s="33"/>
      <c r="BZ315" s="33"/>
      <c r="CA315" s="33"/>
      <c r="CB315" s="31"/>
      <c r="CC315" s="32"/>
      <c r="CD315" s="33"/>
      <c r="CE315" s="33"/>
      <c r="CF315" s="33"/>
      <c r="CG315" s="33"/>
      <c r="CH315" s="33"/>
      <c r="CI315" s="33"/>
      <c r="CJ315" s="33"/>
      <c r="CK315" s="33"/>
      <c r="CL315" s="33"/>
      <c r="CM315" s="33"/>
      <c r="CN315" s="33"/>
      <c r="CO315" s="31"/>
      <c r="CP315" s="32"/>
      <c r="CQ315" s="33"/>
      <c r="CR315" s="33"/>
      <c r="CS315" s="33"/>
      <c r="CT315" s="33"/>
      <c r="CU315" s="33"/>
      <c r="CV315" s="33"/>
      <c r="CW315" s="33"/>
      <c r="CX315" s="33"/>
      <c r="CY315" s="33"/>
      <c r="CZ315" s="33"/>
      <c r="DA315" s="33"/>
      <c r="DB315" s="31"/>
      <c r="DC315" s="32"/>
      <c r="DD315" s="33"/>
      <c r="DE315" s="33"/>
      <c r="DF315" s="33"/>
      <c r="DG315" s="33"/>
      <c r="DH315" s="33"/>
      <c r="DI315" s="33"/>
      <c r="DJ315" s="33"/>
      <c r="DK315" s="33"/>
      <c r="DL315" s="33"/>
      <c r="DM315" s="33"/>
      <c r="DN315" s="33"/>
      <c r="DO315" s="31"/>
      <c r="DP315" s="32"/>
      <c r="DQ315" s="33"/>
      <c r="DR315" s="33"/>
      <c r="DS315" s="33"/>
      <c r="DT315" s="33"/>
      <c r="DU315" s="33"/>
      <c r="DV315" s="33"/>
      <c r="DW315" s="33"/>
      <c r="DX315" s="33"/>
      <c r="DY315" s="33"/>
      <c r="DZ315" s="33"/>
      <c r="EA315" s="33"/>
      <c r="EB315" s="31"/>
      <c r="EC315" s="32"/>
      <c r="ED315" s="33"/>
      <c r="EE315" s="33"/>
      <c r="EF315" s="33"/>
      <c r="EG315" s="33"/>
      <c r="EH315" s="33"/>
      <c r="EI315" s="33"/>
      <c r="EJ315" s="33"/>
      <c r="EK315" s="33"/>
      <c r="EL315" s="33"/>
      <c r="EM315" s="33"/>
      <c r="EN315" s="33"/>
      <c r="EO315" s="31"/>
      <c r="EP315" s="32"/>
      <c r="EQ315" s="33"/>
      <c r="ER315" s="33"/>
      <c r="ES315" s="33"/>
      <c r="ET315" s="33"/>
      <c r="EU315" s="33"/>
      <c r="EV315" s="33"/>
      <c r="EW315" s="33"/>
      <c r="EX315" s="33"/>
      <c r="EY315" s="33"/>
      <c r="EZ315" s="33"/>
      <c r="FA315" s="33"/>
      <c r="FB315" s="31"/>
      <c r="FC315" s="32"/>
      <c r="FD315" s="33"/>
      <c r="FE315" s="33"/>
      <c r="FF315" s="33"/>
      <c r="FG315" s="33"/>
      <c r="FH315" s="33"/>
      <c r="FI315" s="33"/>
      <c r="FJ315" s="33"/>
      <c r="FK315" s="33"/>
      <c r="FL315" s="33"/>
      <c r="FM315" s="33"/>
      <c r="FN315" s="33"/>
      <c r="FO315" s="34">
        <f t="shared" ref="FO315:FV315" si="308">IFERROR(R315*1,0)+IFERROR(AE315*1,0)+IFERROR(AR315*1,0)+IFERROR(BE315*1,0)+IFERROR(BR315*1,0)+IFERROR(CE315*1,0)+IFERROR(CR315*1,0)+IFERROR(DE315*1,0)+IFERROR(DR315*1,0)+IFERROR(EE315*1,0)+IFERROR(ER315*1,0)+IFERROR(FE315*1,0)</f>
        <v>0</v>
      </c>
      <c r="FP315" s="34">
        <f t="shared" si="308"/>
        <v>0</v>
      </c>
      <c r="FQ315" s="34">
        <f t="shared" si="308"/>
        <v>0</v>
      </c>
      <c r="FR315" s="34">
        <f t="shared" si="308"/>
        <v>0</v>
      </c>
      <c r="FS315" s="34">
        <f t="shared" si="308"/>
        <v>0</v>
      </c>
      <c r="FT315" s="34">
        <f t="shared" si="308"/>
        <v>0</v>
      </c>
      <c r="FU315" s="34">
        <f t="shared" si="308"/>
        <v>0</v>
      </c>
      <c r="FV315" s="34">
        <f t="shared" si="308"/>
        <v>0</v>
      </c>
      <c r="FW315" s="28"/>
      <c r="FX315" s="29">
        <f t="shared" si="3"/>
        <v>0</v>
      </c>
    </row>
    <row r="316" spans="1:180" ht="18" customHeight="1" x14ac:dyDescent="0.25">
      <c r="A316" s="3" t="str">
        <f>IF(C316&lt;&gt;"","DRG-"&amp;TEXT(311,"000"),"")</f>
        <v/>
      </c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38">
        <v>4</v>
      </c>
      <c r="M316" s="23" t="str">
        <f t="shared" si="0"/>
        <v>✘ Pending</v>
      </c>
      <c r="N316" s="23">
        <f t="shared" si="1"/>
        <v>0</v>
      </c>
      <c r="O316" s="25"/>
      <c r="P316" s="26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  <c r="AB316" s="25"/>
      <c r="AC316" s="26"/>
      <c r="AD316" s="24"/>
      <c r="AE316" s="24"/>
      <c r="AF316" s="24"/>
      <c r="AG316" s="24"/>
      <c r="AH316" s="24"/>
      <c r="AI316" s="24"/>
      <c r="AJ316" s="24"/>
      <c r="AK316" s="24"/>
      <c r="AL316" s="24"/>
      <c r="AM316" s="24"/>
      <c r="AN316" s="24"/>
      <c r="AO316" s="25"/>
      <c r="AP316" s="26"/>
      <c r="AQ316" s="24"/>
      <c r="AR316" s="24"/>
      <c r="AS316" s="24"/>
      <c r="AT316" s="24"/>
      <c r="AU316" s="24"/>
      <c r="AV316" s="24"/>
      <c r="AW316" s="24"/>
      <c r="AX316" s="24"/>
      <c r="AY316" s="24"/>
      <c r="AZ316" s="24"/>
      <c r="BA316" s="24"/>
      <c r="BB316" s="25"/>
      <c r="BC316" s="26"/>
      <c r="BD316" s="24"/>
      <c r="BE316" s="24"/>
      <c r="BF316" s="24"/>
      <c r="BG316" s="24"/>
      <c r="BH316" s="24"/>
      <c r="BI316" s="24"/>
      <c r="BJ316" s="24"/>
      <c r="BK316" s="24"/>
      <c r="BL316" s="24"/>
      <c r="BM316" s="24"/>
      <c r="BN316" s="24"/>
      <c r="BO316" s="25"/>
      <c r="BP316" s="26"/>
      <c r="BQ316" s="24"/>
      <c r="BR316" s="24"/>
      <c r="BS316" s="24"/>
      <c r="BT316" s="24"/>
      <c r="BU316" s="24"/>
      <c r="BV316" s="24"/>
      <c r="BW316" s="24"/>
      <c r="BX316" s="24"/>
      <c r="BY316" s="24"/>
      <c r="BZ316" s="24"/>
      <c r="CA316" s="24"/>
      <c r="CB316" s="25"/>
      <c r="CC316" s="26"/>
      <c r="CD316" s="24"/>
      <c r="CE316" s="24"/>
      <c r="CF316" s="24"/>
      <c r="CG316" s="24"/>
      <c r="CH316" s="24"/>
      <c r="CI316" s="24"/>
      <c r="CJ316" s="24"/>
      <c r="CK316" s="24"/>
      <c r="CL316" s="24"/>
      <c r="CM316" s="24"/>
      <c r="CN316" s="24"/>
      <c r="CO316" s="25"/>
      <c r="CP316" s="26"/>
      <c r="CQ316" s="24"/>
      <c r="CR316" s="24"/>
      <c r="CS316" s="24"/>
      <c r="CT316" s="24"/>
      <c r="CU316" s="24"/>
      <c r="CV316" s="24"/>
      <c r="CW316" s="24"/>
      <c r="CX316" s="24"/>
      <c r="CY316" s="24"/>
      <c r="CZ316" s="24"/>
      <c r="DA316" s="24"/>
      <c r="DB316" s="25"/>
      <c r="DC316" s="26"/>
      <c r="DD316" s="24"/>
      <c r="DE316" s="24"/>
      <c r="DF316" s="24"/>
      <c r="DG316" s="24"/>
      <c r="DH316" s="24"/>
      <c r="DI316" s="24"/>
      <c r="DJ316" s="24"/>
      <c r="DK316" s="24"/>
      <c r="DL316" s="24"/>
      <c r="DM316" s="24"/>
      <c r="DN316" s="24"/>
      <c r="DO316" s="25"/>
      <c r="DP316" s="26"/>
      <c r="DQ316" s="24"/>
      <c r="DR316" s="24"/>
      <c r="DS316" s="24"/>
      <c r="DT316" s="24"/>
      <c r="DU316" s="24"/>
      <c r="DV316" s="24"/>
      <c r="DW316" s="24"/>
      <c r="DX316" s="24"/>
      <c r="DY316" s="24"/>
      <c r="DZ316" s="24"/>
      <c r="EA316" s="24"/>
      <c r="EB316" s="25"/>
      <c r="EC316" s="26"/>
      <c r="ED316" s="24"/>
      <c r="EE316" s="24"/>
      <c r="EF316" s="24"/>
      <c r="EG316" s="24"/>
      <c r="EH316" s="24"/>
      <c r="EI316" s="24"/>
      <c r="EJ316" s="24"/>
      <c r="EK316" s="24"/>
      <c r="EL316" s="24"/>
      <c r="EM316" s="24"/>
      <c r="EN316" s="24"/>
      <c r="EO316" s="25"/>
      <c r="EP316" s="26"/>
      <c r="EQ316" s="24"/>
      <c r="ER316" s="24"/>
      <c r="ES316" s="24"/>
      <c r="ET316" s="24"/>
      <c r="EU316" s="24"/>
      <c r="EV316" s="24"/>
      <c r="EW316" s="24"/>
      <c r="EX316" s="24"/>
      <c r="EY316" s="24"/>
      <c r="EZ316" s="24"/>
      <c r="FA316" s="24"/>
      <c r="FB316" s="25"/>
      <c r="FC316" s="26"/>
      <c r="FD316" s="24"/>
      <c r="FE316" s="24"/>
      <c r="FF316" s="24"/>
      <c r="FG316" s="24"/>
      <c r="FH316" s="24"/>
      <c r="FI316" s="24"/>
      <c r="FJ316" s="24"/>
      <c r="FK316" s="24"/>
      <c r="FL316" s="24"/>
      <c r="FM316" s="24"/>
      <c r="FN316" s="24"/>
      <c r="FO316" s="27">
        <f t="shared" ref="FO316:FV316" si="309">IFERROR(R316*1,0)+IFERROR(AE316*1,0)+IFERROR(AR316*1,0)+IFERROR(BE316*1,0)+IFERROR(BR316*1,0)+IFERROR(CE316*1,0)+IFERROR(CR316*1,0)+IFERROR(DE316*1,0)+IFERROR(DR316*1,0)+IFERROR(EE316*1,0)+IFERROR(ER316*1,0)+IFERROR(FE316*1,0)</f>
        <v>0</v>
      </c>
      <c r="FP316" s="27">
        <f t="shared" si="309"/>
        <v>0</v>
      </c>
      <c r="FQ316" s="27">
        <f t="shared" si="309"/>
        <v>0</v>
      </c>
      <c r="FR316" s="27">
        <f t="shared" si="309"/>
        <v>0</v>
      </c>
      <c r="FS316" s="27">
        <f t="shared" si="309"/>
        <v>0</v>
      </c>
      <c r="FT316" s="27">
        <f t="shared" si="309"/>
        <v>0</v>
      </c>
      <c r="FU316" s="27">
        <f t="shared" si="309"/>
        <v>0</v>
      </c>
      <c r="FV316" s="27">
        <f t="shared" si="309"/>
        <v>0</v>
      </c>
      <c r="FW316" s="28"/>
      <c r="FX316" s="29">
        <f t="shared" si="3"/>
        <v>0</v>
      </c>
    </row>
    <row r="317" spans="1:180" ht="18" customHeight="1" x14ac:dyDescent="0.25">
      <c r="A317" s="3" t="str">
        <f>IF(C317&lt;&gt;"","DRG-"&amp;TEXT(312,"000"),"")</f>
        <v/>
      </c>
      <c r="B317" s="33"/>
      <c r="C317" s="33"/>
      <c r="D317" s="33"/>
      <c r="E317" s="33"/>
      <c r="F317" s="33"/>
      <c r="G317" s="33"/>
      <c r="H317" s="33"/>
      <c r="I317" s="33"/>
      <c r="J317" s="33"/>
      <c r="K317" s="33"/>
      <c r="L317" s="37">
        <v>4</v>
      </c>
      <c r="M317" s="30" t="str">
        <f t="shared" si="0"/>
        <v>✘ Pending</v>
      </c>
      <c r="N317" s="30">
        <f t="shared" si="1"/>
        <v>0</v>
      </c>
      <c r="O317" s="31"/>
      <c r="P317" s="32"/>
      <c r="Q317" s="33"/>
      <c r="R317" s="33"/>
      <c r="S317" s="33"/>
      <c r="T317" s="33"/>
      <c r="U317" s="33"/>
      <c r="V317" s="33"/>
      <c r="W317" s="33"/>
      <c r="X317" s="33"/>
      <c r="Y317" s="33"/>
      <c r="Z317" s="33"/>
      <c r="AA317" s="33"/>
      <c r="AB317" s="31"/>
      <c r="AC317" s="32"/>
      <c r="AD317" s="33"/>
      <c r="AE317" s="33"/>
      <c r="AF317" s="33"/>
      <c r="AG317" s="33"/>
      <c r="AH317" s="33"/>
      <c r="AI317" s="33"/>
      <c r="AJ317" s="33"/>
      <c r="AK317" s="33"/>
      <c r="AL317" s="33"/>
      <c r="AM317" s="33"/>
      <c r="AN317" s="33"/>
      <c r="AO317" s="31"/>
      <c r="AP317" s="32"/>
      <c r="AQ317" s="33"/>
      <c r="AR317" s="33"/>
      <c r="AS317" s="33"/>
      <c r="AT317" s="33"/>
      <c r="AU317" s="33"/>
      <c r="AV317" s="33"/>
      <c r="AW317" s="33"/>
      <c r="AX317" s="33"/>
      <c r="AY317" s="33"/>
      <c r="AZ317" s="33"/>
      <c r="BA317" s="33"/>
      <c r="BB317" s="31"/>
      <c r="BC317" s="32"/>
      <c r="BD317" s="33"/>
      <c r="BE317" s="33"/>
      <c r="BF317" s="33"/>
      <c r="BG317" s="33"/>
      <c r="BH317" s="33"/>
      <c r="BI317" s="33"/>
      <c r="BJ317" s="33"/>
      <c r="BK317" s="33"/>
      <c r="BL317" s="33"/>
      <c r="BM317" s="33"/>
      <c r="BN317" s="33"/>
      <c r="BO317" s="31"/>
      <c r="BP317" s="32"/>
      <c r="BQ317" s="33"/>
      <c r="BR317" s="33"/>
      <c r="BS317" s="33"/>
      <c r="BT317" s="33"/>
      <c r="BU317" s="33"/>
      <c r="BV317" s="33"/>
      <c r="BW317" s="33"/>
      <c r="BX317" s="33"/>
      <c r="BY317" s="33"/>
      <c r="BZ317" s="33"/>
      <c r="CA317" s="33"/>
      <c r="CB317" s="31"/>
      <c r="CC317" s="32"/>
      <c r="CD317" s="33"/>
      <c r="CE317" s="33"/>
      <c r="CF317" s="33"/>
      <c r="CG317" s="33"/>
      <c r="CH317" s="33"/>
      <c r="CI317" s="33"/>
      <c r="CJ317" s="33"/>
      <c r="CK317" s="33"/>
      <c r="CL317" s="33"/>
      <c r="CM317" s="33"/>
      <c r="CN317" s="33"/>
      <c r="CO317" s="31"/>
      <c r="CP317" s="32"/>
      <c r="CQ317" s="33"/>
      <c r="CR317" s="33"/>
      <c r="CS317" s="33"/>
      <c r="CT317" s="33"/>
      <c r="CU317" s="33"/>
      <c r="CV317" s="33"/>
      <c r="CW317" s="33"/>
      <c r="CX317" s="33"/>
      <c r="CY317" s="33"/>
      <c r="CZ317" s="33"/>
      <c r="DA317" s="33"/>
      <c r="DB317" s="31"/>
      <c r="DC317" s="32"/>
      <c r="DD317" s="33"/>
      <c r="DE317" s="33"/>
      <c r="DF317" s="33"/>
      <c r="DG317" s="33"/>
      <c r="DH317" s="33"/>
      <c r="DI317" s="33"/>
      <c r="DJ317" s="33"/>
      <c r="DK317" s="33"/>
      <c r="DL317" s="33"/>
      <c r="DM317" s="33"/>
      <c r="DN317" s="33"/>
      <c r="DO317" s="31"/>
      <c r="DP317" s="32"/>
      <c r="DQ317" s="33"/>
      <c r="DR317" s="33"/>
      <c r="DS317" s="33"/>
      <c r="DT317" s="33"/>
      <c r="DU317" s="33"/>
      <c r="DV317" s="33"/>
      <c r="DW317" s="33"/>
      <c r="DX317" s="33"/>
      <c r="DY317" s="33"/>
      <c r="DZ317" s="33"/>
      <c r="EA317" s="33"/>
      <c r="EB317" s="31"/>
      <c r="EC317" s="32"/>
      <c r="ED317" s="33"/>
      <c r="EE317" s="33"/>
      <c r="EF317" s="33"/>
      <c r="EG317" s="33"/>
      <c r="EH317" s="33"/>
      <c r="EI317" s="33"/>
      <c r="EJ317" s="33"/>
      <c r="EK317" s="33"/>
      <c r="EL317" s="33"/>
      <c r="EM317" s="33"/>
      <c r="EN317" s="33"/>
      <c r="EO317" s="31"/>
      <c r="EP317" s="32"/>
      <c r="EQ317" s="33"/>
      <c r="ER317" s="33"/>
      <c r="ES317" s="33"/>
      <c r="ET317" s="33"/>
      <c r="EU317" s="33"/>
      <c r="EV317" s="33"/>
      <c r="EW317" s="33"/>
      <c r="EX317" s="33"/>
      <c r="EY317" s="33"/>
      <c r="EZ317" s="33"/>
      <c r="FA317" s="33"/>
      <c r="FB317" s="31"/>
      <c r="FC317" s="32"/>
      <c r="FD317" s="33"/>
      <c r="FE317" s="33"/>
      <c r="FF317" s="33"/>
      <c r="FG317" s="33"/>
      <c r="FH317" s="33"/>
      <c r="FI317" s="33"/>
      <c r="FJ317" s="33"/>
      <c r="FK317" s="33"/>
      <c r="FL317" s="33"/>
      <c r="FM317" s="33"/>
      <c r="FN317" s="33"/>
      <c r="FO317" s="34">
        <f t="shared" ref="FO317:FV317" si="310">IFERROR(R317*1,0)+IFERROR(AE317*1,0)+IFERROR(AR317*1,0)+IFERROR(BE317*1,0)+IFERROR(BR317*1,0)+IFERROR(CE317*1,0)+IFERROR(CR317*1,0)+IFERROR(DE317*1,0)+IFERROR(DR317*1,0)+IFERROR(EE317*1,0)+IFERROR(ER317*1,0)+IFERROR(FE317*1,0)</f>
        <v>0</v>
      </c>
      <c r="FP317" s="34">
        <f t="shared" si="310"/>
        <v>0</v>
      </c>
      <c r="FQ317" s="34">
        <f t="shared" si="310"/>
        <v>0</v>
      </c>
      <c r="FR317" s="34">
        <f t="shared" si="310"/>
        <v>0</v>
      </c>
      <c r="FS317" s="34">
        <f t="shared" si="310"/>
        <v>0</v>
      </c>
      <c r="FT317" s="34">
        <f t="shared" si="310"/>
        <v>0</v>
      </c>
      <c r="FU317" s="34">
        <f t="shared" si="310"/>
        <v>0</v>
      </c>
      <c r="FV317" s="34">
        <f t="shared" si="310"/>
        <v>0</v>
      </c>
      <c r="FW317" s="28"/>
      <c r="FX317" s="29">
        <f t="shared" si="3"/>
        <v>0</v>
      </c>
    </row>
    <row r="318" spans="1:180" ht="18" customHeight="1" x14ac:dyDescent="0.25">
      <c r="A318" s="3" t="str">
        <f>IF(C318&lt;&gt;"","DRG-"&amp;TEXT(313,"000"),"")</f>
        <v/>
      </c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38">
        <v>4</v>
      </c>
      <c r="M318" s="23" t="str">
        <f t="shared" si="0"/>
        <v>✘ Pending</v>
      </c>
      <c r="N318" s="23">
        <f t="shared" si="1"/>
        <v>0</v>
      </c>
      <c r="O318" s="25"/>
      <c r="P318" s="26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  <c r="AB318" s="25"/>
      <c r="AC318" s="26"/>
      <c r="AD318" s="24"/>
      <c r="AE318" s="24"/>
      <c r="AF318" s="24"/>
      <c r="AG318" s="24"/>
      <c r="AH318" s="24"/>
      <c r="AI318" s="24"/>
      <c r="AJ318" s="24"/>
      <c r="AK318" s="24"/>
      <c r="AL318" s="24"/>
      <c r="AM318" s="24"/>
      <c r="AN318" s="24"/>
      <c r="AO318" s="25"/>
      <c r="AP318" s="26"/>
      <c r="AQ318" s="24"/>
      <c r="AR318" s="24"/>
      <c r="AS318" s="24"/>
      <c r="AT318" s="24"/>
      <c r="AU318" s="24"/>
      <c r="AV318" s="24"/>
      <c r="AW318" s="24"/>
      <c r="AX318" s="24"/>
      <c r="AY318" s="24"/>
      <c r="AZ318" s="24"/>
      <c r="BA318" s="24"/>
      <c r="BB318" s="25"/>
      <c r="BC318" s="26"/>
      <c r="BD318" s="24"/>
      <c r="BE318" s="24"/>
      <c r="BF318" s="24"/>
      <c r="BG318" s="24"/>
      <c r="BH318" s="24"/>
      <c r="BI318" s="24"/>
      <c r="BJ318" s="24"/>
      <c r="BK318" s="24"/>
      <c r="BL318" s="24"/>
      <c r="BM318" s="24"/>
      <c r="BN318" s="24"/>
      <c r="BO318" s="25"/>
      <c r="BP318" s="26"/>
      <c r="BQ318" s="24"/>
      <c r="BR318" s="24"/>
      <c r="BS318" s="24"/>
      <c r="BT318" s="24"/>
      <c r="BU318" s="24"/>
      <c r="BV318" s="24"/>
      <c r="BW318" s="24"/>
      <c r="BX318" s="24"/>
      <c r="BY318" s="24"/>
      <c r="BZ318" s="24"/>
      <c r="CA318" s="24"/>
      <c r="CB318" s="25"/>
      <c r="CC318" s="26"/>
      <c r="CD318" s="24"/>
      <c r="CE318" s="24"/>
      <c r="CF318" s="24"/>
      <c r="CG318" s="24"/>
      <c r="CH318" s="24"/>
      <c r="CI318" s="24"/>
      <c r="CJ318" s="24"/>
      <c r="CK318" s="24"/>
      <c r="CL318" s="24"/>
      <c r="CM318" s="24"/>
      <c r="CN318" s="24"/>
      <c r="CO318" s="25"/>
      <c r="CP318" s="26"/>
      <c r="CQ318" s="24"/>
      <c r="CR318" s="24"/>
      <c r="CS318" s="24"/>
      <c r="CT318" s="24"/>
      <c r="CU318" s="24"/>
      <c r="CV318" s="24"/>
      <c r="CW318" s="24"/>
      <c r="CX318" s="24"/>
      <c r="CY318" s="24"/>
      <c r="CZ318" s="24"/>
      <c r="DA318" s="24"/>
      <c r="DB318" s="25"/>
      <c r="DC318" s="26"/>
      <c r="DD318" s="24"/>
      <c r="DE318" s="24"/>
      <c r="DF318" s="24"/>
      <c r="DG318" s="24"/>
      <c r="DH318" s="24"/>
      <c r="DI318" s="24"/>
      <c r="DJ318" s="24"/>
      <c r="DK318" s="24"/>
      <c r="DL318" s="24"/>
      <c r="DM318" s="24"/>
      <c r="DN318" s="24"/>
      <c r="DO318" s="25"/>
      <c r="DP318" s="26"/>
      <c r="DQ318" s="24"/>
      <c r="DR318" s="24"/>
      <c r="DS318" s="24"/>
      <c r="DT318" s="24"/>
      <c r="DU318" s="24"/>
      <c r="DV318" s="24"/>
      <c r="DW318" s="24"/>
      <c r="DX318" s="24"/>
      <c r="DY318" s="24"/>
      <c r="DZ318" s="24"/>
      <c r="EA318" s="24"/>
      <c r="EB318" s="25"/>
      <c r="EC318" s="26"/>
      <c r="ED318" s="24"/>
      <c r="EE318" s="24"/>
      <c r="EF318" s="24"/>
      <c r="EG318" s="24"/>
      <c r="EH318" s="24"/>
      <c r="EI318" s="24"/>
      <c r="EJ318" s="24"/>
      <c r="EK318" s="24"/>
      <c r="EL318" s="24"/>
      <c r="EM318" s="24"/>
      <c r="EN318" s="24"/>
      <c r="EO318" s="25"/>
      <c r="EP318" s="26"/>
      <c r="EQ318" s="24"/>
      <c r="ER318" s="24"/>
      <c r="ES318" s="24"/>
      <c r="ET318" s="24"/>
      <c r="EU318" s="24"/>
      <c r="EV318" s="24"/>
      <c r="EW318" s="24"/>
      <c r="EX318" s="24"/>
      <c r="EY318" s="24"/>
      <c r="EZ318" s="24"/>
      <c r="FA318" s="24"/>
      <c r="FB318" s="25"/>
      <c r="FC318" s="26"/>
      <c r="FD318" s="24"/>
      <c r="FE318" s="24"/>
      <c r="FF318" s="24"/>
      <c r="FG318" s="24"/>
      <c r="FH318" s="24"/>
      <c r="FI318" s="24"/>
      <c r="FJ318" s="24"/>
      <c r="FK318" s="24"/>
      <c r="FL318" s="24"/>
      <c r="FM318" s="24"/>
      <c r="FN318" s="24"/>
      <c r="FO318" s="27">
        <f t="shared" ref="FO318:FV318" si="311">IFERROR(R318*1,0)+IFERROR(AE318*1,0)+IFERROR(AR318*1,0)+IFERROR(BE318*1,0)+IFERROR(BR318*1,0)+IFERROR(CE318*1,0)+IFERROR(CR318*1,0)+IFERROR(DE318*1,0)+IFERROR(DR318*1,0)+IFERROR(EE318*1,0)+IFERROR(ER318*1,0)+IFERROR(FE318*1,0)</f>
        <v>0</v>
      </c>
      <c r="FP318" s="27">
        <f t="shared" si="311"/>
        <v>0</v>
      </c>
      <c r="FQ318" s="27">
        <f t="shared" si="311"/>
        <v>0</v>
      </c>
      <c r="FR318" s="27">
        <f t="shared" si="311"/>
        <v>0</v>
      </c>
      <c r="FS318" s="27">
        <f t="shared" si="311"/>
        <v>0</v>
      </c>
      <c r="FT318" s="27">
        <f t="shared" si="311"/>
        <v>0</v>
      </c>
      <c r="FU318" s="27">
        <f t="shared" si="311"/>
        <v>0</v>
      </c>
      <c r="FV318" s="27">
        <f t="shared" si="311"/>
        <v>0</v>
      </c>
      <c r="FW318" s="28"/>
      <c r="FX318" s="29">
        <f t="shared" si="3"/>
        <v>0</v>
      </c>
    </row>
    <row r="319" spans="1:180" ht="18" customHeight="1" x14ac:dyDescent="0.25">
      <c r="A319" s="3" t="str">
        <f>IF(C319&lt;&gt;"","DRG-"&amp;TEXT(314,"000"),"")</f>
        <v/>
      </c>
      <c r="B319" s="33"/>
      <c r="C319" s="33"/>
      <c r="D319" s="33"/>
      <c r="E319" s="33"/>
      <c r="F319" s="33"/>
      <c r="G319" s="33"/>
      <c r="H319" s="33"/>
      <c r="I319" s="33"/>
      <c r="J319" s="33"/>
      <c r="K319" s="33"/>
      <c r="L319" s="37">
        <v>4</v>
      </c>
      <c r="M319" s="30" t="str">
        <f t="shared" si="0"/>
        <v>✘ Pending</v>
      </c>
      <c r="N319" s="30">
        <f t="shared" si="1"/>
        <v>0</v>
      </c>
      <c r="O319" s="31"/>
      <c r="P319" s="32"/>
      <c r="Q319" s="33"/>
      <c r="R319" s="33"/>
      <c r="S319" s="33"/>
      <c r="T319" s="33"/>
      <c r="U319" s="33"/>
      <c r="V319" s="33"/>
      <c r="W319" s="33"/>
      <c r="X319" s="33"/>
      <c r="Y319" s="33"/>
      <c r="Z319" s="33"/>
      <c r="AA319" s="33"/>
      <c r="AB319" s="31"/>
      <c r="AC319" s="32"/>
      <c r="AD319" s="33"/>
      <c r="AE319" s="33"/>
      <c r="AF319" s="33"/>
      <c r="AG319" s="33"/>
      <c r="AH319" s="33"/>
      <c r="AI319" s="33"/>
      <c r="AJ319" s="33"/>
      <c r="AK319" s="33"/>
      <c r="AL319" s="33"/>
      <c r="AM319" s="33"/>
      <c r="AN319" s="33"/>
      <c r="AO319" s="31"/>
      <c r="AP319" s="32"/>
      <c r="AQ319" s="33"/>
      <c r="AR319" s="33"/>
      <c r="AS319" s="33"/>
      <c r="AT319" s="33"/>
      <c r="AU319" s="33"/>
      <c r="AV319" s="33"/>
      <c r="AW319" s="33"/>
      <c r="AX319" s="33"/>
      <c r="AY319" s="33"/>
      <c r="AZ319" s="33"/>
      <c r="BA319" s="33"/>
      <c r="BB319" s="31"/>
      <c r="BC319" s="32"/>
      <c r="BD319" s="33"/>
      <c r="BE319" s="33"/>
      <c r="BF319" s="33"/>
      <c r="BG319" s="33"/>
      <c r="BH319" s="33"/>
      <c r="BI319" s="33"/>
      <c r="BJ319" s="33"/>
      <c r="BK319" s="33"/>
      <c r="BL319" s="33"/>
      <c r="BM319" s="33"/>
      <c r="BN319" s="33"/>
      <c r="BO319" s="31"/>
      <c r="BP319" s="32"/>
      <c r="BQ319" s="33"/>
      <c r="BR319" s="33"/>
      <c r="BS319" s="33"/>
      <c r="BT319" s="33"/>
      <c r="BU319" s="33"/>
      <c r="BV319" s="33"/>
      <c r="BW319" s="33"/>
      <c r="BX319" s="33"/>
      <c r="BY319" s="33"/>
      <c r="BZ319" s="33"/>
      <c r="CA319" s="33"/>
      <c r="CB319" s="31"/>
      <c r="CC319" s="32"/>
      <c r="CD319" s="33"/>
      <c r="CE319" s="33"/>
      <c r="CF319" s="33"/>
      <c r="CG319" s="33"/>
      <c r="CH319" s="33"/>
      <c r="CI319" s="33"/>
      <c r="CJ319" s="33"/>
      <c r="CK319" s="33"/>
      <c r="CL319" s="33"/>
      <c r="CM319" s="33"/>
      <c r="CN319" s="33"/>
      <c r="CO319" s="31"/>
      <c r="CP319" s="32"/>
      <c r="CQ319" s="33"/>
      <c r="CR319" s="33"/>
      <c r="CS319" s="33"/>
      <c r="CT319" s="33"/>
      <c r="CU319" s="33"/>
      <c r="CV319" s="33"/>
      <c r="CW319" s="33"/>
      <c r="CX319" s="33"/>
      <c r="CY319" s="33"/>
      <c r="CZ319" s="33"/>
      <c r="DA319" s="33"/>
      <c r="DB319" s="31"/>
      <c r="DC319" s="32"/>
      <c r="DD319" s="33"/>
      <c r="DE319" s="33"/>
      <c r="DF319" s="33"/>
      <c r="DG319" s="33"/>
      <c r="DH319" s="33"/>
      <c r="DI319" s="33"/>
      <c r="DJ319" s="33"/>
      <c r="DK319" s="33"/>
      <c r="DL319" s="33"/>
      <c r="DM319" s="33"/>
      <c r="DN319" s="33"/>
      <c r="DO319" s="31"/>
      <c r="DP319" s="32"/>
      <c r="DQ319" s="33"/>
      <c r="DR319" s="33"/>
      <c r="DS319" s="33"/>
      <c r="DT319" s="33"/>
      <c r="DU319" s="33"/>
      <c r="DV319" s="33"/>
      <c r="DW319" s="33"/>
      <c r="DX319" s="33"/>
      <c r="DY319" s="33"/>
      <c r="DZ319" s="33"/>
      <c r="EA319" s="33"/>
      <c r="EB319" s="31"/>
      <c r="EC319" s="32"/>
      <c r="ED319" s="33"/>
      <c r="EE319" s="33"/>
      <c r="EF319" s="33"/>
      <c r="EG319" s="33"/>
      <c r="EH319" s="33"/>
      <c r="EI319" s="33"/>
      <c r="EJ319" s="33"/>
      <c r="EK319" s="33"/>
      <c r="EL319" s="33"/>
      <c r="EM319" s="33"/>
      <c r="EN319" s="33"/>
      <c r="EO319" s="31"/>
      <c r="EP319" s="32"/>
      <c r="EQ319" s="33"/>
      <c r="ER319" s="33"/>
      <c r="ES319" s="33"/>
      <c r="ET319" s="33"/>
      <c r="EU319" s="33"/>
      <c r="EV319" s="33"/>
      <c r="EW319" s="33"/>
      <c r="EX319" s="33"/>
      <c r="EY319" s="33"/>
      <c r="EZ319" s="33"/>
      <c r="FA319" s="33"/>
      <c r="FB319" s="31"/>
      <c r="FC319" s="32"/>
      <c r="FD319" s="33"/>
      <c r="FE319" s="33"/>
      <c r="FF319" s="33"/>
      <c r="FG319" s="33"/>
      <c r="FH319" s="33"/>
      <c r="FI319" s="33"/>
      <c r="FJ319" s="33"/>
      <c r="FK319" s="33"/>
      <c r="FL319" s="33"/>
      <c r="FM319" s="33"/>
      <c r="FN319" s="33"/>
      <c r="FO319" s="34">
        <f t="shared" ref="FO319:FV319" si="312">IFERROR(R319*1,0)+IFERROR(AE319*1,0)+IFERROR(AR319*1,0)+IFERROR(BE319*1,0)+IFERROR(BR319*1,0)+IFERROR(CE319*1,0)+IFERROR(CR319*1,0)+IFERROR(DE319*1,0)+IFERROR(DR319*1,0)+IFERROR(EE319*1,0)+IFERROR(ER319*1,0)+IFERROR(FE319*1,0)</f>
        <v>0</v>
      </c>
      <c r="FP319" s="34">
        <f t="shared" si="312"/>
        <v>0</v>
      </c>
      <c r="FQ319" s="34">
        <f t="shared" si="312"/>
        <v>0</v>
      </c>
      <c r="FR319" s="34">
        <f t="shared" si="312"/>
        <v>0</v>
      </c>
      <c r="FS319" s="34">
        <f t="shared" si="312"/>
        <v>0</v>
      </c>
      <c r="FT319" s="34">
        <f t="shared" si="312"/>
        <v>0</v>
      </c>
      <c r="FU319" s="34">
        <f t="shared" si="312"/>
        <v>0</v>
      </c>
      <c r="FV319" s="34">
        <f t="shared" si="312"/>
        <v>0</v>
      </c>
      <c r="FW319" s="28"/>
      <c r="FX319" s="29">
        <f t="shared" si="3"/>
        <v>0</v>
      </c>
    </row>
    <row r="320" spans="1:180" ht="18" customHeight="1" x14ac:dyDescent="0.25">
      <c r="A320" s="3" t="str">
        <f>IF(C320&lt;&gt;"","DRG-"&amp;TEXT(315,"000"),"")</f>
        <v/>
      </c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38">
        <v>4</v>
      </c>
      <c r="M320" s="23" t="str">
        <f t="shared" si="0"/>
        <v>✘ Pending</v>
      </c>
      <c r="N320" s="23">
        <f t="shared" si="1"/>
        <v>0</v>
      </c>
      <c r="O320" s="25"/>
      <c r="P320" s="26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  <c r="AB320" s="25"/>
      <c r="AC320" s="26"/>
      <c r="AD320" s="24"/>
      <c r="AE320" s="24"/>
      <c r="AF320" s="24"/>
      <c r="AG320" s="24"/>
      <c r="AH320" s="24"/>
      <c r="AI320" s="24"/>
      <c r="AJ320" s="24"/>
      <c r="AK320" s="24"/>
      <c r="AL320" s="24"/>
      <c r="AM320" s="24"/>
      <c r="AN320" s="24"/>
      <c r="AO320" s="25"/>
      <c r="AP320" s="26"/>
      <c r="AQ320" s="24"/>
      <c r="AR320" s="24"/>
      <c r="AS320" s="24"/>
      <c r="AT320" s="24"/>
      <c r="AU320" s="24"/>
      <c r="AV320" s="24"/>
      <c r="AW320" s="24"/>
      <c r="AX320" s="24"/>
      <c r="AY320" s="24"/>
      <c r="AZ320" s="24"/>
      <c r="BA320" s="24"/>
      <c r="BB320" s="25"/>
      <c r="BC320" s="26"/>
      <c r="BD320" s="24"/>
      <c r="BE320" s="24"/>
      <c r="BF320" s="24"/>
      <c r="BG320" s="24"/>
      <c r="BH320" s="24"/>
      <c r="BI320" s="24"/>
      <c r="BJ320" s="24"/>
      <c r="BK320" s="24"/>
      <c r="BL320" s="24"/>
      <c r="BM320" s="24"/>
      <c r="BN320" s="24"/>
      <c r="BO320" s="25"/>
      <c r="BP320" s="26"/>
      <c r="BQ320" s="24"/>
      <c r="BR320" s="24"/>
      <c r="BS320" s="24"/>
      <c r="BT320" s="24"/>
      <c r="BU320" s="24"/>
      <c r="BV320" s="24"/>
      <c r="BW320" s="24"/>
      <c r="BX320" s="24"/>
      <c r="BY320" s="24"/>
      <c r="BZ320" s="24"/>
      <c r="CA320" s="24"/>
      <c r="CB320" s="25"/>
      <c r="CC320" s="26"/>
      <c r="CD320" s="24"/>
      <c r="CE320" s="24"/>
      <c r="CF320" s="24"/>
      <c r="CG320" s="24"/>
      <c r="CH320" s="24"/>
      <c r="CI320" s="24"/>
      <c r="CJ320" s="24"/>
      <c r="CK320" s="24"/>
      <c r="CL320" s="24"/>
      <c r="CM320" s="24"/>
      <c r="CN320" s="24"/>
      <c r="CO320" s="25"/>
      <c r="CP320" s="26"/>
      <c r="CQ320" s="24"/>
      <c r="CR320" s="24"/>
      <c r="CS320" s="24"/>
      <c r="CT320" s="24"/>
      <c r="CU320" s="24"/>
      <c r="CV320" s="24"/>
      <c r="CW320" s="24"/>
      <c r="CX320" s="24"/>
      <c r="CY320" s="24"/>
      <c r="CZ320" s="24"/>
      <c r="DA320" s="24"/>
      <c r="DB320" s="25"/>
      <c r="DC320" s="26"/>
      <c r="DD320" s="24"/>
      <c r="DE320" s="24"/>
      <c r="DF320" s="24"/>
      <c r="DG320" s="24"/>
      <c r="DH320" s="24"/>
      <c r="DI320" s="24"/>
      <c r="DJ320" s="24"/>
      <c r="DK320" s="24"/>
      <c r="DL320" s="24"/>
      <c r="DM320" s="24"/>
      <c r="DN320" s="24"/>
      <c r="DO320" s="25"/>
      <c r="DP320" s="26"/>
      <c r="DQ320" s="24"/>
      <c r="DR320" s="24"/>
      <c r="DS320" s="24"/>
      <c r="DT320" s="24"/>
      <c r="DU320" s="24"/>
      <c r="DV320" s="24"/>
      <c r="DW320" s="24"/>
      <c r="DX320" s="24"/>
      <c r="DY320" s="24"/>
      <c r="DZ320" s="24"/>
      <c r="EA320" s="24"/>
      <c r="EB320" s="25"/>
      <c r="EC320" s="26"/>
      <c r="ED320" s="24"/>
      <c r="EE320" s="24"/>
      <c r="EF320" s="24"/>
      <c r="EG320" s="24"/>
      <c r="EH320" s="24"/>
      <c r="EI320" s="24"/>
      <c r="EJ320" s="24"/>
      <c r="EK320" s="24"/>
      <c r="EL320" s="24"/>
      <c r="EM320" s="24"/>
      <c r="EN320" s="24"/>
      <c r="EO320" s="25"/>
      <c r="EP320" s="26"/>
      <c r="EQ320" s="24"/>
      <c r="ER320" s="24"/>
      <c r="ES320" s="24"/>
      <c r="ET320" s="24"/>
      <c r="EU320" s="24"/>
      <c r="EV320" s="24"/>
      <c r="EW320" s="24"/>
      <c r="EX320" s="24"/>
      <c r="EY320" s="24"/>
      <c r="EZ320" s="24"/>
      <c r="FA320" s="24"/>
      <c r="FB320" s="25"/>
      <c r="FC320" s="26"/>
      <c r="FD320" s="24"/>
      <c r="FE320" s="24"/>
      <c r="FF320" s="24"/>
      <c r="FG320" s="24"/>
      <c r="FH320" s="24"/>
      <c r="FI320" s="24"/>
      <c r="FJ320" s="24"/>
      <c r="FK320" s="24"/>
      <c r="FL320" s="24"/>
      <c r="FM320" s="24"/>
      <c r="FN320" s="24"/>
      <c r="FO320" s="27">
        <f t="shared" ref="FO320:FV320" si="313">IFERROR(R320*1,0)+IFERROR(AE320*1,0)+IFERROR(AR320*1,0)+IFERROR(BE320*1,0)+IFERROR(BR320*1,0)+IFERROR(CE320*1,0)+IFERROR(CR320*1,0)+IFERROR(DE320*1,0)+IFERROR(DR320*1,0)+IFERROR(EE320*1,0)+IFERROR(ER320*1,0)+IFERROR(FE320*1,0)</f>
        <v>0</v>
      </c>
      <c r="FP320" s="27">
        <f t="shared" si="313"/>
        <v>0</v>
      </c>
      <c r="FQ320" s="27">
        <f t="shared" si="313"/>
        <v>0</v>
      </c>
      <c r="FR320" s="27">
        <f t="shared" si="313"/>
        <v>0</v>
      </c>
      <c r="FS320" s="27">
        <f t="shared" si="313"/>
        <v>0</v>
      </c>
      <c r="FT320" s="27">
        <f t="shared" si="313"/>
        <v>0</v>
      </c>
      <c r="FU320" s="27">
        <f t="shared" si="313"/>
        <v>0</v>
      </c>
      <c r="FV320" s="27">
        <f t="shared" si="313"/>
        <v>0</v>
      </c>
      <c r="FW320" s="28"/>
      <c r="FX320" s="29">
        <f t="shared" si="3"/>
        <v>0</v>
      </c>
    </row>
    <row r="321" spans="1:180" ht="18" customHeight="1" x14ac:dyDescent="0.25">
      <c r="A321" s="3" t="str">
        <f>IF(C321&lt;&gt;"","DRG-"&amp;TEXT(316,"000"),"")</f>
        <v/>
      </c>
      <c r="B321" s="33"/>
      <c r="C321" s="33"/>
      <c r="D321" s="33"/>
      <c r="E321" s="33"/>
      <c r="F321" s="33"/>
      <c r="G321" s="33"/>
      <c r="H321" s="33"/>
      <c r="I321" s="33"/>
      <c r="J321" s="33"/>
      <c r="K321" s="33"/>
      <c r="L321" s="37">
        <v>4</v>
      </c>
      <c r="M321" s="30" t="str">
        <f t="shared" si="0"/>
        <v>✘ Pending</v>
      </c>
      <c r="N321" s="30">
        <f t="shared" si="1"/>
        <v>0</v>
      </c>
      <c r="O321" s="31"/>
      <c r="P321" s="32"/>
      <c r="Q321" s="33"/>
      <c r="R321" s="33"/>
      <c r="S321" s="33"/>
      <c r="T321" s="33"/>
      <c r="U321" s="33"/>
      <c r="V321" s="33"/>
      <c r="W321" s="33"/>
      <c r="X321" s="33"/>
      <c r="Y321" s="33"/>
      <c r="Z321" s="33"/>
      <c r="AA321" s="33"/>
      <c r="AB321" s="31"/>
      <c r="AC321" s="32"/>
      <c r="AD321" s="33"/>
      <c r="AE321" s="33"/>
      <c r="AF321" s="33"/>
      <c r="AG321" s="33"/>
      <c r="AH321" s="33"/>
      <c r="AI321" s="33"/>
      <c r="AJ321" s="33"/>
      <c r="AK321" s="33"/>
      <c r="AL321" s="33"/>
      <c r="AM321" s="33"/>
      <c r="AN321" s="33"/>
      <c r="AO321" s="31"/>
      <c r="AP321" s="32"/>
      <c r="AQ321" s="33"/>
      <c r="AR321" s="33"/>
      <c r="AS321" s="33"/>
      <c r="AT321" s="33"/>
      <c r="AU321" s="33"/>
      <c r="AV321" s="33"/>
      <c r="AW321" s="33"/>
      <c r="AX321" s="33"/>
      <c r="AY321" s="33"/>
      <c r="AZ321" s="33"/>
      <c r="BA321" s="33"/>
      <c r="BB321" s="31"/>
      <c r="BC321" s="32"/>
      <c r="BD321" s="33"/>
      <c r="BE321" s="33"/>
      <c r="BF321" s="33"/>
      <c r="BG321" s="33"/>
      <c r="BH321" s="33"/>
      <c r="BI321" s="33"/>
      <c r="BJ321" s="33"/>
      <c r="BK321" s="33"/>
      <c r="BL321" s="33"/>
      <c r="BM321" s="33"/>
      <c r="BN321" s="33"/>
      <c r="BO321" s="31"/>
      <c r="BP321" s="32"/>
      <c r="BQ321" s="33"/>
      <c r="BR321" s="33"/>
      <c r="BS321" s="33"/>
      <c r="BT321" s="33"/>
      <c r="BU321" s="33"/>
      <c r="BV321" s="33"/>
      <c r="BW321" s="33"/>
      <c r="BX321" s="33"/>
      <c r="BY321" s="33"/>
      <c r="BZ321" s="33"/>
      <c r="CA321" s="33"/>
      <c r="CB321" s="31"/>
      <c r="CC321" s="32"/>
      <c r="CD321" s="33"/>
      <c r="CE321" s="33"/>
      <c r="CF321" s="33"/>
      <c r="CG321" s="33"/>
      <c r="CH321" s="33"/>
      <c r="CI321" s="33"/>
      <c r="CJ321" s="33"/>
      <c r="CK321" s="33"/>
      <c r="CL321" s="33"/>
      <c r="CM321" s="33"/>
      <c r="CN321" s="33"/>
      <c r="CO321" s="31"/>
      <c r="CP321" s="32"/>
      <c r="CQ321" s="33"/>
      <c r="CR321" s="33"/>
      <c r="CS321" s="33"/>
      <c r="CT321" s="33"/>
      <c r="CU321" s="33"/>
      <c r="CV321" s="33"/>
      <c r="CW321" s="33"/>
      <c r="CX321" s="33"/>
      <c r="CY321" s="33"/>
      <c r="CZ321" s="33"/>
      <c r="DA321" s="33"/>
      <c r="DB321" s="31"/>
      <c r="DC321" s="32"/>
      <c r="DD321" s="33"/>
      <c r="DE321" s="33"/>
      <c r="DF321" s="33"/>
      <c r="DG321" s="33"/>
      <c r="DH321" s="33"/>
      <c r="DI321" s="33"/>
      <c r="DJ321" s="33"/>
      <c r="DK321" s="33"/>
      <c r="DL321" s="33"/>
      <c r="DM321" s="33"/>
      <c r="DN321" s="33"/>
      <c r="DO321" s="31"/>
      <c r="DP321" s="32"/>
      <c r="DQ321" s="33"/>
      <c r="DR321" s="33"/>
      <c r="DS321" s="33"/>
      <c r="DT321" s="33"/>
      <c r="DU321" s="33"/>
      <c r="DV321" s="33"/>
      <c r="DW321" s="33"/>
      <c r="DX321" s="33"/>
      <c r="DY321" s="33"/>
      <c r="DZ321" s="33"/>
      <c r="EA321" s="33"/>
      <c r="EB321" s="31"/>
      <c r="EC321" s="32"/>
      <c r="ED321" s="33"/>
      <c r="EE321" s="33"/>
      <c r="EF321" s="33"/>
      <c r="EG321" s="33"/>
      <c r="EH321" s="33"/>
      <c r="EI321" s="33"/>
      <c r="EJ321" s="33"/>
      <c r="EK321" s="33"/>
      <c r="EL321" s="33"/>
      <c r="EM321" s="33"/>
      <c r="EN321" s="33"/>
      <c r="EO321" s="31"/>
      <c r="EP321" s="32"/>
      <c r="EQ321" s="33"/>
      <c r="ER321" s="33"/>
      <c r="ES321" s="33"/>
      <c r="ET321" s="33"/>
      <c r="EU321" s="33"/>
      <c r="EV321" s="33"/>
      <c r="EW321" s="33"/>
      <c r="EX321" s="33"/>
      <c r="EY321" s="33"/>
      <c r="EZ321" s="33"/>
      <c r="FA321" s="33"/>
      <c r="FB321" s="31"/>
      <c r="FC321" s="32"/>
      <c r="FD321" s="33"/>
      <c r="FE321" s="33"/>
      <c r="FF321" s="33"/>
      <c r="FG321" s="33"/>
      <c r="FH321" s="33"/>
      <c r="FI321" s="33"/>
      <c r="FJ321" s="33"/>
      <c r="FK321" s="33"/>
      <c r="FL321" s="33"/>
      <c r="FM321" s="33"/>
      <c r="FN321" s="33"/>
      <c r="FO321" s="34">
        <f t="shared" ref="FO321:FV321" si="314">IFERROR(R321*1,0)+IFERROR(AE321*1,0)+IFERROR(AR321*1,0)+IFERROR(BE321*1,0)+IFERROR(BR321*1,0)+IFERROR(CE321*1,0)+IFERROR(CR321*1,0)+IFERROR(DE321*1,0)+IFERROR(DR321*1,0)+IFERROR(EE321*1,0)+IFERROR(ER321*1,0)+IFERROR(FE321*1,0)</f>
        <v>0</v>
      </c>
      <c r="FP321" s="34">
        <f t="shared" si="314"/>
        <v>0</v>
      </c>
      <c r="FQ321" s="34">
        <f t="shared" si="314"/>
        <v>0</v>
      </c>
      <c r="FR321" s="34">
        <f t="shared" si="314"/>
        <v>0</v>
      </c>
      <c r="FS321" s="34">
        <f t="shared" si="314"/>
        <v>0</v>
      </c>
      <c r="FT321" s="34">
        <f t="shared" si="314"/>
        <v>0</v>
      </c>
      <c r="FU321" s="34">
        <f t="shared" si="314"/>
        <v>0</v>
      </c>
      <c r="FV321" s="34">
        <f t="shared" si="314"/>
        <v>0</v>
      </c>
      <c r="FW321" s="28"/>
      <c r="FX321" s="29">
        <f t="shared" si="3"/>
        <v>0</v>
      </c>
    </row>
    <row r="322" spans="1:180" ht="18" customHeight="1" x14ac:dyDescent="0.25">
      <c r="A322" s="3" t="str">
        <f>IF(C322&lt;&gt;"","DRG-"&amp;TEXT(317,"000"),"")</f>
        <v/>
      </c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38">
        <v>4</v>
      </c>
      <c r="M322" s="23" t="str">
        <f t="shared" si="0"/>
        <v>✘ Pending</v>
      </c>
      <c r="N322" s="23">
        <f t="shared" si="1"/>
        <v>0</v>
      </c>
      <c r="O322" s="25"/>
      <c r="P322" s="26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  <c r="AB322" s="25"/>
      <c r="AC322" s="26"/>
      <c r="AD322" s="24"/>
      <c r="AE322" s="24"/>
      <c r="AF322" s="24"/>
      <c r="AG322" s="24"/>
      <c r="AH322" s="24"/>
      <c r="AI322" s="24"/>
      <c r="AJ322" s="24"/>
      <c r="AK322" s="24"/>
      <c r="AL322" s="24"/>
      <c r="AM322" s="24"/>
      <c r="AN322" s="24"/>
      <c r="AO322" s="25"/>
      <c r="AP322" s="26"/>
      <c r="AQ322" s="24"/>
      <c r="AR322" s="24"/>
      <c r="AS322" s="24"/>
      <c r="AT322" s="24"/>
      <c r="AU322" s="24"/>
      <c r="AV322" s="24"/>
      <c r="AW322" s="24"/>
      <c r="AX322" s="24"/>
      <c r="AY322" s="24"/>
      <c r="AZ322" s="24"/>
      <c r="BA322" s="24"/>
      <c r="BB322" s="25"/>
      <c r="BC322" s="26"/>
      <c r="BD322" s="24"/>
      <c r="BE322" s="24"/>
      <c r="BF322" s="24"/>
      <c r="BG322" s="24"/>
      <c r="BH322" s="24"/>
      <c r="BI322" s="24"/>
      <c r="BJ322" s="24"/>
      <c r="BK322" s="24"/>
      <c r="BL322" s="24"/>
      <c r="BM322" s="24"/>
      <c r="BN322" s="24"/>
      <c r="BO322" s="25"/>
      <c r="BP322" s="26"/>
      <c r="BQ322" s="24"/>
      <c r="BR322" s="24"/>
      <c r="BS322" s="24"/>
      <c r="BT322" s="24"/>
      <c r="BU322" s="24"/>
      <c r="BV322" s="24"/>
      <c r="BW322" s="24"/>
      <c r="BX322" s="24"/>
      <c r="BY322" s="24"/>
      <c r="BZ322" s="24"/>
      <c r="CA322" s="24"/>
      <c r="CB322" s="25"/>
      <c r="CC322" s="26"/>
      <c r="CD322" s="24"/>
      <c r="CE322" s="24"/>
      <c r="CF322" s="24"/>
      <c r="CG322" s="24"/>
      <c r="CH322" s="24"/>
      <c r="CI322" s="24"/>
      <c r="CJ322" s="24"/>
      <c r="CK322" s="24"/>
      <c r="CL322" s="24"/>
      <c r="CM322" s="24"/>
      <c r="CN322" s="24"/>
      <c r="CO322" s="25"/>
      <c r="CP322" s="26"/>
      <c r="CQ322" s="24"/>
      <c r="CR322" s="24"/>
      <c r="CS322" s="24"/>
      <c r="CT322" s="24"/>
      <c r="CU322" s="24"/>
      <c r="CV322" s="24"/>
      <c r="CW322" s="24"/>
      <c r="CX322" s="24"/>
      <c r="CY322" s="24"/>
      <c r="CZ322" s="24"/>
      <c r="DA322" s="24"/>
      <c r="DB322" s="25"/>
      <c r="DC322" s="26"/>
      <c r="DD322" s="24"/>
      <c r="DE322" s="24"/>
      <c r="DF322" s="24"/>
      <c r="DG322" s="24"/>
      <c r="DH322" s="24"/>
      <c r="DI322" s="24"/>
      <c r="DJ322" s="24"/>
      <c r="DK322" s="24"/>
      <c r="DL322" s="24"/>
      <c r="DM322" s="24"/>
      <c r="DN322" s="24"/>
      <c r="DO322" s="25"/>
      <c r="DP322" s="26"/>
      <c r="DQ322" s="24"/>
      <c r="DR322" s="24"/>
      <c r="DS322" s="24"/>
      <c r="DT322" s="24"/>
      <c r="DU322" s="24"/>
      <c r="DV322" s="24"/>
      <c r="DW322" s="24"/>
      <c r="DX322" s="24"/>
      <c r="DY322" s="24"/>
      <c r="DZ322" s="24"/>
      <c r="EA322" s="24"/>
      <c r="EB322" s="25"/>
      <c r="EC322" s="26"/>
      <c r="ED322" s="24"/>
      <c r="EE322" s="24"/>
      <c r="EF322" s="24"/>
      <c r="EG322" s="24"/>
      <c r="EH322" s="24"/>
      <c r="EI322" s="24"/>
      <c r="EJ322" s="24"/>
      <c r="EK322" s="24"/>
      <c r="EL322" s="24"/>
      <c r="EM322" s="24"/>
      <c r="EN322" s="24"/>
      <c r="EO322" s="25"/>
      <c r="EP322" s="26"/>
      <c r="EQ322" s="24"/>
      <c r="ER322" s="24"/>
      <c r="ES322" s="24"/>
      <c r="ET322" s="24"/>
      <c r="EU322" s="24"/>
      <c r="EV322" s="24"/>
      <c r="EW322" s="24"/>
      <c r="EX322" s="24"/>
      <c r="EY322" s="24"/>
      <c r="EZ322" s="24"/>
      <c r="FA322" s="24"/>
      <c r="FB322" s="25"/>
      <c r="FC322" s="26"/>
      <c r="FD322" s="24"/>
      <c r="FE322" s="24"/>
      <c r="FF322" s="24"/>
      <c r="FG322" s="24"/>
      <c r="FH322" s="24"/>
      <c r="FI322" s="24"/>
      <c r="FJ322" s="24"/>
      <c r="FK322" s="24"/>
      <c r="FL322" s="24"/>
      <c r="FM322" s="24"/>
      <c r="FN322" s="24"/>
      <c r="FO322" s="27">
        <f t="shared" ref="FO322:FV322" si="315">IFERROR(R322*1,0)+IFERROR(AE322*1,0)+IFERROR(AR322*1,0)+IFERROR(BE322*1,0)+IFERROR(BR322*1,0)+IFERROR(CE322*1,0)+IFERROR(CR322*1,0)+IFERROR(DE322*1,0)+IFERROR(DR322*1,0)+IFERROR(EE322*1,0)+IFERROR(ER322*1,0)+IFERROR(FE322*1,0)</f>
        <v>0</v>
      </c>
      <c r="FP322" s="27">
        <f t="shared" si="315"/>
        <v>0</v>
      </c>
      <c r="FQ322" s="27">
        <f t="shared" si="315"/>
        <v>0</v>
      </c>
      <c r="FR322" s="27">
        <f t="shared" si="315"/>
        <v>0</v>
      </c>
      <c r="FS322" s="27">
        <f t="shared" si="315"/>
        <v>0</v>
      </c>
      <c r="FT322" s="27">
        <f t="shared" si="315"/>
        <v>0</v>
      </c>
      <c r="FU322" s="27">
        <f t="shared" si="315"/>
        <v>0</v>
      </c>
      <c r="FV322" s="27">
        <f t="shared" si="315"/>
        <v>0</v>
      </c>
      <c r="FW322" s="28"/>
      <c r="FX322" s="29">
        <f t="shared" si="3"/>
        <v>0</v>
      </c>
    </row>
    <row r="323" spans="1:180" ht="18" customHeight="1" x14ac:dyDescent="0.25">
      <c r="A323" s="3" t="str">
        <f>IF(C323&lt;&gt;"","DRG-"&amp;TEXT(318,"000"),"")</f>
        <v/>
      </c>
      <c r="B323" s="33"/>
      <c r="C323" s="33"/>
      <c r="D323" s="33"/>
      <c r="E323" s="33"/>
      <c r="F323" s="33"/>
      <c r="G323" s="33"/>
      <c r="H323" s="33"/>
      <c r="I323" s="33"/>
      <c r="J323" s="33"/>
      <c r="K323" s="33"/>
      <c r="L323" s="37">
        <v>4</v>
      </c>
      <c r="M323" s="30" t="str">
        <f t="shared" si="0"/>
        <v>✘ Pending</v>
      </c>
      <c r="N323" s="30">
        <f t="shared" si="1"/>
        <v>0</v>
      </c>
      <c r="O323" s="31"/>
      <c r="P323" s="32"/>
      <c r="Q323" s="33"/>
      <c r="R323" s="33"/>
      <c r="S323" s="33"/>
      <c r="T323" s="33"/>
      <c r="U323" s="33"/>
      <c r="V323" s="33"/>
      <c r="W323" s="33"/>
      <c r="X323" s="33"/>
      <c r="Y323" s="33"/>
      <c r="Z323" s="33"/>
      <c r="AA323" s="33"/>
      <c r="AB323" s="31"/>
      <c r="AC323" s="32"/>
      <c r="AD323" s="33"/>
      <c r="AE323" s="33"/>
      <c r="AF323" s="33"/>
      <c r="AG323" s="33"/>
      <c r="AH323" s="33"/>
      <c r="AI323" s="33"/>
      <c r="AJ323" s="33"/>
      <c r="AK323" s="33"/>
      <c r="AL323" s="33"/>
      <c r="AM323" s="33"/>
      <c r="AN323" s="33"/>
      <c r="AO323" s="31"/>
      <c r="AP323" s="32"/>
      <c r="AQ323" s="33"/>
      <c r="AR323" s="33"/>
      <c r="AS323" s="33"/>
      <c r="AT323" s="33"/>
      <c r="AU323" s="33"/>
      <c r="AV323" s="33"/>
      <c r="AW323" s="33"/>
      <c r="AX323" s="33"/>
      <c r="AY323" s="33"/>
      <c r="AZ323" s="33"/>
      <c r="BA323" s="33"/>
      <c r="BB323" s="31"/>
      <c r="BC323" s="32"/>
      <c r="BD323" s="33"/>
      <c r="BE323" s="33"/>
      <c r="BF323" s="33"/>
      <c r="BG323" s="33"/>
      <c r="BH323" s="33"/>
      <c r="BI323" s="33"/>
      <c r="BJ323" s="33"/>
      <c r="BK323" s="33"/>
      <c r="BL323" s="33"/>
      <c r="BM323" s="33"/>
      <c r="BN323" s="33"/>
      <c r="BO323" s="31"/>
      <c r="BP323" s="32"/>
      <c r="BQ323" s="33"/>
      <c r="BR323" s="33"/>
      <c r="BS323" s="33"/>
      <c r="BT323" s="33"/>
      <c r="BU323" s="33"/>
      <c r="BV323" s="33"/>
      <c r="BW323" s="33"/>
      <c r="BX323" s="33"/>
      <c r="BY323" s="33"/>
      <c r="BZ323" s="33"/>
      <c r="CA323" s="33"/>
      <c r="CB323" s="31"/>
      <c r="CC323" s="32"/>
      <c r="CD323" s="33"/>
      <c r="CE323" s="33"/>
      <c r="CF323" s="33"/>
      <c r="CG323" s="33"/>
      <c r="CH323" s="33"/>
      <c r="CI323" s="33"/>
      <c r="CJ323" s="33"/>
      <c r="CK323" s="33"/>
      <c r="CL323" s="33"/>
      <c r="CM323" s="33"/>
      <c r="CN323" s="33"/>
      <c r="CO323" s="31"/>
      <c r="CP323" s="32"/>
      <c r="CQ323" s="33"/>
      <c r="CR323" s="33"/>
      <c r="CS323" s="33"/>
      <c r="CT323" s="33"/>
      <c r="CU323" s="33"/>
      <c r="CV323" s="33"/>
      <c r="CW323" s="33"/>
      <c r="CX323" s="33"/>
      <c r="CY323" s="33"/>
      <c r="CZ323" s="33"/>
      <c r="DA323" s="33"/>
      <c r="DB323" s="31"/>
      <c r="DC323" s="32"/>
      <c r="DD323" s="33"/>
      <c r="DE323" s="33"/>
      <c r="DF323" s="33"/>
      <c r="DG323" s="33"/>
      <c r="DH323" s="33"/>
      <c r="DI323" s="33"/>
      <c r="DJ323" s="33"/>
      <c r="DK323" s="33"/>
      <c r="DL323" s="33"/>
      <c r="DM323" s="33"/>
      <c r="DN323" s="33"/>
      <c r="DO323" s="31"/>
      <c r="DP323" s="32"/>
      <c r="DQ323" s="33"/>
      <c r="DR323" s="33"/>
      <c r="DS323" s="33"/>
      <c r="DT323" s="33"/>
      <c r="DU323" s="33"/>
      <c r="DV323" s="33"/>
      <c r="DW323" s="33"/>
      <c r="DX323" s="33"/>
      <c r="DY323" s="33"/>
      <c r="DZ323" s="33"/>
      <c r="EA323" s="33"/>
      <c r="EB323" s="31"/>
      <c r="EC323" s="32"/>
      <c r="ED323" s="33"/>
      <c r="EE323" s="33"/>
      <c r="EF323" s="33"/>
      <c r="EG323" s="33"/>
      <c r="EH323" s="33"/>
      <c r="EI323" s="33"/>
      <c r="EJ323" s="33"/>
      <c r="EK323" s="33"/>
      <c r="EL323" s="33"/>
      <c r="EM323" s="33"/>
      <c r="EN323" s="33"/>
      <c r="EO323" s="31"/>
      <c r="EP323" s="32"/>
      <c r="EQ323" s="33"/>
      <c r="ER323" s="33"/>
      <c r="ES323" s="33"/>
      <c r="ET323" s="33"/>
      <c r="EU323" s="33"/>
      <c r="EV323" s="33"/>
      <c r="EW323" s="33"/>
      <c r="EX323" s="33"/>
      <c r="EY323" s="33"/>
      <c r="EZ323" s="33"/>
      <c r="FA323" s="33"/>
      <c r="FB323" s="31"/>
      <c r="FC323" s="32"/>
      <c r="FD323" s="33"/>
      <c r="FE323" s="33"/>
      <c r="FF323" s="33"/>
      <c r="FG323" s="33"/>
      <c r="FH323" s="33"/>
      <c r="FI323" s="33"/>
      <c r="FJ323" s="33"/>
      <c r="FK323" s="33"/>
      <c r="FL323" s="33"/>
      <c r="FM323" s="33"/>
      <c r="FN323" s="33"/>
      <c r="FO323" s="34">
        <f t="shared" ref="FO323:FV323" si="316">IFERROR(R323*1,0)+IFERROR(AE323*1,0)+IFERROR(AR323*1,0)+IFERROR(BE323*1,0)+IFERROR(BR323*1,0)+IFERROR(CE323*1,0)+IFERROR(CR323*1,0)+IFERROR(DE323*1,0)+IFERROR(DR323*1,0)+IFERROR(EE323*1,0)+IFERROR(ER323*1,0)+IFERROR(FE323*1,0)</f>
        <v>0</v>
      </c>
      <c r="FP323" s="34">
        <f t="shared" si="316"/>
        <v>0</v>
      </c>
      <c r="FQ323" s="34">
        <f t="shared" si="316"/>
        <v>0</v>
      </c>
      <c r="FR323" s="34">
        <f t="shared" si="316"/>
        <v>0</v>
      </c>
      <c r="FS323" s="34">
        <f t="shared" si="316"/>
        <v>0</v>
      </c>
      <c r="FT323" s="34">
        <f t="shared" si="316"/>
        <v>0</v>
      </c>
      <c r="FU323" s="34">
        <f t="shared" si="316"/>
        <v>0</v>
      </c>
      <c r="FV323" s="34">
        <f t="shared" si="316"/>
        <v>0</v>
      </c>
      <c r="FW323" s="28"/>
      <c r="FX323" s="29">
        <f t="shared" si="3"/>
        <v>0</v>
      </c>
    </row>
    <row r="324" spans="1:180" ht="18" customHeight="1" x14ac:dyDescent="0.25">
      <c r="A324" s="3" t="str">
        <f>IF(C324&lt;&gt;"","DRG-"&amp;TEXT(319,"000"),"")</f>
        <v/>
      </c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38">
        <v>4</v>
      </c>
      <c r="M324" s="23" t="str">
        <f t="shared" si="0"/>
        <v>✘ Pending</v>
      </c>
      <c r="N324" s="23">
        <f t="shared" si="1"/>
        <v>0</v>
      </c>
      <c r="O324" s="25"/>
      <c r="P324" s="26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  <c r="AB324" s="25"/>
      <c r="AC324" s="26"/>
      <c r="AD324" s="24"/>
      <c r="AE324" s="24"/>
      <c r="AF324" s="24"/>
      <c r="AG324" s="24"/>
      <c r="AH324" s="24"/>
      <c r="AI324" s="24"/>
      <c r="AJ324" s="24"/>
      <c r="AK324" s="24"/>
      <c r="AL324" s="24"/>
      <c r="AM324" s="24"/>
      <c r="AN324" s="24"/>
      <c r="AO324" s="25"/>
      <c r="AP324" s="26"/>
      <c r="AQ324" s="24"/>
      <c r="AR324" s="24"/>
      <c r="AS324" s="24"/>
      <c r="AT324" s="24"/>
      <c r="AU324" s="24"/>
      <c r="AV324" s="24"/>
      <c r="AW324" s="24"/>
      <c r="AX324" s="24"/>
      <c r="AY324" s="24"/>
      <c r="AZ324" s="24"/>
      <c r="BA324" s="24"/>
      <c r="BB324" s="25"/>
      <c r="BC324" s="26"/>
      <c r="BD324" s="24"/>
      <c r="BE324" s="24"/>
      <c r="BF324" s="24"/>
      <c r="BG324" s="24"/>
      <c r="BH324" s="24"/>
      <c r="BI324" s="24"/>
      <c r="BJ324" s="24"/>
      <c r="BK324" s="24"/>
      <c r="BL324" s="24"/>
      <c r="BM324" s="24"/>
      <c r="BN324" s="24"/>
      <c r="BO324" s="25"/>
      <c r="BP324" s="26"/>
      <c r="BQ324" s="24"/>
      <c r="BR324" s="24"/>
      <c r="BS324" s="24"/>
      <c r="BT324" s="24"/>
      <c r="BU324" s="24"/>
      <c r="BV324" s="24"/>
      <c r="BW324" s="24"/>
      <c r="BX324" s="24"/>
      <c r="BY324" s="24"/>
      <c r="BZ324" s="24"/>
      <c r="CA324" s="24"/>
      <c r="CB324" s="25"/>
      <c r="CC324" s="26"/>
      <c r="CD324" s="24"/>
      <c r="CE324" s="24"/>
      <c r="CF324" s="24"/>
      <c r="CG324" s="24"/>
      <c r="CH324" s="24"/>
      <c r="CI324" s="24"/>
      <c r="CJ324" s="24"/>
      <c r="CK324" s="24"/>
      <c r="CL324" s="24"/>
      <c r="CM324" s="24"/>
      <c r="CN324" s="24"/>
      <c r="CO324" s="25"/>
      <c r="CP324" s="26"/>
      <c r="CQ324" s="24"/>
      <c r="CR324" s="24"/>
      <c r="CS324" s="24"/>
      <c r="CT324" s="24"/>
      <c r="CU324" s="24"/>
      <c r="CV324" s="24"/>
      <c r="CW324" s="24"/>
      <c r="CX324" s="24"/>
      <c r="CY324" s="24"/>
      <c r="CZ324" s="24"/>
      <c r="DA324" s="24"/>
      <c r="DB324" s="25"/>
      <c r="DC324" s="26"/>
      <c r="DD324" s="24"/>
      <c r="DE324" s="24"/>
      <c r="DF324" s="24"/>
      <c r="DG324" s="24"/>
      <c r="DH324" s="24"/>
      <c r="DI324" s="24"/>
      <c r="DJ324" s="24"/>
      <c r="DK324" s="24"/>
      <c r="DL324" s="24"/>
      <c r="DM324" s="24"/>
      <c r="DN324" s="24"/>
      <c r="DO324" s="25"/>
      <c r="DP324" s="26"/>
      <c r="DQ324" s="24"/>
      <c r="DR324" s="24"/>
      <c r="DS324" s="24"/>
      <c r="DT324" s="24"/>
      <c r="DU324" s="24"/>
      <c r="DV324" s="24"/>
      <c r="DW324" s="24"/>
      <c r="DX324" s="24"/>
      <c r="DY324" s="24"/>
      <c r="DZ324" s="24"/>
      <c r="EA324" s="24"/>
      <c r="EB324" s="25"/>
      <c r="EC324" s="26"/>
      <c r="ED324" s="24"/>
      <c r="EE324" s="24"/>
      <c r="EF324" s="24"/>
      <c r="EG324" s="24"/>
      <c r="EH324" s="24"/>
      <c r="EI324" s="24"/>
      <c r="EJ324" s="24"/>
      <c r="EK324" s="24"/>
      <c r="EL324" s="24"/>
      <c r="EM324" s="24"/>
      <c r="EN324" s="24"/>
      <c r="EO324" s="25"/>
      <c r="EP324" s="26"/>
      <c r="EQ324" s="24"/>
      <c r="ER324" s="24"/>
      <c r="ES324" s="24"/>
      <c r="ET324" s="24"/>
      <c r="EU324" s="24"/>
      <c r="EV324" s="24"/>
      <c r="EW324" s="24"/>
      <c r="EX324" s="24"/>
      <c r="EY324" s="24"/>
      <c r="EZ324" s="24"/>
      <c r="FA324" s="24"/>
      <c r="FB324" s="25"/>
      <c r="FC324" s="26"/>
      <c r="FD324" s="24"/>
      <c r="FE324" s="24"/>
      <c r="FF324" s="24"/>
      <c r="FG324" s="24"/>
      <c r="FH324" s="24"/>
      <c r="FI324" s="24"/>
      <c r="FJ324" s="24"/>
      <c r="FK324" s="24"/>
      <c r="FL324" s="24"/>
      <c r="FM324" s="24"/>
      <c r="FN324" s="24"/>
      <c r="FO324" s="27">
        <f t="shared" ref="FO324:FV324" si="317">IFERROR(R324*1,0)+IFERROR(AE324*1,0)+IFERROR(AR324*1,0)+IFERROR(BE324*1,0)+IFERROR(BR324*1,0)+IFERROR(CE324*1,0)+IFERROR(CR324*1,0)+IFERROR(DE324*1,0)+IFERROR(DR324*1,0)+IFERROR(EE324*1,0)+IFERROR(ER324*1,0)+IFERROR(FE324*1,0)</f>
        <v>0</v>
      </c>
      <c r="FP324" s="27">
        <f t="shared" si="317"/>
        <v>0</v>
      </c>
      <c r="FQ324" s="27">
        <f t="shared" si="317"/>
        <v>0</v>
      </c>
      <c r="FR324" s="27">
        <f t="shared" si="317"/>
        <v>0</v>
      </c>
      <c r="FS324" s="27">
        <f t="shared" si="317"/>
        <v>0</v>
      </c>
      <c r="FT324" s="27">
        <f t="shared" si="317"/>
        <v>0</v>
      </c>
      <c r="FU324" s="27">
        <f t="shared" si="317"/>
        <v>0</v>
      </c>
      <c r="FV324" s="27">
        <f t="shared" si="317"/>
        <v>0</v>
      </c>
      <c r="FW324" s="28"/>
      <c r="FX324" s="29">
        <f t="shared" si="3"/>
        <v>0</v>
      </c>
    </row>
    <row r="325" spans="1:180" ht="18" customHeight="1" x14ac:dyDescent="0.25">
      <c r="A325" s="3" t="str">
        <f>IF(C325&lt;&gt;"","DRG-"&amp;TEXT(320,"000"),"")</f>
        <v/>
      </c>
      <c r="B325" s="33"/>
      <c r="C325" s="33"/>
      <c r="D325" s="33"/>
      <c r="E325" s="33"/>
      <c r="F325" s="33"/>
      <c r="G325" s="33"/>
      <c r="H325" s="33"/>
      <c r="I325" s="33"/>
      <c r="J325" s="33"/>
      <c r="K325" s="33"/>
      <c r="L325" s="37">
        <v>4</v>
      </c>
      <c r="M325" s="30" t="str">
        <f t="shared" si="0"/>
        <v>✘ Pending</v>
      </c>
      <c r="N325" s="30">
        <f t="shared" si="1"/>
        <v>0</v>
      </c>
      <c r="O325" s="31"/>
      <c r="P325" s="32"/>
      <c r="Q325" s="33"/>
      <c r="R325" s="33"/>
      <c r="S325" s="33"/>
      <c r="T325" s="33"/>
      <c r="U325" s="33"/>
      <c r="V325" s="33"/>
      <c r="W325" s="33"/>
      <c r="X325" s="33"/>
      <c r="Y325" s="33"/>
      <c r="Z325" s="33"/>
      <c r="AA325" s="33"/>
      <c r="AB325" s="31"/>
      <c r="AC325" s="32"/>
      <c r="AD325" s="33"/>
      <c r="AE325" s="33"/>
      <c r="AF325" s="33"/>
      <c r="AG325" s="33"/>
      <c r="AH325" s="33"/>
      <c r="AI325" s="33"/>
      <c r="AJ325" s="33"/>
      <c r="AK325" s="33"/>
      <c r="AL325" s="33"/>
      <c r="AM325" s="33"/>
      <c r="AN325" s="33"/>
      <c r="AO325" s="31"/>
      <c r="AP325" s="32"/>
      <c r="AQ325" s="33"/>
      <c r="AR325" s="33"/>
      <c r="AS325" s="33"/>
      <c r="AT325" s="33"/>
      <c r="AU325" s="33"/>
      <c r="AV325" s="33"/>
      <c r="AW325" s="33"/>
      <c r="AX325" s="33"/>
      <c r="AY325" s="33"/>
      <c r="AZ325" s="33"/>
      <c r="BA325" s="33"/>
      <c r="BB325" s="31"/>
      <c r="BC325" s="32"/>
      <c r="BD325" s="33"/>
      <c r="BE325" s="33"/>
      <c r="BF325" s="33"/>
      <c r="BG325" s="33"/>
      <c r="BH325" s="33"/>
      <c r="BI325" s="33"/>
      <c r="BJ325" s="33"/>
      <c r="BK325" s="33"/>
      <c r="BL325" s="33"/>
      <c r="BM325" s="33"/>
      <c r="BN325" s="33"/>
      <c r="BO325" s="31"/>
      <c r="BP325" s="32"/>
      <c r="BQ325" s="33"/>
      <c r="BR325" s="33"/>
      <c r="BS325" s="33"/>
      <c r="BT325" s="33"/>
      <c r="BU325" s="33"/>
      <c r="BV325" s="33"/>
      <c r="BW325" s="33"/>
      <c r="BX325" s="33"/>
      <c r="BY325" s="33"/>
      <c r="BZ325" s="33"/>
      <c r="CA325" s="33"/>
      <c r="CB325" s="31"/>
      <c r="CC325" s="32"/>
      <c r="CD325" s="33"/>
      <c r="CE325" s="33"/>
      <c r="CF325" s="33"/>
      <c r="CG325" s="33"/>
      <c r="CH325" s="33"/>
      <c r="CI325" s="33"/>
      <c r="CJ325" s="33"/>
      <c r="CK325" s="33"/>
      <c r="CL325" s="33"/>
      <c r="CM325" s="33"/>
      <c r="CN325" s="33"/>
      <c r="CO325" s="31"/>
      <c r="CP325" s="32"/>
      <c r="CQ325" s="33"/>
      <c r="CR325" s="33"/>
      <c r="CS325" s="33"/>
      <c r="CT325" s="33"/>
      <c r="CU325" s="33"/>
      <c r="CV325" s="33"/>
      <c r="CW325" s="33"/>
      <c r="CX325" s="33"/>
      <c r="CY325" s="33"/>
      <c r="CZ325" s="33"/>
      <c r="DA325" s="33"/>
      <c r="DB325" s="31"/>
      <c r="DC325" s="32"/>
      <c r="DD325" s="33"/>
      <c r="DE325" s="33"/>
      <c r="DF325" s="33"/>
      <c r="DG325" s="33"/>
      <c r="DH325" s="33"/>
      <c r="DI325" s="33"/>
      <c r="DJ325" s="33"/>
      <c r="DK325" s="33"/>
      <c r="DL325" s="33"/>
      <c r="DM325" s="33"/>
      <c r="DN325" s="33"/>
      <c r="DO325" s="31"/>
      <c r="DP325" s="32"/>
      <c r="DQ325" s="33"/>
      <c r="DR325" s="33"/>
      <c r="DS325" s="33"/>
      <c r="DT325" s="33"/>
      <c r="DU325" s="33"/>
      <c r="DV325" s="33"/>
      <c r="DW325" s="33"/>
      <c r="DX325" s="33"/>
      <c r="DY325" s="33"/>
      <c r="DZ325" s="33"/>
      <c r="EA325" s="33"/>
      <c r="EB325" s="31"/>
      <c r="EC325" s="32"/>
      <c r="ED325" s="33"/>
      <c r="EE325" s="33"/>
      <c r="EF325" s="33"/>
      <c r="EG325" s="33"/>
      <c r="EH325" s="33"/>
      <c r="EI325" s="33"/>
      <c r="EJ325" s="33"/>
      <c r="EK325" s="33"/>
      <c r="EL325" s="33"/>
      <c r="EM325" s="33"/>
      <c r="EN325" s="33"/>
      <c r="EO325" s="31"/>
      <c r="EP325" s="32"/>
      <c r="EQ325" s="33"/>
      <c r="ER325" s="33"/>
      <c r="ES325" s="33"/>
      <c r="ET325" s="33"/>
      <c r="EU325" s="33"/>
      <c r="EV325" s="33"/>
      <c r="EW325" s="33"/>
      <c r="EX325" s="33"/>
      <c r="EY325" s="33"/>
      <c r="EZ325" s="33"/>
      <c r="FA325" s="33"/>
      <c r="FB325" s="31"/>
      <c r="FC325" s="32"/>
      <c r="FD325" s="33"/>
      <c r="FE325" s="33"/>
      <c r="FF325" s="33"/>
      <c r="FG325" s="33"/>
      <c r="FH325" s="33"/>
      <c r="FI325" s="33"/>
      <c r="FJ325" s="33"/>
      <c r="FK325" s="33"/>
      <c r="FL325" s="33"/>
      <c r="FM325" s="33"/>
      <c r="FN325" s="33"/>
      <c r="FO325" s="34">
        <f t="shared" ref="FO325:FV325" si="318">IFERROR(R325*1,0)+IFERROR(AE325*1,0)+IFERROR(AR325*1,0)+IFERROR(BE325*1,0)+IFERROR(BR325*1,0)+IFERROR(CE325*1,0)+IFERROR(CR325*1,0)+IFERROR(DE325*1,0)+IFERROR(DR325*1,0)+IFERROR(EE325*1,0)+IFERROR(ER325*1,0)+IFERROR(FE325*1,0)</f>
        <v>0</v>
      </c>
      <c r="FP325" s="34">
        <f t="shared" si="318"/>
        <v>0</v>
      </c>
      <c r="FQ325" s="34">
        <f t="shared" si="318"/>
        <v>0</v>
      </c>
      <c r="FR325" s="34">
        <f t="shared" si="318"/>
        <v>0</v>
      </c>
      <c r="FS325" s="34">
        <f t="shared" si="318"/>
        <v>0</v>
      </c>
      <c r="FT325" s="34">
        <f t="shared" si="318"/>
        <v>0</v>
      </c>
      <c r="FU325" s="34">
        <f t="shared" si="318"/>
        <v>0</v>
      </c>
      <c r="FV325" s="34">
        <f t="shared" si="318"/>
        <v>0</v>
      </c>
      <c r="FW325" s="28"/>
      <c r="FX325" s="29">
        <f t="shared" si="3"/>
        <v>0</v>
      </c>
    </row>
    <row r="326" spans="1:180" ht="18" customHeight="1" x14ac:dyDescent="0.25">
      <c r="A326" s="3" t="str">
        <f>IF(C326&lt;&gt;"","DRG-"&amp;TEXT(321,"000"),"")</f>
        <v/>
      </c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38">
        <v>4</v>
      </c>
      <c r="M326" s="23" t="str">
        <f t="shared" si="0"/>
        <v>✘ Pending</v>
      </c>
      <c r="N326" s="23">
        <f t="shared" si="1"/>
        <v>0</v>
      </c>
      <c r="O326" s="25"/>
      <c r="P326" s="26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  <c r="AB326" s="25"/>
      <c r="AC326" s="26"/>
      <c r="AD326" s="24"/>
      <c r="AE326" s="24"/>
      <c r="AF326" s="24"/>
      <c r="AG326" s="24"/>
      <c r="AH326" s="24"/>
      <c r="AI326" s="24"/>
      <c r="AJ326" s="24"/>
      <c r="AK326" s="24"/>
      <c r="AL326" s="24"/>
      <c r="AM326" s="24"/>
      <c r="AN326" s="24"/>
      <c r="AO326" s="25"/>
      <c r="AP326" s="26"/>
      <c r="AQ326" s="24"/>
      <c r="AR326" s="24"/>
      <c r="AS326" s="24"/>
      <c r="AT326" s="24"/>
      <c r="AU326" s="24"/>
      <c r="AV326" s="24"/>
      <c r="AW326" s="24"/>
      <c r="AX326" s="24"/>
      <c r="AY326" s="24"/>
      <c r="AZ326" s="24"/>
      <c r="BA326" s="24"/>
      <c r="BB326" s="25"/>
      <c r="BC326" s="26"/>
      <c r="BD326" s="24"/>
      <c r="BE326" s="24"/>
      <c r="BF326" s="24"/>
      <c r="BG326" s="24"/>
      <c r="BH326" s="24"/>
      <c r="BI326" s="24"/>
      <c r="BJ326" s="24"/>
      <c r="BK326" s="24"/>
      <c r="BL326" s="24"/>
      <c r="BM326" s="24"/>
      <c r="BN326" s="24"/>
      <c r="BO326" s="25"/>
      <c r="BP326" s="26"/>
      <c r="BQ326" s="24"/>
      <c r="BR326" s="24"/>
      <c r="BS326" s="24"/>
      <c r="BT326" s="24"/>
      <c r="BU326" s="24"/>
      <c r="BV326" s="24"/>
      <c r="BW326" s="24"/>
      <c r="BX326" s="24"/>
      <c r="BY326" s="24"/>
      <c r="BZ326" s="24"/>
      <c r="CA326" s="24"/>
      <c r="CB326" s="25"/>
      <c r="CC326" s="26"/>
      <c r="CD326" s="24"/>
      <c r="CE326" s="24"/>
      <c r="CF326" s="24"/>
      <c r="CG326" s="24"/>
      <c r="CH326" s="24"/>
      <c r="CI326" s="24"/>
      <c r="CJ326" s="24"/>
      <c r="CK326" s="24"/>
      <c r="CL326" s="24"/>
      <c r="CM326" s="24"/>
      <c r="CN326" s="24"/>
      <c r="CO326" s="25"/>
      <c r="CP326" s="26"/>
      <c r="CQ326" s="24"/>
      <c r="CR326" s="24"/>
      <c r="CS326" s="24"/>
      <c r="CT326" s="24"/>
      <c r="CU326" s="24"/>
      <c r="CV326" s="24"/>
      <c r="CW326" s="24"/>
      <c r="CX326" s="24"/>
      <c r="CY326" s="24"/>
      <c r="CZ326" s="24"/>
      <c r="DA326" s="24"/>
      <c r="DB326" s="25"/>
      <c r="DC326" s="26"/>
      <c r="DD326" s="24"/>
      <c r="DE326" s="24"/>
      <c r="DF326" s="24"/>
      <c r="DG326" s="24"/>
      <c r="DH326" s="24"/>
      <c r="DI326" s="24"/>
      <c r="DJ326" s="24"/>
      <c r="DK326" s="24"/>
      <c r="DL326" s="24"/>
      <c r="DM326" s="24"/>
      <c r="DN326" s="24"/>
      <c r="DO326" s="25"/>
      <c r="DP326" s="26"/>
      <c r="DQ326" s="24"/>
      <c r="DR326" s="24"/>
      <c r="DS326" s="24"/>
      <c r="DT326" s="24"/>
      <c r="DU326" s="24"/>
      <c r="DV326" s="24"/>
      <c r="DW326" s="24"/>
      <c r="DX326" s="24"/>
      <c r="DY326" s="24"/>
      <c r="DZ326" s="24"/>
      <c r="EA326" s="24"/>
      <c r="EB326" s="25"/>
      <c r="EC326" s="26"/>
      <c r="ED326" s="24"/>
      <c r="EE326" s="24"/>
      <c r="EF326" s="24"/>
      <c r="EG326" s="24"/>
      <c r="EH326" s="24"/>
      <c r="EI326" s="24"/>
      <c r="EJ326" s="24"/>
      <c r="EK326" s="24"/>
      <c r="EL326" s="24"/>
      <c r="EM326" s="24"/>
      <c r="EN326" s="24"/>
      <c r="EO326" s="25"/>
      <c r="EP326" s="26"/>
      <c r="EQ326" s="24"/>
      <c r="ER326" s="24"/>
      <c r="ES326" s="24"/>
      <c r="ET326" s="24"/>
      <c r="EU326" s="24"/>
      <c r="EV326" s="24"/>
      <c r="EW326" s="24"/>
      <c r="EX326" s="24"/>
      <c r="EY326" s="24"/>
      <c r="EZ326" s="24"/>
      <c r="FA326" s="24"/>
      <c r="FB326" s="25"/>
      <c r="FC326" s="26"/>
      <c r="FD326" s="24"/>
      <c r="FE326" s="24"/>
      <c r="FF326" s="24"/>
      <c r="FG326" s="24"/>
      <c r="FH326" s="24"/>
      <c r="FI326" s="24"/>
      <c r="FJ326" s="24"/>
      <c r="FK326" s="24"/>
      <c r="FL326" s="24"/>
      <c r="FM326" s="24"/>
      <c r="FN326" s="24"/>
      <c r="FO326" s="27">
        <f t="shared" ref="FO326:FV326" si="319">IFERROR(R326*1,0)+IFERROR(AE326*1,0)+IFERROR(AR326*1,0)+IFERROR(BE326*1,0)+IFERROR(BR326*1,0)+IFERROR(CE326*1,0)+IFERROR(CR326*1,0)+IFERROR(DE326*1,0)+IFERROR(DR326*1,0)+IFERROR(EE326*1,0)+IFERROR(ER326*1,0)+IFERROR(FE326*1,0)</f>
        <v>0</v>
      </c>
      <c r="FP326" s="27">
        <f t="shared" si="319"/>
        <v>0</v>
      </c>
      <c r="FQ326" s="27">
        <f t="shared" si="319"/>
        <v>0</v>
      </c>
      <c r="FR326" s="27">
        <f t="shared" si="319"/>
        <v>0</v>
      </c>
      <c r="FS326" s="27">
        <f t="shared" si="319"/>
        <v>0</v>
      </c>
      <c r="FT326" s="27">
        <f t="shared" si="319"/>
        <v>0</v>
      </c>
      <c r="FU326" s="27">
        <f t="shared" si="319"/>
        <v>0</v>
      </c>
      <c r="FV326" s="27">
        <f t="shared" si="319"/>
        <v>0</v>
      </c>
      <c r="FW326" s="28"/>
      <c r="FX326" s="29">
        <f t="shared" si="3"/>
        <v>0</v>
      </c>
    </row>
    <row r="327" spans="1:180" ht="18" customHeight="1" x14ac:dyDescent="0.25">
      <c r="A327" s="3" t="str">
        <f>IF(C327&lt;&gt;"","DRG-"&amp;TEXT(322,"000"),"")</f>
        <v/>
      </c>
      <c r="B327" s="33"/>
      <c r="C327" s="33"/>
      <c r="D327" s="33"/>
      <c r="E327" s="33"/>
      <c r="F327" s="33"/>
      <c r="G327" s="33"/>
      <c r="H327" s="33"/>
      <c r="I327" s="33"/>
      <c r="J327" s="33"/>
      <c r="K327" s="33"/>
      <c r="L327" s="37">
        <v>4</v>
      </c>
      <c r="M327" s="30" t="str">
        <f t="shared" si="0"/>
        <v>✘ Pending</v>
      </c>
      <c r="N327" s="30">
        <f t="shared" si="1"/>
        <v>0</v>
      </c>
      <c r="O327" s="31"/>
      <c r="P327" s="32"/>
      <c r="Q327" s="33"/>
      <c r="R327" s="33"/>
      <c r="S327" s="33"/>
      <c r="T327" s="33"/>
      <c r="U327" s="33"/>
      <c r="V327" s="33"/>
      <c r="W327" s="33"/>
      <c r="X327" s="33"/>
      <c r="Y327" s="33"/>
      <c r="Z327" s="33"/>
      <c r="AA327" s="33"/>
      <c r="AB327" s="31"/>
      <c r="AC327" s="32"/>
      <c r="AD327" s="33"/>
      <c r="AE327" s="33"/>
      <c r="AF327" s="33"/>
      <c r="AG327" s="33"/>
      <c r="AH327" s="33"/>
      <c r="AI327" s="33"/>
      <c r="AJ327" s="33"/>
      <c r="AK327" s="33"/>
      <c r="AL327" s="33"/>
      <c r="AM327" s="33"/>
      <c r="AN327" s="33"/>
      <c r="AO327" s="31"/>
      <c r="AP327" s="32"/>
      <c r="AQ327" s="33"/>
      <c r="AR327" s="33"/>
      <c r="AS327" s="33"/>
      <c r="AT327" s="33"/>
      <c r="AU327" s="33"/>
      <c r="AV327" s="33"/>
      <c r="AW327" s="33"/>
      <c r="AX327" s="33"/>
      <c r="AY327" s="33"/>
      <c r="AZ327" s="33"/>
      <c r="BA327" s="33"/>
      <c r="BB327" s="31"/>
      <c r="BC327" s="32"/>
      <c r="BD327" s="33"/>
      <c r="BE327" s="33"/>
      <c r="BF327" s="33"/>
      <c r="BG327" s="33"/>
      <c r="BH327" s="33"/>
      <c r="BI327" s="33"/>
      <c r="BJ327" s="33"/>
      <c r="BK327" s="33"/>
      <c r="BL327" s="33"/>
      <c r="BM327" s="33"/>
      <c r="BN327" s="33"/>
      <c r="BO327" s="31"/>
      <c r="BP327" s="32"/>
      <c r="BQ327" s="33"/>
      <c r="BR327" s="33"/>
      <c r="BS327" s="33"/>
      <c r="BT327" s="33"/>
      <c r="BU327" s="33"/>
      <c r="BV327" s="33"/>
      <c r="BW327" s="33"/>
      <c r="BX327" s="33"/>
      <c r="BY327" s="33"/>
      <c r="BZ327" s="33"/>
      <c r="CA327" s="33"/>
      <c r="CB327" s="31"/>
      <c r="CC327" s="32"/>
      <c r="CD327" s="33"/>
      <c r="CE327" s="33"/>
      <c r="CF327" s="33"/>
      <c r="CG327" s="33"/>
      <c r="CH327" s="33"/>
      <c r="CI327" s="33"/>
      <c r="CJ327" s="33"/>
      <c r="CK327" s="33"/>
      <c r="CL327" s="33"/>
      <c r="CM327" s="33"/>
      <c r="CN327" s="33"/>
      <c r="CO327" s="31"/>
      <c r="CP327" s="32"/>
      <c r="CQ327" s="33"/>
      <c r="CR327" s="33"/>
      <c r="CS327" s="33"/>
      <c r="CT327" s="33"/>
      <c r="CU327" s="33"/>
      <c r="CV327" s="33"/>
      <c r="CW327" s="33"/>
      <c r="CX327" s="33"/>
      <c r="CY327" s="33"/>
      <c r="CZ327" s="33"/>
      <c r="DA327" s="33"/>
      <c r="DB327" s="31"/>
      <c r="DC327" s="32"/>
      <c r="DD327" s="33"/>
      <c r="DE327" s="33"/>
      <c r="DF327" s="33"/>
      <c r="DG327" s="33"/>
      <c r="DH327" s="33"/>
      <c r="DI327" s="33"/>
      <c r="DJ327" s="33"/>
      <c r="DK327" s="33"/>
      <c r="DL327" s="33"/>
      <c r="DM327" s="33"/>
      <c r="DN327" s="33"/>
      <c r="DO327" s="31"/>
      <c r="DP327" s="32"/>
      <c r="DQ327" s="33"/>
      <c r="DR327" s="33"/>
      <c r="DS327" s="33"/>
      <c r="DT327" s="33"/>
      <c r="DU327" s="33"/>
      <c r="DV327" s="33"/>
      <c r="DW327" s="33"/>
      <c r="DX327" s="33"/>
      <c r="DY327" s="33"/>
      <c r="DZ327" s="33"/>
      <c r="EA327" s="33"/>
      <c r="EB327" s="31"/>
      <c r="EC327" s="32"/>
      <c r="ED327" s="33"/>
      <c r="EE327" s="33"/>
      <c r="EF327" s="33"/>
      <c r="EG327" s="33"/>
      <c r="EH327" s="33"/>
      <c r="EI327" s="33"/>
      <c r="EJ327" s="33"/>
      <c r="EK327" s="33"/>
      <c r="EL327" s="33"/>
      <c r="EM327" s="33"/>
      <c r="EN327" s="33"/>
      <c r="EO327" s="31"/>
      <c r="EP327" s="32"/>
      <c r="EQ327" s="33"/>
      <c r="ER327" s="33"/>
      <c r="ES327" s="33"/>
      <c r="ET327" s="33"/>
      <c r="EU327" s="33"/>
      <c r="EV327" s="33"/>
      <c r="EW327" s="33"/>
      <c r="EX327" s="33"/>
      <c r="EY327" s="33"/>
      <c r="EZ327" s="33"/>
      <c r="FA327" s="33"/>
      <c r="FB327" s="31"/>
      <c r="FC327" s="32"/>
      <c r="FD327" s="33"/>
      <c r="FE327" s="33"/>
      <c r="FF327" s="33"/>
      <c r="FG327" s="33"/>
      <c r="FH327" s="33"/>
      <c r="FI327" s="33"/>
      <c r="FJ327" s="33"/>
      <c r="FK327" s="33"/>
      <c r="FL327" s="33"/>
      <c r="FM327" s="33"/>
      <c r="FN327" s="33"/>
      <c r="FO327" s="34">
        <f t="shared" ref="FO327:FV327" si="320">IFERROR(R327*1,0)+IFERROR(AE327*1,0)+IFERROR(AR327*1,0)+IFERROR(BE327*1,0)+IFERROR(BR327*1,0)+IFERROR(CE327*1,0)+IFERROR(CR327*1,0)+IFERROR(DE327*1,0)+IFERROR(DR327*1,0)+IFERROR(EE327*1,0)+IFERROR(ER327*1,0)+IFERROR(FE327*1,0)</f>
        <v>0</v>
      </c>
      <c r="FP327" s="34">
        <f t="shared" si="320"/>
        <v>0</v>
      </c>
      <c r="FQ327" s="34">
        <f t="shared" si="320"/>
        <v>0</v>
      </c>
      <c r="FR327" s="34">
        <f t="shared" si="320"/>
        <v>0</v>
      </c>
      <c r="FS327" s="34">
        <f t="shared" si="320"/>
        <v>0</v>
      </c>
      <c r="FT327" s="34">
        <f t="shared" si="320"/>
        <v>0</v>
      </c>
      <c r="FU327" s="34">
        <f t="shared" si="320"/>
        <v>0</v>
      </c>
      <c r="FV327" s="34">
        <f t="shared" si="320"/>
        <v>0</v>
      </c>
      <c r="FW327" s="28"/>
      <c r="FX327" s="29">
        <f t="shared" si="3"/>
        <v>0</v>
      </c>
    </row>
    <row r="328" spans="1:180" ht="18" customHeight="1" x14ac:dyDescent="0.25">
      <c r="A328" s="3" t="str">
        <f>IF(C328&lt;&gt;"","DRG-"&amp;TEXT(323,"000"),"")</f>
        <v/>
      </c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38">
        <v>4</v>
      </c>
      <c r="M328" s="23" t="str">
        <f t="shared" si="0"/>
        <v>✘ Pending</v>
      </c>
      <c r="N328" s="23">
        <f t="shared" si="1"/>
        <v>0</v>
      </c>
      <c r="O328" s="25"/>
      <c r="P328" s="26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  <c r="AB328" s="25"/>
      <c r="AC328" s="26"/>
      <c r="AD328" s="24"/>
      <c r="AE328" s="24"/>
      <c r="AF328" s="24"/>
      <c r="AG328" s="24"/>
      <c r="AH328" s="24"/>
      <c r="AI328" s="24"/>
      <c r="AJ328" s="24"/>
      <c r="AK328" s="24"/>
      <c r="AL328" s="24"/>
      <c r="AM328" s="24"/>
      <c r="AN328" s="24"/>
      <c r="AO328" s="25"/>
      <c r="AP328" s="26"/>
      <c r="AQ328" s="24"/>
      <c r="AR328" s="24"/>
      <c r="AS328" s="24"/>
      <c r="AT328" s="24"/>
      <c r="AU328" s="24"/>
      <c r="AV328" s="24"/>
      <c r="AW328" s="24"/>
      <c r="AX328" s="24"/>
      <c r="AY328" s="24"/>
      <c r="AZ328" s="24"/>
      <c r="BA328" s="24"/>
      <c r="BB328" s="25"/>
      <c r="BC328" s="26"/>
      <c r="BD328" s="24"/>
      <c r="BE328" s="24"/>
      <c r="BF328" s="24"/>
      <c r="BG328" s="24"/>
      <c r="BH328" s="24"/>
      <c r="BI328" s="24"/>
      <c r="BJ328" s="24"/>
      <c r="BK328" s="24"/>
      <c r="BL328" s="24"/>
      <c r="BM328" s="24"/>
      <c r="BN328" s="24"/>
      <c r="BO328" s="25"/>
      <c r="BP328" s="26"/>
      <c r="BQ328" s="24"/>
      <c r="BR328" s="24"/>
      <c r="BS328" s="24"/>
      <c r="BT328" s="24"/>
      <c r="BU328" s="24"/>
      <c r="BV328" s="24"/>
      <c r="BW328" s="24"/>
      <c r="BX328" s="24"/>
      <c r="BY328" s="24"/>
      <c r="BZ328" s="24"/>
      <c r="CA328" s="24"/>
      <c r="CB328" s="25"/>
      <c r="CC328" s="26"/>
      <c r="CD328" s="24"/>
      <c r="CE328" s="24"/>
      <c r="CF328" s="24"/>
      <c r="CG328" s="24"/>
      <c r="CH328" s="24"/>
      <c r="CI328" s="24"/>
      <c r="CJ328" s="24"/>
      <c r="CK328" s="24"/>
      <c r="CL328" s="24"/>
      <c r="CM328" s="24"/>
      <c r="CN328" s="24"/>
      <c r="CO328" s="25"/>
      <c r="CP328" s="26"/>
      <c r="CQ328" s="24"/>
      <c r="CR328" s="24"/>
      <c r="CS328" s="24"/>
      <c r="CT328" s="24"/>
      <c r="CU328" s="24"/>
      <c r="CV328" s="24"/>
      <c r="CW328" s="24"/>
      <c r="CX328" s="24"/>
      <c r="CY328" s="24"/>
      <c r="CZ328" s="24"/>
      <c r="DA328" s="24"/>
      <c r="DB328" s="25"/>
      <c r="DC328" s="26"/>
      <c r="DD328" s="24"/>
      <c r="DE328" s="24"/>
      <c r="DF328" s="24"/>
      <c r="DG328" s="24"/>
      <c r="DH328" s="24"/>
      <c r="DI328" s="24"/>
      <c r="DJ328" s="24"/>
      <c r="DK328" s="24"/>
      <c r="DL328" s="24"/>
      <c r="DM328" s="24"/>
      <c r="DN328" s="24"/>
      <c r="DO328" s="25"/>
      <c r="DP328" s="26"/>
      <c r="DQ328" s="24"/>
      <c r="DR328" s="24"/>
      <c r="DS328" s="24"/>
      <c r="DT328" s="24"/>
      <c r="DU328" s="24"/>
      <c r="DV328" s="24"/>
      <c r="DW328" s="24"/>
      <c r="DX328" s="24"/>
      <c r="DY328" s="24"/>
      <c r="DZ328" s="24"/>
      <c r="EA328" s="24"/>
      <c r="EB328" s="25"/>
      <c r="EC328" s="26"/>
      <c r="ED328" s="24"/>
      <c r="EE328" s="24"/>
      <c r="EF328" s="24"/>
      <c r="EG328" s="24"/>
      <c r="EH328" s="24"/>
      <c r="EI328" s="24"/>
      <c r="EJ328" s="24"/>
      <c r="EK328" s="24"/>
      <c r="EL328" s="24"/>
      <c r="EM328" s="24"/>
      <c r="EN328" s="24"/>
      <c r="EO328" s="25"/>
      <c r="EP328" s="26"/>
      <c r="EQ328" s="24"/>
      <c r="ER328" s="24"/>
      <c r="ES328" s="24"/>
      <c r="ET328" s="24"/>
      <c r="EU328" s="24"/>
      <c r="EV328" s="24"/>
      <c r="EW328" s="24"/>
      <c r="EX328" s="24"/>
      <c r="EY328" s="24"/>
      <c r="EZ328" s="24"/>
      <c r="FA328" s="24"/>
      <c r="FB328" s="25"/>
      <c r="FC328" s="26"/>
      <c r="FD328" s="24"/>
      <c r="FE328" s="24"/>
      <c r="FF328" s="24"/>
      <c r="FG328" s="24"/>
      <c r="FH328" s="24"/>
      <c r="FI328" s="24"/>
      <c r="FJ328" s="24"/>
      <c r="FK328" s="24"/>
      <c r="FL328" s="24"/>
      <c r="FM328" s="24"/>
      <c r="FN328" s="24"/>
      <c r="FO328" s="27">
        <f t="shared" ref="FO328:FV328" si="321">IFERROR(R328*1,0)+IFERROR(AE328*1,0)+IFERROR(AR328*1,0)+IFERROR(BE328*1,0)+IFERROR(BR328*1,0)+IFERROR(CE328*1,0)+IFERROR(CR328*1,0)+IFERROR(DE328*1,0)+IFERROR(DR328*1,0)+IFERROR(EE328*1,0)+IFERROR(ER328*1,0)+IFERROR(FE328*1,0)</f>
        <v>0</v>
      </c>
      <c r="FP328" s="27">
        <f t="shared" si="321"/>
        <v>0</v>
      </c>
      <c r="FQ328" s="27">
        <f t="shared" si="321"/>
        <v>0</v>
      </c>
      <c r="FR328" s="27">
        <f t="shared" si="321"/>
        <v>0</v>
      </c>
      <c r="FS328" s="27">
        <f t="shared" si="321"/>
        <v>0</v>
      </c>
      <c r="FT328" s="27">
        <f t="shared" si="321"/>
        <v>0</v>
      </c>
      <c r="FU328" s="27">
        <f t="shared" si="321"/>
        <v>0</v>
      </c>
      <c r="FV328" s="27">
        <f t="shared" si="321"/>
        <v>0</v>
      </c>
      <c r="FW328" s="28"/>
      <c r="FX328" s="29">
        <f t="shared" si="3"/>
        <v>0</v>
      </c>
    </row>
    <row r="329" spans="1:180" ht="18" customHeight="1" x14ac:dyDescent="0.25">
      <c r="A329" s="3" t="str">
        <f>IF(C329&lt;&gt;"","DRG-"&amp;TEXT(324,"000"),"")</f>
        <v/>
      </c>
      <c r="B329" s="33"/>
      <c r="C329" s="33"/>
      <c r="D329" s="33"/>
      <c r="E329" s="33"/>
      <c r="F329" s="33"/>
      <c r="G329" s="33"/>
      <c r="H329" s="33"/>
      <c r="I329" s="33"/>
      <c r="J329" s="33"/>
      <c r="K329" s="33"/>
      <c r="L329" s="37">
        <v>4</v>
      </c>
      <c r="M329" s="30" t="str">
        <f t="shared" si="0"/>
        <v>✘ Pending</v>
      </c>
      <c r="N329" s="30">
        <f t="shared" si="1"/>
        <v>0</v>
      </c>
      <c r="O329" s="31"/>
      <c r="P329" s="32"/>
      <c r="Q329" s="33"/>
      <c r="R329" s="33"/>
      <c r="S329" s="33"/>
      <c r="T329" s="33"/>
      <c r="U329" s="33"/>
      <c r="V329" s="33"/>
      <c r="W329" s="33"/>
      <c r="X329" s="33"/>
      <c r="Y329" s="33"/>
      <c r="Z329" s="33"/>
      <c r="AA329" s="33"/>
      <c r="AB329" s="31"/>
      <c r="AC329" s="32"/>
      <c r="AD329" s="33"/>
      <c r="AE329" s="33"/>
      <c r="AF329" s="33"/>
      <c r="AG329" s="33"/>
      <c r="AH329" s="33"/>
      <c r="AI329" s="33"/>
      <c r="AJ329" s="33"/>
      <c r="AK329" s="33"/>
      <c r="AL329" s="33"/>
      <c r="AM329" s="33"/>
      <c r="AN329" s="33"/>
      <c r="AO329" s="31"/>
      <c r="AP329" s="32"/>
      <c r="AQ329" s="33"/>
      <c r="AR329" s="33"/>
      <c r="AS329" s="33"/>
      <c r="AT329" s="33"/>
      <c r="AU329" s="33"/>
      <c r="AV329" s="33"/>
      <c r="AW329" s="33"/>
      <c r="AX329" s="33"/>
      <c r="AY329" s="33"/>
      <c r="AZ329" s="33"/>
      <c r="BA329" s="33"/>
      <c r="BB329" s="31"/>
      <c r="BC329" s="32"/>
      <c r="BD329" s="33"/>
      <c r="BE329" s="33"/>
      <c r="BF329" s="33"/>
      <c r="BG329" s="33"/>
      <c r="BH329" s="33"/>
      <c r="BI329" s="33"/>
      <c r="BJ329" s="33"/>
      <c r="BK329" s="33"/>
      <c r="BL329" s="33"/>
      <c r="BM329" s="33"/>
      <c r="BN329" s="33"/>
      <c r="BO329" s="31"/>
      <c r="BP329" s="32"/>
      <c r="BQ329" s="33"/>
      <c r="BR329" s="33"/>
      <c r="BS329" s="33"/>
      <c r="BT329" s="33"/>
      <c r="BU329" s="33"/>
      <c r="BV329" s="33"/>
      <c r="BW329" s="33"/>
      <c r="BX329" s="33"/>
      <c r="BY329" s="33"/>
      <c r="BZ329" s="33"/>
      <c r="CA329" s="33"/>
      <c r="CB329" s="31"/>
      <c r="CC329" s="32"/>
      <c r="CD329" s="33"/>
      <c r="CE329" s="33"/>
      <c r="CF329" s="33"/>
      <c r="CG329" s="33"/>
      <c r="CH329" s="33"/>
      <c r="CI329" s="33"/>
      <c r="CJ329" s="33"/>
      <c r="CK329" s="33"/>
      <c r="CL329" s="33"/>
      <c r="CM329" s="33"/>
      <c r="CN329" s="33"/>
      <c r="CO329" s="31"/>
      <c r="CP329" s="32"/>
      <c r="CQ329" s="33"/>
      <c r="CR329" s="33"/>
      <c r="CS329" s="33"/>
      <c r="CT329" s="33"/>
      <c r="CU329" s="33"/>
      <c r="CV329" s="33"/>
      <c r="CW329" s="33"/>
      <c r="CX329" s="33"/>
      <c r="CY329" s="33"/>
      <c r="CZ329" s="33"/>
      <c r="DA329" s="33"/>
      <c r="DB329" s="31"/>
      <c r="DC329" s="32"/>
      <c r="DD329" s="33"/>
      <c r="DE329" s="33"/>
      <c r="DF329" s="33"/>
      <c r="DG329" s="33"/>
      <c r="DH329" s="33"/>
      <c r="DI329" s="33"/>
      <c r="DJ329" s="33"/>
      <c r="DK329" s="33"/>
      <c r="DL329" s="33"/>
      <c r="DM329" s="33"/>
      <c r="DN329" s="33"/>
      <c r="DO329" s="31"/>
      <c r="DP329" s="32"/>
      <c r="DQ329" s="33"/>
      <c r="DR329" s="33"/>
      <c r="DS329" s="33"/>
      <c r="DT329" s="33"/>
      <c r="DU329" s="33"/>
      <c r="DV329" s="33"/>
      <c r="DW329" s="33"/>
      <c r="DX329" s="33"/>
      <c r="DY329" s="33"/>
      <c r="DZ329" s="33"/>
      <c r="EA329" s="33"/>
      <c r="EB329" s="31"/>
      <c r="EC329" s="32"/>
      <c r="ED329" s="33"/>
      <c r="EE329" s="33"/>
      <c r="EF329" s="33"/>
      <c r="EG329" s="33"/>
      <c r="EH329" s="33"/>
      <c r="EI329" s="33"/>
      <c r="EJ329" s="33"/>
      <c r="EK329" s="33"/>
      <c r="EL329" s="33"/>
      <c r="EM329" s="33"/>
      <c r="EN329" s="33"/>
      <c r="EO329" s="31"/>
      <c r="EP329" s="32"/>
      <c r="EQ329" s="33"/>
      <c r="ER329" s="33"/>
      <c r="ES329" s="33"/>
      <c r="ET329" s="33"/>
      <c r="EU329" s="33"/>
      <c r="EV329" s="33"/>
      <c r="EW329" s="33"/>
      <c r="EX329" s="33"/>
      <c r="EY329" s="33"/>
      <c r="EZ329" s="33"/>
      <c r="FA329" s="33"/>
      <c r="FB329" s="31"/>
      <c r="FC329" s="32"/>
      <c r="FD329" s="33"/>
      <c r="FE329" s="33"/>
      <c r="FF329" s="33"/>
      <c r="FG329" s="33"/>
      <c r="FH329" s="33"/>
      <c r="FI329" s="33"/>
      <c r="FJ329" s="33"/>
      <c r="FK329" s="33"/>
      <c r="FL329" s="33"/>
      <c r="FM329" s="33"/>
      <c r="FN329" s="33"/>
      <c r="FO329" s="34">
        <f t="shared" ref="FO329:FV329" si="322">IFERROR(R329*1,0)+IFERROR(AE329*1,0)+IFERROR(AR329*1,0)+IFERROR(BE329*1,0)+IFERROR(BR329*1,0)+IFERROR(CE329*1,0)+IFERROR(CR329*1,0)+IFERROR(DE329*1,0)+IFERROR(DR329*1,0)+IFERROR(EE329*1,0)+IFERROR(ER329*1,0)+IFERROR(FE329*1,0)</f>
        <v>0</v>
      </c>
      <c r="FP329" s="34">
        <f t="shared" si="322"/>
        <v>0</v>
      </c>
      <c r="FQ329" s="34">
        <f t="shared" si="322"/>
        <v>0</v>
      </c>
      <c r="FR329" s="34">
        <f t="shared" si="322"/>
        <v>0</v>
      </c>
      <c r="FS329" s="34">
        <f t="shared" si="322"/>
        <v>0</v>
      </c>
      <c r="FT329" s="34">
        <f t="shared" si="322"/>
        <v>0</v>
      </c>
      <c r="FU329" s="34">
        <f t="shared" si="322"/>
        <v>0</v>
      </c>
      <c r="FV329" s="34">
        <f t="shared" si="322"/>
        <v>0</v>
      </c>
      <c r="FW329" s="28"/>
      <c r="FX329" s="29">
        <f t="shared" si="3"/>
        <v>0</v>
      </c>
    </row>
    <row r="330" spans="1:180" ht="18" customHeight="1" x14ac:dyDescent="0.25">
      <c r="A330" s="3" t="str">
        <f>IF(C330&lt;&gt;"","DRG-"&amp;TEXT(325,"000"),"")</f>
        <v/>
      </c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38">
        <v>4</v>
      </c>
      <c r="M330" s="23" t="str">
        <f t="shared" si="0"/>
        <v>✘ Pending</v>
      </c>
      <c r="N330" s="23">
        <f t="shared" si="1"/>
        <v>0</v>
      </c>
      <c r="O330" s="25"/>
      <c r="P330" s="26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  <c r="AB330" s="25"/>
      <c r="AC330" s="26"/>
      <c r="AD330" s="24"/>
      <c r="AE330" s="24"/>
      <c r="AF330" s="24"/>
      <c r="AG330" s="24"/>
      <c r="AH330" s="24"/>
      <c r="AI330" s="24"/>
      <c r="AJ330" s="24"/>
      <c r="AK330" s="24"/>
      <c r="AL330" s="24"/>
      <c r="AM330" s="24"/>
      <c r="AN330" s="24"/>
      <c r="AO330" s="25"/>
      <c r="AP330" s="26"/>
      <c r="AQ330" s="24"/>
      <c r="AR330" s="24"/>
      <c r="AS330" s="24"/>
      <c r="AT330" s="24"/>
      <c r="AU330" s="24"/>
      <c r="AV330" s="24"/>
      <c r="AW330" s="24"/>
      <c r="AX330" s="24"/>
      <c r="AY330" s="24"/>
      <c r="AZ330" s="24"/>
      <c r="BA330" s="24"/>
      <c r="BB330" s="25"/>
      <c r="BC330" s="26"/>
      <c r="BD330" s="24"/>
      <c r="BE330" s="24"/>
      <c r="BF330" s="24"/>
      <c r="BG330" s="24"/>
      <c r="BH330" s="24"/>
      <c r="BI330" s="24"/>
      <c r="BJ330" s="24"/>
      <c r="BK330" s="24"/>
      <c r="BL330" s="24"/>
      <c r="BM330" s="24"/>
      <c r="BN330" s="24"/>
      <c r="BO330" s="25"/>
      <c r="BP330" s="26"/>
      <c r="BQ330" s="24"/>
      <c r="BR330" s="24"/>
      <c r="BS330" s="24"/>
      <c r="BT330" s="24"/>
      <c r="BU330" s="24"/>
      <c r="BV330" s="24"/>
      <c r="BW330" s="24"/>
      <c r="BX330" s="24"/>
      <c r="BY330" s="24"/>
      <c r="BZ330" s="24"/>
      <c r="CA330" s="24"/>
      <c r="CB330" s="25"/>
      <c r="CC330" s="26"/>
      <c r="CD330" s="24"/>
      <c r="CE330" s="24"/>
      <c r="CF330" s="24"/>
      <c r="CG330" s="24"/>
      <c r="CH330" s="24"/>
      <c r="CI330" s="24"/>
      <c r="CJ330" s="24"/>
      <c r="CK330" s="24"/>
      <c r="CL330" s="24"/>
      <c r="CM330" s="24"/>
      <c r="CN330" s="24"/>
      <c r="CO330" s="25"/>
      <c r="CP330" s="26"/>
      <c r="CQ330" s="24"/>
      <c r="CR330" s="24"/>
      <c r="CS330" s="24"/>
      <c r="CT330" s="24"/>
      <c r="CU330" s="24"/>
      <c r="CV330" s="24"/>
      <c r="CW330" s="24"/>
      <c r="CX330" s="24"/>
      <c r="CY330" s="24"/>
      <c r="CZ330" s="24"/>
      <c r="DA330" s="24"/>
      <c r="DB330" s="25"/>
      <c r="DC330" s="26"/>
      <c r="DD330" s="24"/>
      <c r="DE330" s="24"/>
      <c r="DF330" s="24"/>
      <c r="DG330" s="24"/>
      <c r="DH330" s="24"/>
      <c r="DI330" s="24"/>
      <c r="DJ330" s="24"/>
      <c r="DK330" s="24"/>
      <c r="DL330" s="24"/>
      <c r="DM330" s="24"/>
      <c r="DN330" s="24"/>
      <c r="DO330" s="25"/>
      <c r="DP330" s="26"/>
      <c r="DQ330" s="24"/>
      <c r="DR330" s="24"/>
      <c r="DS330" s="24"/>
      <c r="DT330" s="24"/>
      <c r="DU330" s="24"/>
      <c r="DV330" s="24"/>
      <c r="DW330" s="24"/>
      <c r="DX330" s="24"/>
      <c r="DY330" s="24"/>
      <c r="DZ330" s="24"/>
      <c r="EA330" s="24"/>
      <c r="EB330" s="25"/>
      <c r="EC330" s="26"/>
      <c r="ED330" s="24"/>
      <c r="EE330" s="24"/>
      <c r="EF330" s="24"/>
      <c r="EG330" s="24"/>
      <c r="EH330" s="24"/>
      <c r="EI330" s="24"/>
      <c r="EJ330" s="24"/>
      <c r="EK330" s="24"/>
      <c r="EL330" s="24"/>
      <c r="EM330" s="24"/>
      <c r="EN330" s="24"/>
      <c r="EO330" s="25"/>
      <c r="EP330" s="26"/>
      <c r="EQ330" s="24"/>
      <c r="ER330" s="24"/>
      <c r="ES330" s="24"/>
      <c r="ET330" s="24"/>
      <c r="EU330" s="24"/>
      <c r="EV330" s="24"/>
      <c r="EW330" s="24"/>
      <c r="EX330" s="24"/>
      <c r="EY330" s="24"/>
      <c r="EZ330" s="24"/>
      <c r="FA330" s="24"/>
      <c r="FB330" s="25"/>
      <c r="FC330" s="26"/>
      <c r="FD330" s="24"/>
      <c r="FE330" s="24"/>
      <c r="FF330" s="24"/>
      <c r="FG330" s="24"/>
      <c r="FH330" s="24"/>
      <c r="FI330" s="24"/>
      <c r="FJ330" s="24"/>
      <c r="FK330" s="24"/>
      <c r="FL330" s="24"/>
      <c r="FM330" s="24"/>
      <c r="FN330" s="24"/>
      <c r="FO330" s="27">
        <f t="shared" ref="FO330:FV330" si="323">IFERROR(R330*1,0)+IFERROR(AE330*1,0)+IFERROR(AR330*1,0)+IFERROR(BE330*1,0)+IFERROR(BR330*1,0)+IFERROR(CE330*1,0)+IFERROR(CR330*1,0)+IFERROR(DE330*1,0)+IFERROR(DR330*1,0)+IFERROR(EE330*1,0)+IFERROR(ER330*1,0)+IFERROR(FE330*1,0)</f>
        <v>0</v>
      </c>
      <c r="FP330" s="27">
        <f t="shared" si="323"/>
        <v>0</v>
      </c>
      <c r="FQ330" s="27">
        <f t="shared" si="323"/>
        <v>0</v>
      </c>
      <c r="FR330" s="27">
        <f t="shared" si="323"/>
        <v>0</v>
      </c>
      <c r="FS330" s="27">
        <f t="shared" si="323"/>
        <v>0</v>
      </c>
      <c r="FT330" s="27">
        <f t="shared" si="323"/>
        <v>0</v>
      </c>
      <c r="FU330" s="27">
        <f t="shared" si="323"/>
        <v>0</v>
      </c>
      <c r="FV330" s="27">
        <f t="shared" si="323"/>
        <v>0</v>
      </c>
      <c r="FW330" s="28"/>
      <c r="FX330" s="29">
        <f t="shared" si="3"/>
        <v>0</v>
      </c>
    </row>
    <row r="331" spans="1:180" ht="18" customHeight="1" x14ac:dyDescent="0.25">
      <c r="A331" s="3" t="str">
        <f>IF(C331&lt;&gt;"","DRG-"&amp;TEXT(326,"000"),"")</f>
        <v/>
      </c>
      <c r="B331" s="33"/>
      <c r="C331" s="33"/>
      <c r="D331" s="33"/>
      <c r="E331" s="33"/>
      <c r="F331" s="33"/>
      <c r="G331" s="33"/>
      <c r="H331" s="33"/>
      <c r="I331" s="33"/>
      <c r="J331" s="33"/>
      <c r="K331" s="33"/>
      <c r="L331" s="37">
        <v>4</v>
      </c>
      <c r="M331" s="30" t="str">
        <f t="shared" si="0"/>
        <v>✘ Pending</v>
      </c>
      <c r="N331" s="30">
        <f t="shared" si="1"/>
        <v>0</v>
      </c>
      <c r="O331" s="31"/>
      <c r="P331" s="32"/>
      <c r="Q331" s="33"/>
      <c r="R331" s="33"/>
      <c r="S331" s="33"/>
      <c r="T331" s="33"/>
      <c r="U331" s="33"/>
      <c r="V331" s="33"/>
      <c r="W331" s="33"/>
      <c r="X331" s="33"/>
      <c r="Y331" s="33"/>
      <c r="Z331" s="33"/>
      <c r="AA331" s="33"/>
      <c r="AB331" s="31"/>
      <c r="AC331" s="32"/>
      <c r="AD331" s="33"/>
      <c r="AE331" s="33"/>
      <c r="AF331" s="33"/>
      <c r="AG331" s="33"/>
      <c r="AH331" s="33"/>
      <c r="AI331" s="33"/>
      <c r="AJ331" s="33"/>
      <c r="AK331" s="33"/>
      <c r="AL331" s="33"/>
      <c r="AM331" s="33"/>
      <c r="AN331" s="33"/>
      <c r="AO331" s="31"/>
      <c r="AP331" s="32"/>
      <c r="AQ331" s="33"/>
      <c r="AR331" s="33"/>
      <c r="AS331" s="33"/>
      <c r="AT331" s="33"/>
      <c r="AU331" s="33"/>
      <c r="AV331" s="33"/>
      <c r="AW331" s="33"/>
      <c r="AX331" s="33"/>
      <c r="AY331" s="33"/>
      <c r="AZ331" s="33"/>
      <c r="BA331" s="33"/>
      <c r="BB331" s="31"/>
      <c r="BC331" s="32"/>
      <c r="BD331" s="33"/>
      <c r="BE331" s="33"/>
      <c r="BF331" s="33"/>
      <c r="BG331" s="33"/>
      <c r="BH331" s="33"/>
      <c r="BI331" s="33"/>
      <c r="BJ331" s="33"/>
      <c r="BK331" s="33"/>
      <c r="BL331" s="33"/>
      <c r="BM331" s="33"/>
      <c r="BN331" s="33"/>
      <c r="BO331" s="31"/>
      <c r="BP331" s="32"/>
      <c r="BQ331" s="33"/>
      <c r="BR331" s="33"/>
      <c r="BS331" s="33"/>
      <c r="BT331" s="33"/>
      <c r="BU331" s="33"/>
      <c r="BV331" s="33"/>
      <c r="BW331" s="33"/>
      <c r="BX331" s="33"/>
      <c r="BY331" s="33"/>
      <c r="BZ331" s="33"/>
      <c r="CA331" s="33"/>
      <c r="CB331" s="31"/>
      <c r="CC331" s="32"/>
      <c r="CD331" s="33"/>
      <c r="CE331" s="33"/>
      <c r="CF331" s="33"/>
      <c r="CG331" s="33"/>
      <c r="CH331" s="33"/>
      <c r="CI331" s="33"/>
      <c r="CJ331" s="33"/>
      <c r="CK331" s="33"/>
      <c r="CL331" s="33"/>
      <c r="CM331" s="33"/>
      <c r="CN331" s="33"/>
      <c r="CO331" s="31"/>
      <c r="CP331" s="32"/>
      <c r="CQ331" s="33"/>
      <c r="CR331" s="33"/>
      <c r="CS331" s="33"/>
      <c r="CT331" s="33"/>
      <c r="CU331" s="33"/>
      <c r="CV331" s="33"/>
      <c r="CW331" s="33"/>
      <c r="CX331" s="33"/>
      <c r="CY331" s="33"/>
      <c r="CZ331" s="33"/>
      <c r="DA331" s="33"/>
      <c r="DB331" s="31"/>
      <c r="DC331" s="32"/>
      <c r="DD331" s="33"/>
      <c r="DE331" s="33"/>
      <c r="DF331" s="33"/>
      <c r="DG331" s="33"/>
      <c r="DH331" s="33"/>
      <c r="DI331" s="33"/>
      <c r="DJ331" s="33"/>
      <c r="DK331" s="33"/>
      <c r="DL331" s="33"/>
      <c r="DM331" s="33"/>
      <c r="DN331" s="33"/>
      <c r="DO331" s="31"/>
      <c r="DP331" s="32"/>
      <c r="DQ331" s="33"/>
      <c r="DR331" s="33"/>
      <c r="DS331" s="33"/>
      <c r="DT331" s="33"/>
      <c r="DU331" s="33"/>
      <c r="DV331" s="33"/>
      <c r="DW331" s="33"/>
      <c r="DX331" s="33"/>
      <c r="DY331" s="33"/>
      <c r="DZ331" s="33"/>
      <c r="EA331" s="33"/>
      <c r="EB331" s="31"/>
      <c r="EC331" s="32"/>
      <c r="ED331" s="33"/>
      <c r="EE331" s="33"/>
      <c r="EF331" s="33"/>
      <c r="EG331" s="33"/>
      <c r="EH331" s="33"/>
      <c r="EI331" s="33"/>
      <c r="EJ331" s="33"/>
      <c r="EK331" s="33"/>
      <c r="EL331" s="33"/>
      <c r="EM331" s="33"/>
      <c r="EN331" s="33"/>
      <c r="EO331" s="31"/>
      <c r="EP331" s="32"/>
      <c r="EQ331" s="33"/>
      <c r="ER331" s="33"/>
      <c r="ES331" s="33"/>
      <c r="ET331" s="33"/>
      <c r="EU331" s="33"/>
      <c r="EV331" s="33"/>
      <c r="EW331" s="33"/>
      <c r="EX331" s="33"/>
      <c r="EY331" s="33"/>
      <c r="EZ331" s="33"/>
      <c r="FA331" s="33"/>
      <c r="FB331" s="31"/>
      <c r="FC331" s="32"/>
      <c r="FD331" s="33"/>
      <c r="FE331" s="33"/>
      <c r="FF331" s="33"/>
      <c r="FG331" s="33"/>
      <c r="FH331" s="33"/>
      <c r="FI331" s="33"/>
      <c r="FJ331" s="33"/>
      <c r="FK331" s="33"/>
      <c r="FL331" s="33"/>
      <c r="FM331" s="33"/>
      <c r="FN331" s="33"/>
      <c r="FO331" s="34">
        <f t="shared" ref="FO331:FV331" si="324">IFERROR(R331*1,0)+IFERROR(AE331*1,0)+IFERROR(AR331*1,0)+IFERROR(BE331*1,0)+IFERROR(BR331*1,0)+IFERROR(CE331*1,0)+IFERROR(CR331*1,0)+IFERROR(DE331*1,0)+IFERROR(DR331*1,0)+IFERROR(EE331*1,0)+IFERROR(ER331*1,0)+IFERROR(FE331*1,0)</f>
        <v>0</v>
      </c>
      <c r="FP331" s="34">
        <f t="shared" si="324"/>
        <v>0</v>
      </c>
      <c r="FQ331" s="34">
        <f t="shared" si="324"/>
        <v>0</v>
      </c>
      <c r="FR331" s="34">
        <f t="shared" si="324"/>
        <v>0</v>
      </c>
      <c r="FS331" s="34">
        <f t="shared" si="324"/>
        <v>0</v>
      </c>
      <c r="FT331" s="34">
        <f t="shared" si="324"/>
        <v>0</v>
      </c>
      <c r="FU331" s="34">
        <f t="shared" si="324"/>
        <v>0</v>
      </c>
      <c r="FV331" s="34">
        <f t="shared" si="324"/>
        <v>0</v>
      </c>
      <c r="FW331" s="28"/>
      <c r="FX331" s="29">
        <f t="shared" si="3"/>
        <v>0</v>
      </c>
    </row>
    <row r="332" spans="1:180" ht="18" customHeight="1" x14ac:dyDescent="0.25">
      <c r="A332" s="3" t="str">
        <f>IF(C332&lt;&gt;"","DRG-"&amp;TEXT(327,"000"),"")</f>
        <v/>
      </c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38">
        <v>4</v>
      </c>
      <c r="M332" s="23" t="str">
        <f t="shared" si="0"/>
        <v>✘ Pending</v>
      </c>
      <c r="N332" s="23">
        <f t="shared" si="1"/>
        <v>0</v>
      </c>
      <c r="O332" s="25"/>
      <c r="P332" s="26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  <c r="AB332" s="25"/>
      <c r="AC332" s="26"/>
      <c r="AD332" s="24"/>
      <c r="AE332" s="24"/>
      <c r="AF332" s="24"/>
      <c r="AG332" s="24"/>
      <c r="AH332" s="24"/>
      <c r="AI332" s="24"/>
      <c r="AJ332" s="24"/>
      <c r="AK332" s="24"/>
      <c r="AL332" s="24"/>
      <c r="AM332" s="24"/>
      <c r="AN332" s="24"/>
      <c r="AO332" s="25"/>
      <c r="AP332" s="26"/>
      <c r="AQ332" s="24"/>
      <c r="AR332" s="24"/>
      <c r="AS332" s="24"/>
      <c r="AT332" s="24"/>
      <c r="AU332" s="24"/>
      <c r="AV332" s="24"/>
      <c r="AW332" s="24"/>
      <c r="AX332" s="24"/>
      <c r="AY332" s="24"/>
      <c r="AZ332" s="24"/>
      <c r="BA332" s="24"/>
      <c r="BB332" s="25"/>
      <c r="BC332" s="26"/>
      <c r="BD332" s="24"/>
      <c r="BE332" s="24"/>
      <c r="BF332" s="24"/>
      <c r="BG332" s="24"/>
      <c r="BH332" s="24"/>
      <c r="BI332" s="24"/>
      <c r="BJ332" s="24"/>
      <c r="BK332" s="24"/>
      <c r="BL332" s="24"/>
      <c r="BM332" s="24"/>
      <c r="BN332" s="24"/>
      <c r="BO332" s="25"/>
      <c r="BP332" s="26"/>
      <c r="BQ332" s="24"/>
      <c r="BR332" s="24"/>
      <c r="BS332" s="24"/>
      <c r="BT332" s="24"/>
      <c r="BU332" s="24"/>
      <c r="BV332" s="24"/>
      <c r="BW332" s="24"/>
      <c r="BX332" s="24"/>
      <c r="BY332" s="24"/>
      <c r="BZ332" s="24"/>
      <c r="CA332" s="24"/>
      <c r="CB332" s="25"/>
      <c r="CC332" s="26"/>
      <c r="CD332" s="24"/>
      <c r="CE332" s="24"/>
      <c r="CF332" s="24"/>
      <c r="CG332" s="24"/>
      <c r="CH332" s="24"/>
      <c r="CI332" s="24"/>
      <c r="CJ332" s="24"/>
      <c r="CK332" s="24"/>
      <c r="CL332" s="24"/>
      <c r="CM332" s="24"/>
      <c r="CN332" s="24"/>
      <c r="CO332" s="25"/>
      <c r="CP332" s="26"/>
      <c r="CQ332" s="24"/>
      <c r="CR332" s="24"/>
      <c r="CS332" s="24"/>
      <c r="CT332" s="24"/>
      <c r="CU332" s="24"/>
      <c r="CV332" s="24"/>
      <c r="CW332" s="24"/>
      <c r="CX332" s="24"/>
      <c r="CY332" s="24"/>
      <c r="CZ332" s="24"/>
      <c r="DA332" s="24"/>
      <c r="DB332" s="25"/>
      <c r="DC332" s="26"/>
      <c r="DD332" s="24"/>
      <c r="DE332" s="24"/>
      <c r="DF332" s="24"/>
      <c r="DG332" s="24"/>
      <c r="DH332" s="24"/>
      <c r="DI332" s="24"/>
      <c r="DJ332" s="24"/>
      <c r="DK332" s="24"/>
      <c r="DL332" s="24"/>
      <c r="DM332" s="24"/>
      <c r="DN332" s="24"/>
      <c r="DO332" s="25"/>
      <c r="DP332" s="26"/>
      <c r="DQ332" s="24"/>
      <c r="DR332" s="24"/>
      <c r="DS332" s="24"/>
      <c r="DT332" s="24"/>
      <c r="DU332" s="24"/>
      <c r="DV332" s="24"/>
      <c r="DW332" s="24"/>
      <c r="DX332" s="24"/>
      <c r="DY332" s="24"/>
      <c r="DZ332" s="24"/>
      <c r="EA332" s="24"/>
      <c r="EB332" s="25"/>
      <c r="EC332" s="26"/>
      <c r="ED332" s="24"/>
      <c r="EE332" s="24"/>
      <c r="EF332" s="24"/>
      <c r="EG332" s="24"/>
      <c r="EH332" s="24"/>
      <c r="EI332" s="24"/>
      <c r="EJ332" s="24"/>
      <c r="EK332" s="24"/>
      <c r="EL332" s="24"/>
      <c r="EM332" s="24"/>
      <c r="EN332" s="24"/>
      <c r="EO332" s="25"/>
      <c r="EP332" s="26"/>
      <c r="EQ332" s="24"/>
      <c r="ER332" s="24"/>
      <c r="ES332" s="24"/>
      <c r="ET332" s="24"/>
      <c r="EU332" s="24"/>
      <c r="EV332" s="24"/>
      <c r="EW332" s="24"/>
      <c r="EX332" s="24"/>
      <c r="EY332" s="24"/>
      <c r="EZ332" s="24"/>
      <c r="FA332" s="24"/>
      <c r="FB332" s="25"/>
      <c r="FC332" s="26"/>
      <c r="FD332" s="24"/>
      <c r="FE332" s="24"/>
      <c r="FF332" s="24"/>
      <c r="FG332" s="24"/>
      <c r="FH332" s="24"/>
      <c r="FI332" s="24"/>
      <c r="FJ332" s="24"/>
      <c r="FK332" s="24"/>
      <c r="FL332" s="24"/>
      <c r="FM332" s="24"/>
      <c r="FN332" s="24"/>
      <c r="FO332" s="27">
        <f t="shared" ref="FO332:FV332" si="325">IFERROR(R332*1,0)+IFERROR(AE332*1,0)+IFERROR(AR332*1,0)+IFERROR(BE332*1,0)+IFERROR(BR332*1,0)+IFERROR(CE332*1,0)+IFERROR(CR332*1,0)+IFERROR(DE332*1,0)+IFERROR(DR332*1,0)+IFERROR(EE332*1,0)+IFERROR(ER332*1,0)+IFERROR(FE332*1,0)</f>
        <v>0</v>
      </c>
      <c r="FP332" s="27">
        <f t="shared" si="325"/>
        <v>0</v>
      </c>
      <c r="FQ332" s="27">
        <f t="shared" si="325"/>
        <v>0</v>
      </c>
      <c r="FR332" s="27">
        <f t="shared" si="325"/>
        <v>0</v>
      </c>
      <c r="FS332" s="27">
        <f t="shared" si="325"/>
        <v>0</v>
      </c>
      <c r="FT332" s="27">
        <f t="shared" si="325"/>
        <v>0</v>
      </c>
      <c r="FU332" s="27">
        <f t="shared" si="325"/>
        <v>0</v>
      </c>
      <c r="FV332" s="27">
        <f t="shared" si="325"/>
        <v>0</v>
      </c>
      <c r="FW332" s="28"/>
      <c r="FX332" s="29">
        <f t="shared" si="3"/>
        <v>0</v>
      </c>
    </row>
    <row r="333" spans="1:180" ht="18" customHeight="1" x14ac:dyDescent="0.25">
      <c r="A333" s="3" t="str">
        <f>IF(C333&lt;&gt;"","DRG-"&amp;TEXT(328,"000"),"")</f>
        <v/>
      </c>
      <c r="B333" s="33"/>
      <c r="C333" s="33"/>
      <c r="D333" s="33"/>
      <c r="E333" s="33"/>
      <c r="F333" s="33"/>
      <c r="G333" s="33"/>
      <c r="H333" s="33"/>
      <c r="I333" s="33"/>
      <c r="J333" s="33"/>
      <c r="K333" s="33"/>
      <c r="L333" s="37">
        <v>4</v>
      </c>
      <c r="M333" s="30" t="str">
        <f t="shared" si="0"/>
        <v>✘ Pending</v>
      </c>
      <c r="N333" s="30">
        <f t="shared" si="1"/>
        <v>0</v>
      </c>
      <c r="O333" s="31"/>
      <c r="P333" s="32"/>
      <c r="Q333" s="33"/>
      <c r="R333" s="33"/>
      <c r="S333" s="33"/>
      <c r="T333" s="33"/>
      <c r="U333" s="33"/>
      <c r="V333" s="33"/>
      <c r="W333" s="33"/>
      <c r="X333" s="33"/>
      <c r="Y333" s="33"/>
      <c r="Z333" s="33"/>
      <c r="AA333" s="33"/>
      <c r="AB333" s="31"/>
      <c r="AC333" s="32"/>
      <c r="AD333" s="33"/>
      <c r="AE333" s="33"/>
      <c r="AF333" s="33"/>
      <c r="AG333" s="33"/>
      <c r="AH333" s="33"/>
      <c r="AI333" s="33"/>
      <c r="AJ333" s="33"/>
      <c r="AK333" s="33"/>
      <c r="AL333" s="33"/>
      <c r="AM333" s="33"/>
      <c r="AN333" s="33"/>
      <c r="AO333" s="31"/>
      <c r="AP333" s="32"/>
      <c r="AQ333" s="33"/>
      <c r="AR333" s="33"/>
      <c r="AS333" s="33"/>
      <c r="AT333" s="33"/>
      <c r="AU333" s="33"/>
      <c r="AV333" s="33"/>
      <c r="AW333" s="33"/>
      <c r="AX333" s="33"/>
      <c r="AY333" s="33"/>
      <c r="AZ333" s="33"/>
      <c r="BA333" s="33"/>
      <c r="BB333" s="31"/>
      <c r="BC333" s="32"/>
      <c r="BD333" s="33"/>
      <c r="BE333" s="33"/>
      <c r="BF333" s="33"/>
      <c r="BG333" s="33"/>
      <c r="BH333" s="33"/>
      <c r="BI333" s="33"/>
      <c r="BJ333" s="33"/>
      <c r="BK333" s="33"/>
      <c r="BL333" s="33"/>
      <c r="BM333" s="33"/>
      <c r="BN333" s="33"/>
      <c r="BO333" s="31"/>
      <c r="BP333" s="32"/>
      <c r="BQ333" s="33"/>
      <c r="BR333" s="33"/>
      <c r="BS333" s="33"/>
      <c r="BT333" s="33"/>
      <c r="BU333" s="33"/>
      <c r="BV333" s="33"/>
      <c r="BW333" s="33"/>
      <c r="BX333" s="33"/>
      <c r="BY333" s="33"/>
      <c r="BZ333" s="33"/>
      <c r="CA333" s="33"/>
      <c r="CB333" s="31"/>
      <c r="CC333" s="32"/>
      <c r="CD333" s="33"/>
      <c r="CE333" s="33"/>
      <c r="CF333" s="33"/>
      <c r="CG333" s="33"/>
      <c r="CH333" s="33"/>
      <c r="CI333" s="33"/>
      <c r="CJ333" s="33"/>
      <c r="CK333" s="33"/>
      <c r="CL333" s="33"/>
      <c r="CM333" s="33"/>
      <c r="CN333" s="33"/>
      <c r="CO333" s="31"/>
      <c r="CP333" s="32"/>
      <c r="CQ333" s="33"/>
      <c r="CR333" s="33"/>
      <c r="CS333" s="33"/>
      <c r="CT333" s="33"/>
      <c r="CU333" s="33"/>
      <c r="CV333" s="33"/>
      <c r="CW333" s="33"/>
      <c r="CX333" s="33"/>
      <c r="CY333" s="33"/>
      <c r="CZ333" s="33"/>
      <c r="DA333" s="33"/>
      <c r="DB333" s="31"/>
      <c r="DC333" s="32"/>
      <c r="DD333" s="33"/>
      <c r="DE333" s="33"/>
      <c r="DF333" s="33"/>
      <c r="DG333" s="33"/>
      <c r="DH333" s="33"/>
      <c r="DI333" s="33"/>
      <c r="DJ333" s="33"/>
      <c r="DK333" s="33"/>
      <c r="DL333" s="33"/>
      <c r="DM333" s="33"/>
      <c r="DN333" s="33"/>
      <c r="DO333" s="31"/>
      <c r="DP333" s="32"/>
      <c r="DQ333" s="33"/>
      <c r="DR333" s="33"/>
      <c r="DS333" s="33"/>
      <c r="DT333" s="33"/>
      <c r="DU333" s="33"/>
      <c r="DV333" s="33"/>
      <c r="DW333" s="33"/>
      <c r="DX333" s="33"/>
      <c r="DY333" s="33"/>
      <c r="DZ333" s="33"/>
      <c r="EA333" s="33"/>
      <c r="EB333" s="31"/>
      <c r="EC333" s="32"/>
      <c r="ED333" s="33"/>
      <c r="EE333" s="33"/>
      <c r="EF333" s="33"/>
      <c r="EG333" s="33"/>
      <c r="EH333" s="33"/>
      <c r="EI333" s="33"/>
      <c r="EJ333" s="33"/>
      <c r="EK333" s="33"/>
      <c r="EL333" s="33"/>
      <c r="EM333" s="33"/>
      <c r="EN333" s="33"/>
      <c r="EO333" s="31"/>
      <c r="EP333" s="32"/>
      <c r="EQ333" s="33"/>
      <c r="ER333" s="33"/>
      <c r="ES333" s="33"/>
      <c r="ET333" s="33"/>
      <c r="EU333" s="33"/>
      <c r="EV333" s="33"/>
      <c r="EW333" s="33"/>
      <c r="EX333" s="33"/>
      <c r="EY333" s="33"/>
      <c r="EZ333" s="33"/>
      <c r="FA333" s="33"/>
      <c r="FB333" s="31"/>
      <c r="FC333" s="32"/>
      <c r="FD333" s="33"/>
      <c r="FE333" s="33"/>
      <c r="FF333" s="33"/>
      <c r="FG333" s="33"/>
      <c r="FH333" s="33"/>
      <c r="FI333" s="33"/>
      <c r="FJ333" s="33"/>
      <c r="FK333" s="33"/>
      <c r="FL333" s="33"/>
      <c r="FM333" s="33"/>
      <c r="FN333" s="33"/>
      <c r="FO333" s="34">
        <f t="shared" ref="FO333:FV333" si="326">IFERROR(R333*1,0)+IFERROR(AE333*1,0)+IFERROR(AR333*1,0)+IFERROR(BE333*1,0)+IFERROR(BR333*1,0)+IFERROR(CE333*1,0)+IFERROR(CR333*1,0)+IFERROR(DE333*1,0)+IFERROR(DR333*1,0)+IFERROR(EE333*1,0)+IFERROR(ER333*1,0)+IFERROR(FE333*1,0)</f>
        <v>0</v>
      </c>
      <c r="FP333" s="34">
        <f t="shared" si="326"/>
        <v>0</v>
      </c>
      <c r="FQ333" s="34">
        <f t="shared" si="326"/>
        <v>0</v>
      </c>
      <c r="FR333" s="34">
        <f t="shared" si="326"/>
        <v>0</v>
      </c>
      <c r="FS333" s="34">
        <f t="shared" si="326"/>
        <v>0</v>
      </c>
      <c r="FT333" s="34">
        <f t="shared" si="326"/>
        <v>0</v>
      </c>
      <c r="FU333" s="34">
        <f t="shared" si="326"/>
        <v>0</v>
      </c>
      <c r="FV333" s="34">
        <f t="shared" si="326"/>
        <v>0</v>
      </c>
      <c r="FW333" s="28"/>
      <c r="FX333" s="29">
        <f t="shared" si="3"/>
        <v>0</v>
      </c>
    </row>
    <row r="334" spans="1:180" ht="18" customHeight="1" x14ac:dyDescent="0.25">
      <c r="A334" s="3" t="str">
        <f>IF(C334&lt;&gt;"","DRG-"&amp;TEXT(329,"000"),"")</f>
        <v/>
      </c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38">
        <v>4</v>
      </c>
      <c r="M334" s="23" t="str">
        <f t="shared" si="0"/>
        <v>✘ Pending</v>
      </c>
      <c r="N334" s="23">
        <f t="shared" si="1"/>
        <v>0</v>
      </c>
      <c r="O334" s="25"/>
      <c r="P334" s="26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  <c r="AB334" s="25"/>
      <c r="AC334" s="26"/>
      <c r="AD334" s="24"/>
      <c r="AE334" s="24"/>
      <c r="AF334" s="24"/>
      <c r="AG334" s="24"/>
      <c r="AH334" s="24"/>
      <c r="AI334" s="24"/>
      <c r="AJ334" s="24"/>
      <c r="AK334" s="24"/>
      <c r="AL334" s="24"/>
      <c r="AM334" s="24"/>
      <c r="AN334" s="24"/>
      <c r="AO334" s="25"/>
      <c r="AP334" s="26"/>
      <c r="AQ334" s="24"/>
      <c r="AR334" s="24"/>
      <c r="AS334" s="24"/>
      <c r="AT334" s="24"/>
      <c r="AU334" s="24"/>
      <c r="AV334" s="24"/>
      <c r="AW334" s="24"/>
      <c r="AX334" s="24"/>
      <c r="AY334" s="24"/>
      <c r="AZ334" s="24"/>
      <c r="BA334" s="24"/>
      <c r="BB334" s="25"/>
      <c r="BC334" s="26"/>
      <c r="BD334" s="24"/>
      <c r="BE334" s="24"/>
      <c r="BF334" s="24"/>
      <c r="BG334" s="24"/>
      <c r="BH334" s="24"/>
      <c r="BI334" s="24"/>
      <c r="BJ334" s="24"/>
      <c r="BK334" s="24"/>
      <c r="BL334" s="24"/>
      <c r="BM334" s="24"/>
      <c r="BN334" s="24"/>
      <c r="BO334" s="25"/>
      <c r="BP334" s="26"/>
      <c r="BQ334" s="24"/>
      <c r="BR334" s="24"/>
      <c r="BS334" s="24"/>
      <c r="BT334" s="24"/>
      <c r="BU334" s="24"/>
      <c r="BV334" s="24"/>
      <c r="BW334" s="24"/>
      <c r="BX334" s="24"/>
      <c r="BY334" s="24"/>
      <c r="BZ334" s="24"/>
      <c r="CA334" s="24"/>
      <c r="CB334" s="25"/>
      <c r="CC334" s="26"/>
      <c r="CD334" s="24"/>
      <c r="CE334" s="24"/>
      <c r="CF334" s="24"/>
      <c r="CG334" s="24"/>
      <c r="CH334" s="24"/>
      <c r="CI334" s="24"/>
      <c r="CJ334" s="24"/>
      <c r="CK334" s="24"/>
      <c r="CL334" s="24"/>
      <c r="CM334" s="24"/>
      <c r="CN334" s="24"/>
      <c r="CO334" s="25"/>
      <c r="CP334" s="26"/>
      <c r="CQ334" s="24"/>
      <c r="CR334" s="24"/>
      <c r="CS334" s="24"/>
      <c r="CT334" s="24"/>
      <c r="CU334" s="24"/>
      <c r="CV334" s="24"/>
      <c r="CW334" s="24"/>
      <c r="CX334" s="24"/>
      <c r="CY334" s="24"/>
      <c r="CZ334" s="24"/>
      <c r="DA334" s="24"/>
      <c r="DB334" s="25"/>
      <c r="DC334" s="26"/>
      <c r="DD334" s="24"/>
      <c r="DE334" s="24"/>
      <c r="DF334" s="24"/>
      <c r="DG334" s="24"/>
      <c r="DH334" s="24"/>
      <c r="DI334" s="24"/>
      <c r="DJ334" s="24"/>
      <c r="DK334" s="24"/>
      <c r="DL334" s="24"/>
      <c r="DM334" s="24"/>
      <c r="DN334" s="24"/>
      <c r="DO334" s="25"/>
      <c r="DP334" s="26"/>
      <c r="DQ334" s="24"/>
      <c r="DR334" s="24"/>
      <c r="DS334" s="24"/>
      <c r="DT334" s="24"/>
      <c r="DU334" s="24"/>
      <c r="DV334" s="24"/>
      <c r="DW334" s="24"/>
      <c r="DX334" s="24"/>
      <c r="DY334" s="24"/>
      <c r="DZ334" s="24"/>
      <c r="EA334" s="24"/>
      <c r="EB334" s="25"/>
      <c r="EC334" s="26"/>
      <c r="ED334" s="24"/>
      <c r="EE334" s="24"/>
      <c r="EF334" s="24"/>
      <c r="EG334" s="24"/>
      <c r="EH334" s="24"/>
      <c r="EI334" s="24"/>
      <c r="EJ334" s="24"/>
      <c r="EK334" s="24"/>
      <c r="EL334" s="24"/>
      <c r="EM334" s="24"/>
      <c r="EN334" s="24"/>
      <c r="EO334" s="25"/>
      <c r="EP334" s="26"/>
      <c r="EQ334" s="24"/>
      <c r="ER334" s="24"/>
      <c r="ES334" s="24"/>
      <c r="ET334" s="24"/>
      <c r="EU334" s="24"/>
      <c r="EV334" s="24"/>
      <c r="EW334" s="24"/>
      <c r="EX334" s="24"/>
      <c r="EY334" s="24"/>
      <c r="EZ334" s="24"/>
      <c r="FA334" s="24"/>
      <c r="FB334" s="25"/>
      <c r="FC334" s="26"/>
      <c r="FD334" s="24"/>
      <c r="FE334" s="24"/>
      <c r="FF334" s="24"/>
      <c r="FG334" s="24"/>
      <c r="FH334" s="24"/>
      <c r="FI334" s="24"/>
      <c r="FJ334" s="24"/>
      <c r="FK334" s="24"/>
      <c r="FL334" s="24"/>
      <c r="FM334" s="24"/>
      <c r="FN334" s="24"/>
      <c r="FO334" s="27">
        <f t="shared" ref="FO334:FV334" si="327">IFERROR(R334*1,0)+IFERROR(AE334*1,0)+IFERROR(AR334*1,0)+IFERROR(BE334*1,0)+IFERROR(BR334*1,0)+IFERROR(CE334*1,0)+IFERROR(CR334*1,0)+IFERROR(DE334*1,0)+IFERROR(DR334*1,0)+IFERROR(EE334*1,0)+IFERROR(ER334*1,0)+IFERROR(FE334*1,0)</f>
        <v>0</v>
      </c>
      <c r="FP334" s="27">
        <f t="shared" si="327"/>
        <v>0</v>
      </c>
      <c r="FQ334" s="27">
        <f t="shared" si="327"/>
        <v>0</v>
      </c>
      <c r="FR334" s="27">
        <f t="shared" si="327"/>
        <v>0</v>
      </c>
      <c r="FS334" s="27">
        <f t="shared" si="327"/>
        <v>0</v>
      </c>
      <c r="FT334" s="27">
        <f t="shared" si="327"/>
        <v>0</v>
      </c>
      <c r="FU334" s="27">
        <f t="shared" si="327"/>
        <v>0</v>
      </c>
      <c r="FV334" s="27">
        <f t="shared" si="327"/>
        <v>0</v>
      </c>
      <c r="FW334" s="28"/>
      <c r="FX334" s="29">
        <f t="shared" si="3"/>
        <v>0</v>
      </c>
    </row>
    <row r="335" spans="1:180" ht="18" customHeight="1" x14ac:dyDescent="0.25">
      <c r="A335" s="3" t="str">
        <f>IF(C335&lt;&gt;"","DRG-"&amp;TEXT(330,"000"),"")</f>
        <v/>
      </c>
      <c r="B335" s="33"/>
      <c r="C335" s="33"/>
      <c r="D335" s="33"/>
      <c r="E335" s="33"/>
      <c r="F335" s="33"/>
      <c r="G335" s="33"/>
      <c r="H335" s="33"/>
      <c r="I335" s="33"/>
      <c r="J335" s="33"/>
      <c r="K335" s="33"/>
      <c r="L335" s="37">
        <v>4</v>
      </c>
      <c r="M335" s="30" t="str">
        <f t="shared" si="0"/>
        <v>✘ Pending</v>
      </c>
      <c r="N335" s="30">
        <f t="shared" si="1"/>
        <v>0</v>
      </c>
      <c r="O335" s="31"/>
      <c r="P335" s="32"/>
      <c r="Q335" s="33"/>
      <c r="R335" s="33"/>
      <c r="S335" s="33"/>
      <c r="T335" s="33"/>
      <c r="U335" s="33"/>
      <c r="V335" s="33"/>
      <c r="W335" s="33"/>
      <c r="X335" s="33"/>
      <c r="Y335" s="33"/>
      <c r="Z335" s="33"/>
      <c r="AA335" s="33"/>
      <c r="AB335" s="31"/>
      <c r="AC335" s="32"/>
      <c r="AD335" s="33"/>
      <c r="AE335" s="33"/>
      <c r="AF335" s="33"/>
      <c r="AG335" s="33"/>
      <c r="AH335" s="33"/>
      <c r="AI335" s="33"/>
      <c r="AJ335" s="33"/>
      <c r="AK335" s="33"/>
      <c r="AL335" s="33"/>
      <c r="AM335" s="33"/>
      <c r="AN335" s="33"/>
      <c r="AO335" s="31"/>
      <c r="AP335" s="32"/>
      <c r="AQ335" s="33"/>
      <c r="AR335" s="33"/>
      <c r="AS335" s="33"/>
      <c r="AT335" s="33"/>
      <c r="AU335" s="33"/>
      <c r="AV335" s="33"/>
      <c r="AW335" s="33"/>
      <c r="AX335" s="33"/>
      <c r="AY335" s="33"/>
      <c r="AZ335" s="33"/>
      <c r="BA335" s="33"/>
      <c r="BB335" s="31"/>
      <c r="BC335" s="32"/>
      <c r="BD335" s="33"/>
      <c r="BE335" s="33"/>
      <c r="BF335" s="33"/>
      <c r="BG335" s="33"/>
      <c r="BH335" s="33"/>
      <c r="BI335" s="33"/>
      <c r="BJ335" s="33"/>
      <c r="BK335" s="33"/>
      <c r="BL335" s="33"/>
      <c r="BM335" s="33"/>
      <c r="BN335" s="33"/>
      <c r="BO335" s="31"/>
      <c r="BP335" s="32"/>
      <c r="BQ335" s="33"/>
      <c r="BR335" s="33"/>
      <c r="BS335" s="33"/>
      <c r="BT335" s="33"/>
      <c r="BU335" s="33"/>
      <c r="BV335" s="33"/>
      <c r="BW335" s="33"/>
      <c r="BX335" s="33"/>
      <c r="BY335" s="33"/>
      <c r="BZ335" s="33"/>
      <c r="CA335" s="33"/>
      <c r="CB335" s="31"/>
      <c r="CC335" s="32"/>
      <c r="CD335" s="33"/>
      <c r="CE335" s="33"/>
      <c r="CF335" s="33"/>
      <c r="CG335" s="33"/>
      <c r="CH335" s="33"/>
      <c r="CI335" s="33"/>
      <c r="CJ335" s="33"/>
      <c r="CK335" s="33"/>
      <c r="CL335" s="33"/>
      <c r="CM335" s="33"/>
      <c r="CN335" s="33"/>
      <c r="CO335" s="31"/>
      <c r="CP335" s="32"/>
      <c r="CQ335" s="33"/>
      <c r="CR335" s="33"/>
      <c r="CS335" s="33"/>
      <c r="CT335" s="33"/>
      <c r="CU335" s="33"/>
      <c r="CV335" s="33"/>
      <c r="CW335" s="33"/>
      <c r="CX335" s="33"/>
      <c r="CY335" s="33"/>
      <c r="CZ335" s="33"/>
      <c r="DA335" s="33"/>
      <c r="DB335" s="31"/>
      <c r="DC335" s="32"/>
      <c r="DD335" s="33"/>
      <c r="DE335" s="33"/>
      <c r="DF335" s="33"/>
      <c r="DG335" s="33"/>
      <c r="DH335" s="33"/>
      <c r="DI335" s="33"/>
      <c r="DJ335" s="33"/>
      <c r="DK335" s="33"/>
      <c r="DL335" s="33"/>
      <c r="DM335" s="33"/>
      <c r="DN335" s="33"/>
      <c r="DO335" s="31"/>
      <c r="DP335" s="32"/>
      <c r="DQ335" s="33"/>
      <c r="DR335" s="33"/>
      <c r="DS335" s="33"/>
      <c r="DT335" s="33"/>
      <c r="DU335" s="33"/>
      <c r="DV335" s="33"/>
      <c r="DW335" s="33"/>
      <c r="DX335" s="33"/>
      <c r="DY335" s="33"/>
      <c r="DZ335" s="33"/>
      <c r="EA335" s="33"/>
      <c r="EB335" s="31"/>
      <c r="EC335" s="32"/>
      <c r="ED335" s="33"/>
      <c r="EE335" s="33"/>
      <c r="EF335" s="33"/>
      <c r="EG335" s="33"/>
      <c r="EH335" s="33"/>
      <c r="EI335" s="33"/>
      <c r="EJ335" s="33"/>
      <c r="EK335" s="33"/>
      <c r="EL335" s="33"/>
      <c r="EM335" s="33"/>
      <c r="EN335" s="33"/>
      <c r="EO335" s="31"/>
      <c r="EP335" s="32"/>
      <c r="EQ335" s="33"/>
      <c r="ER335" s="33"/>
      <c r="ES335" s="33"/>
      <c r="ET335" s="33"/>
      <c r="EU335" s="33"/>
      <c r="EV335" s="33"/>
      <c r="EW335" s="33"/>
      <c r="EX335" s="33"/>
      <c r="EY335" s="33"/>
      <c r="EZ335" s="33"/>
      <c r="FA335" s="33"/>
      <c r="FB335" s="31"/>
      <c r="FC335" s="32"/>
      <c r="FD335" s="33"/>
      <c r="FE335" s="33"/>
      <c r="FF335" s="33"/>
      <c r="FG335" s="33"/>
      <c r="FH335" s="33"/>
      <c r="FI335" s="33"/>
      <c r="FJ335" s="33"/>
      <c r="FK335" s="33"/>
      <c r="FL335" s="33"/>
      <c r="FM335" s="33"/>
      <c r="FN335" s="33"/>
      <c r="FO335" s="34">
        <f t="shared" ref="FO335:FV335" si="328">IFERROR(R335*1,0)+IFERROR(AE335*1,0)+IFERROR(AR335*1,0)+IFERROR(BE335*1,0)+IFERROR(BR335*1,0)+IFERROR(CE335*1,0)+IFERROR(CR335*1,0)+IFERROR(DE335*1,0)+IFERROR(DR335*1,0)+IFERROR(EE335*1,0)+IFERROR(ER335*1,0)+IFERROR(FE335*1,0)</f>
        <v>0</v>
      </c>
      <c r="FP335" s="34">
        <f t="shared" si="328"/>
        <v>0</v>
      </c>
      <c r="FQ335" s="34">
        <f t="shared" si="328"/>
        <v>0</v>
      </c>
      <c r="FR335" s="34">
        <f t="shared" si="328"/>
        <v>0</v>
      </c>
      <c r="FS335" s="34">
        <f t="shared" si="328"/>
        <v>0</v>
      </c>
      <c r="FT335" s="34">
        <f t="shared" si="328"/>
        <v>0</v>
      </c>
      <c r="FU335" s="34">
        <f t="shared" si="328"/>
        <v>0</v>
      </c>
      <c r="FV335" s="34">
        <f t="shared" si="328"/>
        <v>0</v>
      </c>
      <c r="FW335" s="28"/>
      <c r="FX335" s="29">
        <f t="shared" si="3"/>
        <v>0</v>
      </c>
    </row>
    <row r="336" spans="1:180" ht="18" customHeight="1" x14ac:dyDescent="0.25">
      <c r="A336" s="3" t="str">
        <f>IF(C336&lt;&gt;"","DRG-"&amp;TEXT(331,"000"),"")</f>
        <v/>
      </c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38">
        <v>4</v>
      </c>
      <c r="M336" s="23" t="str">
        <f t="shared" si="0"/>
        <v>✘ Pending</v>
      </c>
      <c r="N336" s="23">
        <f t="shared" si="1"/>
        <v>0</v>
      </c>
      <c r="O336" s="25"/>
      <c r="P336" s="26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  <c r="AB336" s="25"/>
      <c r="AC336" s="26"/>
      <c r="AD336" s="24"/>
      <c r="AE336" s="24"/>
      <c r="AF336" s="24"/>
      <c r="AG336" s="24"/>
      <c r="AH336" s="24"/>
      <c r="AI336" s="24"/>
      <c r="AJ336" s="24"/>
      <c r="AK336" s="24"/>
      <c r="AL336" s="24"/>
      <c r="AM336" s="24"/>
      <c r="AN336" s="24"/>
      <c r="AO336" s="25"/>
      <c r="AP336" s="26"/>
      <c r="AQ336" s="24"/>
      <c r="AR336" s="24"/>
      <c r="AS336" s="24"/>
      <c r="AT336" s="24"/>
      <c r="AU336" s="24"/>
      <c r="AV336" s="24"/>
      <c r="AW336" s="24"/>
      <c r="AX336" s="24"/>
      <c r="AY336" s="24"/>
      <c r="AZ336" s="24"/>
      <c r="BA336" s="24"/>
      <c r="BB336" s="25"/>
      <c r="BC336" s="26"/>
      <c r="BD336" s="24"/>
      <c r="BE336" s="24"/>
      <c r="BF336" s="24"/>
      <c r="BG336" s="24"/>
      <c r="BH336" s="24"/>
      <c r="BI336" s="24"/>
      <c r="BJ336" s="24"/>
      <c r="BK336" s="24"/>
      <c r="BL336" s="24"/>
      <c r="BM336" s="24"/>
      <c r="BN336" s="24"/>
      <c r="BO336" s="25"/>
      <c r="BP336" s="26"/>
      <c r="BQ336" s="24"/>
      <c r="BR336" s="24"/>
      <c r="BS336" s="24"/>
      <c r="BT336" s="24"/>
      <c r="BU336" s="24"/>
      <c r="BV336" s="24"/>
      <c r="BW336" s="24"/>
      <c r="BX336" s="24"/>
      <c r="BY336" s="24"/>
      <c r="BZ336" s="24"/>
      <c r="CA336" s="24"/>
      <c r="CB336" s="25"/>
      <c r="CC336" s="26"/>
      <c r="CD336" s="24"/>
      <c r="CE336" s="24"/>
      <c r="CF336" s="24"/>
      <c r="CG336" s="24"/>
      <c r="CH336" s="24"/>
      <c r="CI336" s="24"/>
      <c r="CJ336" s="24"/>
      <c r="CK336" s="24"/>
      <c r="CL336" s="24"/>
      <c r="CM336" s="24"/>
      <c r="CN336" s="24"/>
      <c r="CO336" s="25"/>
      <c r="CP336" s="26"/>
      <c r="CQ336" s="24"/>
      <c r="CR336" s="24"/>
      <c r="CS336" s="24"/>
      <c r="CT336" s="24"/>
      <c r="CU336" s="24"/>
      <c r="CV336" s="24"/>
      <c r="CW336" s="24"/>
      <c r="CX336" s="24"/>
      <c r="CY336" s="24"/>
      <c r="CZ336" s="24"/>
      <c r="DA336" s="24"/>
      <c r="DB336" s="25"/>
      <c r="DC336" s="26"/>
      <c r="DD336" s="24"/>
      <c r="DE336" s="24"/>
      <c r="DF336" s="24"/>
      <c r="DG336" s="24"/>
      <c r="DH336" s="24"/>
      <c r="DI336" s="24"/>
      <c r="DJ336" s="24"/>
      <c r="DK336" s="24"/>
      <c r="DL336" s="24"/>
      <c r="DM336" s="24"/>
      <c r="DN336" s="24"/>
      <c r="DO336" s="25"/>
      <c r="DP336" s="26"/>
      <c r="DQ336" s="24"/>
      <c r="DR336" s="24"/>
      <c r="DS336" s="24"/>
      <c r="DT336" s="24"/>
      <c r="DU336" s="24"/>
      <c r="DV336" s="24"/>
      <c r="DW336" s="24"/>
      <c r="DX336" s="24"/>
      <c r="DY336" s="24"/>
      <c r="DZ336" s="24"/>
      <c r="EA336" s="24"/>
      <c r="EB336" s="25"/>
      <c r="EC336" s="26"/>
      <c r="ED336" s="24"/>
      <c r="EE336" s="24"/>
      <c r="EF336" s="24"/>
      <c r="EG336" s="24"/>
      <c r="EH336" s="24"/>
      <c r="EI336" s="24"/>
      <c r="EJ336" s="24"/>
      <c r="EK336" s="24"/>
      <c r="EL336" s="24"/>
      <c r="EM336" s="24"/>
      <c r="EN336" s="24"/>
      <c r="EO336" s="25"/>
      <c r="EP336" s="26"/>
      <c r="EQ336" s="24"/>
      <c r="ER336" s="24"/>
      <c r="ES336" s="24"/>
      <c r="ET336" s="24"/>
      <c r="EU336" s="24"/>
      <c r="EV336" s="24"/>
      <c r="EW336" s="24"/>
      <c r="EX336" s="24"/>
      <c r="EY336" s="24"/>
      <c r="EZ336" s="24"/>
      <c r="FA336" s="24"/>
      <c r="FB336" s="25"/>
      <c r="FC336" s="26"/>
      <c r="FD336" s="24"/>
      <c r="FE336" s="24"/>
      <c r="FF336" s="24"/>
      <c r="FG336" s="24"/>
      <c r="FH336" s="24"/>
      <c r="FI336" s="24"/>
      <c r="FJ336" s="24"/>
      <c r="FK336" s="24"/>
      <c r="FL336" s="24"/>
      <c r="FM336" s="24"/>
      <c r="FN336" s="24"/>
      <c r="FO336" s="27">
        <f t="shared" ref="FO336:FV336" si="329">IFERROR(R336*1,0)+IFERROR(AE336*1,0)+IFERROR(AR336*1,0)+IFERROR(BE336*1,0)+IFERROR(BR336*1,0)+IFERROR(CE336*1,0)+IFERROR(CR336*1,0)+IFERROR(DE336*1,0)+IFERROR(DR336*1,0)+IFERROR(EE336*1,0)+IFERROR(ER336*1,0)+IFERROR(FE336*1,0)</f>
        <v>0</v>
      </c>
      <c r="FP336" s="27">
        <f t="shared" si="329"/>
        <v>0</v>
      </c>
      <c r="FQ336" s="27">
        <f t="shared" si="329"/>
        <v>0</v>
      </c>
      <c r="FR336" s="27">
        <f t="shared" si="329"/>
        <v>0</v>
      </c>
      <c r="FS336" s="27">
        <f t="shared" si="329"/>
        <v>0</v>
      </c>
      <c r="FT336" s="27">
        <f t="shared" si="329"/>
        <v>0</v>
      </c>
      <c r="FU336" s="27">
        <f t="shared" si="329"/>
        <v>0</v>
      </c>
      <c r="FV336" s="27">
        <f t="shared" si="329"/>
        <v>0</v>
      </c>
      <c r="FW336" s="28"/>
      <c r="FX336" s="29">
        <f t="shared" si="3"/>
        <v>0</v>
      </c>
    </row>
    <row r="337" spans="1:180" ht="18" customHeight="1" x14ac:dyDescent="0.25">
      <c r="A337" s="3" t="str">
        <f>IF(C337&lt;&gt;"","DRG-"&amp;TEXT(332,"000"),"")</f>
        <v/>
      </c>
      <c r="B337" s="33"/>
      <c r="C337" s="33"/>
      <c r="D337" s="33"/>
      <c r="E337" s="33"/>
      <c r="F337" s="33"/>
      <c r="G337" s="33"/>
      <c r="H337" s="33"/>
      <c r="I337" s="33"/>
      <c r="J337" s="33"/>
      <c r="K337" s="33"/>
      <c r="L337" s="37">
        <v>4</v>
      </c>
      <c r="M337" s="30" t="str">
        <f t="shared" si="0"/>
        <v>✘ Pending</v>
      </c>
      <c r="N337" s="30">
        <f t="shared" si="1"/>
        <v>0</v>
      </c>
      <c r="O337" s="31"/>
      <c r="P337" s="32"/>
      <c r="Q337" s="33"/>
      <c r="R337" s="33"/>
      <c r="S337" s="33"/>
      <c r="T337" s="33"/>
      <c r="U337" s="33"/>
      <c r="V337" s="33"/>
      <c r="W337" s="33"/>
      <c r="X337" s="33"/>
      <c r="Y337" s="33"/>
      <c r="Z337" s="33"/>
      <c r="AA337" s="33"/>
      <c r="AB337" s="31"/>
      <c r="AC337" s="32"/>
      <c r="AD337" s="33"/>
      <c r="AE337" s="33"/>
      <c r="AF337" s="33"/>
      <c r="AG337" s="33"/>
      <c r="AH337" s="33"/>
      <c r="AI337" s="33"/>
      <c r="AJ337" s="33"/>
      <c r="AK337" s="33"/>
      <c r="AL337" s="33"/>
      <c r="AM337" s="33"/>
      <c r="AN337" s="33"/>
      <c r="AO337" s="31"/>
      <c r="AP337" s="32"/>
      <c r="AQ337" s="33"/>
      <c r="AR337" s="33"/>
      <c r="AS337" s="33"/>
      <c r="AT337" s="33"/>
      <c r="AU337" s="33"/>
      <c r="AV337" s="33"/>
      <c r="AW337" s="33"/>
      <c r="AX337" s="33"/>
      <c r="AY337" s="33"/>
      <c r="AZ337" s="33"/>
      <c r="BA337" s="33"/>
      <c r="BB337" s="31"/>
      <c r="BC337" s="32"/>
      <c r="BD337" s="33"/>
      <c r="BE337" s="33"/>
      <c r="BF337" s="33"/>
      <c r="BG337" s="33"/>
      <c r="BH337" s="33"/>
      <c r="BI337" s="33"/>
      <c r="BJ337" s="33"/>
      <c r="BK337" s="33"/>
      <c r="BL337" s="33"/>
      <c r="BM337" s="33"/>
      <c r="BN337" s="33"/>
      <c r="BO337" s="31"/>
      <c r="BP337" s="32"/>
      <c r="BQ337" s="33"/>
      <c r="BR337" s="33"/>
      <c r="BS337" s="33"/>
      <c r="BT337" s="33"/>
      <c r="BU337" s="33"/>
      <c r="BV337" s="33"/>
      <c r="BW337" s="33"/>
      <c r="BX337" s="33"/>
      <c r="BY337" s="33"/>
      <c r="BZ337" s="33"/>
      <c r="CA337" s="33"/>
      <c r="CB337" s="31"/>
      <c r="CC337" s="32"/>
      <c r="CD337" s="33"/>
      <c r="CE337" s="33"/>
      <c r="CF337" s="33"/>
      <c r="CG337" s="33"/>
      <c r="CH337" s="33"/>
      <c r="CI337" s="33"/>
      <c r="CJ337" s="33"/>
      <c r="CK337" s="33"/>
      <c r="CL337" s="33"/>
      <c r="CM337" s="33"/>
      <c r="CN337" s="33"/>
      <c r="CO337" s="31"/>
      <c r="CP337" s="32"/>
      <c r="CQ337" s="33"/>
      <c r="CR337" s="33"/>
      <c r="CS337" s="33"/>
      <c r="CT337" s="33"/>
      <c r="CU337" s="33"/>
      <c r="CV337" s="33"/>
      <c r="CW337" s="33"/>
      <c r="CX337" s="33"/>
      <c r="CY337" s="33"/>
      <c r="CZ337" s="33"/>
      <c r="DA337" s="33"/>
      <c r="DB337" s="31"/>
      <c r="DC337" s="32"/>
      <c r="DD337" s="33"/>
      <c r="DE337" s="33"/>
      <c r="DF337" s="33"/>
      <c r="DG337" s="33"/>
      <c r="DH337" s="33"/>
      <c r="DI337" s="33"/>
      <c r="DJ337" s="33"/>
      <c r="DK337" s="33"/>
      <c r="DL337" s="33"/>
      <c r="DM337" s="33"/>
      <c r="DN337" s="33"/>
      <c r="DO337" s="31"/>
      <c r="DP337" s="32"/>
      <c r="DQ337" s="33"/>
      <c r="DR337" s="33"/>
      <c r="DS337" s="33"/>
      <c r="DT337" s="33"/>
      <c r="DU337" s="33"/>
      <c r="DV337" s="33"/>
      <c r="DW337" s="33"/>
      <c r="DX337" s="33"/>
      <c r="DY337" s="33"/>
      <c r="DZ337" s="33"/>
      <c r="EA337" s="33"/>
      <c r="EB337" s="31"/>
      <c r="EC337" s="32"/>
      <c r="ED337" s="33"/>
      <c r="EE337" s="33"/>
      <c r="EF337" s="33"/>
      <c r="EG337" s="33"/>
      <c r="EH337" s="33"/>
      <c r="EI337" s="33"/>
      <c r="EJ337" s="33"/>
      <c r="EK337" s="33"/>
      <c r="EL337" s="33"/>
      <c r="EM337" s="33"/>
      <c r="EN337" s="33"/>
      <c r="EO337" s="31"/>
      <c r="EP337" s="32"/>
      <c r="EQ337" s="33"/>
      <c r="ER337" s="33"/>
      <c r="ES337" s="33"/>
      <c r="ET337" s="33"/>
      <c r="EU337" s="33"/>
      <c r="EV337" s="33"/>
      <c r="EW337" s="33"/>
      <c r="EX337" s="33"/>
      <c r="EY337" s="33"/>
      <c r="EZ337" s="33"/>
      <c r="FA337" s="33"/>
      <c r="FB337" s="31"/>
      <c r="FC337" s="32"/>
      <c r="FD337" s="33"/>
      <c r="FE337" s="33"/>
      <c r="FF337" s="33"/>
      <c r="FG337" s="33"/>
      <c r="FH337" s="33"/>
      <c r="FI337" s="33"/>
      <c r="FJ337" s="33"/>
      <c r="FK337" s="33"/>
      <c r="FL337" s="33"/>
      <c r="FM337" s="33"/>
      <c r="FN337" s="33"/>
      <c r="FO337" s="34">
        <f t="shared" ref="FO337:FV337" si="330">IFERROR(R337*1,0)+IFERROR(AE337*1,0)+IFERROR(AR337*1,0)+IFERROR(BE337*1,0)+IFERROR(BR337*1,0)+IFERROR(CE337*1,0)+IFERROR(CR337*1,0)+IFERROR(DE337*1,0)+IFERROR(DR337*1,0)+IFERROR(EE337*1,0)+IFERROR(ER337*1,0)+IFERROR(FE337*1,0)</f>
        <v>0</v>
      </c>
      <c r="FP337" s="34">
        <f t="shared" si="330"/>
        <v>0</v>
      </c>
      <c r="FQ337" s="34">
        <f t="shared" si="330"/>
        <v>0</v>
      </c>
      <c r="FR337" s="34">
        <f t="shared" si="330"/>
        <v>0</v>
      </c>
      <c r="FS337" s="34">
        <f t="shared" si="330"/>
        <v>0</v>
      </c>
      <c r="FT337" s="34">
        <f t="shared" si="330"/>
        <v>0</v>
      </c>
      <c r="FU337" s="34">
        <f t="shared" si="330"/>
        <v>0</v>
      </c>
      <c r="FV337" s="34">
        <f t="shared" si="330"/>
        <v>0</v>
      </c>
      <c r="FW337" s="28"/>
      <c r="FX337" s="29">
        <f t="shared" si="3"/>
        <v>0</v>
      </c>
    </row>
    <row r="338" spans="1:180" ht="18" customHeight="1" x14ac:dyDescent="0.25">
      <c r="A338" s="3" t="str">
        <f>IF(C338&lt;&gt;"","DRG-"&amp;TEXT(333,"000"),"")</f>
        <v/>
      </c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38">
        <v>4</v>
      </c>
      <c r="M338" s="23" t="str">
        <f t="shared" si="0"/>
        <v>✘ Pending</v>
      </c>
      <c r="N338" s="23">
        <f t="shared" si="1"/>
        <v>0</v>
      </c>
      <c r="O338" s="25"/>
      <c r="P338" s="26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  <c r="AB338" s="25"/>
      <c r="AC338" s="26"/>
      <c r="AD338" s="24"/>
      <c r="AE338" s="24"/>
      <c r="AF338" s="24"/>
      <c r="AG338" s="24"/>
      <c r="AH338" s="24"/>
      <c r="AI338" s="24"/>
      <c r="AJ338" s="24"/>
      <c r="AK338" s="24"/>
      <c r="AL338" s="24"/>
      <c r="AM338" s="24"/>
      <c r="AN338" s="24"/>
      <c r="AO338" s="25"/>
      <c r="AP338" s="26"/>
      <c r="AQ338" s="24"/>
      <c r="AR338" s="24"/>
      <c r="AS338" s="24"/>
      <c r="AT338" s="24"/>
      <c r="AU338" s="24"/>
      <c r="AV338" s="24"/>
      <c r="AW338" s="24"/>
      <c r="AX338" s="24"/>
      <c r="AY338" s="24"/>
      <c r="AZ338" s="24"/>
      <c r="BA338" s="24"/>
      <c r="BB338" s="25"/>
      <c r="BC338" s="26"/>
      <c r="BD338" s="24"/>
      <c r="BE338" s="24"/>
      <c r="BF338" s="24"/>
      <c r="BG338" s="24"/>
      <c r="BH338" s="24"/>
      <c r="BI338" s="24"/>
      <c r="BJ338" s="24"/>
      <c r="BK338" s="24"/>
      <c r="BL338" s="24"/>
      <c r="BM338" s="24"/>
      <c r="BN338" s="24"/>
      <c r="BO338" s="25"/>
      <c r="BP338" s="26"/>
      <c r="BQ338" s="24"/>
      <c r="BR338" s="24"/>
      <c r="BS338" s="24"/>
      <c r="BT338" s="24"/>
      <c r="BU338" s="24"/>
      <c r="BV338" s="24"/>
      <c r="BW338" s="24"/>
      <c r="BX338" s="24"/>
      <c r="BY338" s="24"/>
      <c r="BZ338" s="24"/>
      <c r="CA338" s="24"/>
      <c r="CB338" s="25"/>
      <c r="CC338" s="26"/>
      <c r="CD338" s="24"/>
      <c r="CE338" s="24"/>
      <c r="CF338" s="24"/>
      <c r="CG338" s="24"/>
      <c r="CH338" s="24"/>
      <c r="CI338" s="24"/>
      <c r="CJ338" s="24"/>
      <c r="CK338" s="24"/>
      <c r="CL338" s="24"/>
      <c r="CM338" s="24"/>
      <c r="CN338" s="24"/>
      <c r="CO338" s="25"/>
      <c r="CP338" s="26"/>
      <c r="CQ338" s="24"/>
      <c r="CR338" s="24"/>
      <c r="CS338" s="24"/>
      <c r="CT338" s="24"/>
      <c r="CU338" s="24"/>
      <c r="CV338" s="24"/>
      <c r="CW338" s="24"/>
      <c r="CX338" s="24"/>
      <c r="CY338" s="24"/>
      <c r="CZ338" s="24"/>
      <c r="DA338" s="24"/>
      <c r="DB338" s="25"/>
      <c r="DC338" s="26"/>
      <c r="DD338" s="24"/>
      <c r="DE338" s="24"/>
      <c r="DF338" s="24"/>
      <c r="DG338" s="24"/>
      <c r="DH338" s="24"/>
      <c r="DI338" s="24"/>
      <c r="DJ338" s="24"/>
      <c r="DK338" s="24"/>
      <c r="DL338" s="24"/>
      <c r="DM338" s="24"/>
      <c r="DN338" s="24"/>
      <c r="DO338" s="25"/>
      <c r="DP338" s="26"/>
      <c r="DQ338" s="24"/>
      <c r="DR338" s="24"/>
      <c r="DS338" s="24"/>
      <c r="DT338" s="24"/>
      <c r="DU338" s="24"/>
      <c r="DV338" s="24"/>
      <c r="DW338" s="24"/>
      <c r="DX338" s="24"/>
      <c r="DY338" s="24"/>
      <c r="DZ338" s="24"/>
      <c r="EA338" s="24"/>
      <c r="EB338" s="25"/>
      <c r="EC338" s="26"/>
      <c r="ED338" s="24"/>
      <c r="EE338" s="24"/>
      <c r="EF338" s="24"/>
      <c r="EG338" s="24"/>
      <c r="EH338" s="24"/>
      <c r="EI338" s="24"/>
      <c r="EJ338" s="24"/>
      <c r="EK338" s="24"/>
      <c r="EL338" s="24"/>
      <c r="EM338" s="24"/>
      <c r="EN338" s="24"/>
      <c r="EO338" s="25"/>
      <c r="EP338" s="26"/>
      <c r="EQ338" s="24"/>
      <c r="ER338" s="24"/>
      <c r="ES338" s="24"/>
      <c r="ET338" s="24"/>
      <c r="EU338" s="24"/>
      <c r="EV338" s="24"/>
      <c r="EW338" s="24"/>
      <c r="EX338" s="24"/>
      <c r="EY338" s="24"/>
      <c r="EZ338" s="24"/>
      <c r="FA338" s="24"/>
      <c r="FB338" s="25"/>
      <c r="FC338" s="26"/>
      <c r="FD338" s="24"/>
      <c r="FE338" s="24"/>
      <c r="FF338" s="24"/>
      <c r="FG338" s="24"/>
      <c r="FH338" s="24"/>
      <c r="FI338" s="24"/>
      <c r="FJ338" s="24"/>
      <c r="FK338" s="24"/>
      <c r="FL338" s="24"/>
      <c r="FM338" s="24"/>
      <c r="FN338" s="24"/>
      <c r="FO338" s="27">
        <f t="shared" ref="FO338:FV338" si="331">IFERROR(R338*1,0)+IFERROR(AE338*1,0)+IFERROR(AR338*1,0)+IFERROR(BE338*1,0)+IFERROR(BR338*1,0)+IFERROR(CE338*1,0)+IFERROR(CR338*1,0)+IFERROR(DE338*1,0)+IFERROR(DR338*1,0)+IFERROR(EE338*1,0)+IFERROR(ER338*1,0)+IFERROR(FE338*1,0)</f>
        <v>0</v>
      </c>
      <c r="FP338" s="27">
        <f t="shared" si="331"/>
        <v>0</v>
      </c>
      <c r="FQ338" s="27">
        <f t="shared" si="331"/>
        <v>0</v>
      </c>
      <c r="FR338" s="27">
        <f t="shared" si="331"/>
        <v>0</v>
      </c>
      <c r="FS338" s="27">
        <f t="shared" si="331"/>
        <v>0</v>
      </c>
      <c r="FT338" s="27">
        <f t="shared" si="331"/>
        <v>0</v>
      </c>
      <c r="FU338" s="27">
        <f t="shared" si="331"/>
        <v>0</v>
      </c>
      <c r="FV338" s="27">
        <f t="shared" si="331"/>
        <v>0</v>
      </c>
      <c r="FW338" s="28"/>
      <c r="FX338" s="29">
        <f t="shared" si="3"/>
        <v>0</v>
      </c>
    </row>
    <row r="339" spans="1:180" ht="18" customHeight="1" x14ac:dyDescent="0.25">
      <c r="A339" s="3" t="str">
        <f>IF(C339&lt;&gt;"","DRG-"&amp;TEXT(334,"000"),"")</f>
        <v/>
      </c>
      <c r="B339" s="33"/>
      <c r="C339" s="33"/>
      <c r="D339" s="33"/>
      <c r="E339" s="33"/>
      <c r="F339" s="33"/>
      <c r="G339" s="33"/>
      <c r="H339" s="33"/>
      <c r="I339" s="33"/>
      <c r="J339" s="33"/>
      <c r="K339" s="33"/>
      <c r="L339" s="37">
        <v>4</v>
      </c>
      <c r="M339" s="30" t="str">
        <f t="shared" si="0"/>
        <v>✘ Pending</v>
      </c>
      <c r="N339" s="30">
        <f t="shared" si="1"/>
        <v>0</v>
      </c>
      <c r="O339" s="31"/>
      <c r="P339" s="32"/>
      <c r="Q339" s="33"/>
      <c r="R339" s="33"/>
      <c r="S339" s="33"/>
      <c r="T339" s="33"/>
      <c r="U339" s="33"/>
      <c r="V339" s="33"/>
      <c r="W339" s="33"/>
      <c r="X339" s="33"/>
      <c r="Y339" s="33"/>
      <c r="Z339" s="33"/>
      <c r="AA339" s="33"/>
      <c r="AB339" s="31"/>
      <c r="AC339" s="32"/>
      <c r="AD339" s="33"/>
      <c r="AE339" s="33"/>
      <c r="AF339" s="33"/>
      <c r="AG339" s="33"/>
      <c r="AH339" s="33"/>
      <c r="AI339" s="33"/>
      <c r="AJ339" s="33"/>
      <c r="AK339" s="33"/>
      <c r="AL339" s="33"/>
      <c r="AM339" s="33"/>
      <c r="AN339" s="33"/>
      <c r="AO339" s="31"/>
      <c r="AP339" s="32"/>
      <c r="AQ339" s="33"/>
      <c r="AR339" s="33"/>
      <c r="AS339" s="33"/>
      <c r="AT339" s="33"/>
      <c r="AU339" s="33"/>
      <c r="AV339" s="33"/>
      <c r="AW339" s="33"/>
      <c r="AX339" s="33"/>
      <c r="AY339" s="33"/>
      <c r="AZ339" s="33"/>
      <c r="BA339" s="33"/>
      <c r="BB339" s="31"/>
      <c r="BC339" s="32"/>
      <c r="BD339" s="33"/>
      <c r="BE339" s="33"/>
      <c r="BF339" s="33"/>
      <c r="BG339" s="33"/>
      <c r="BH339" s="33"/>
      <c r="BI339" s="33"/>
      <c r="BJ339" s="33"/>
      <c r="BK339" s="33"/>
      <c r="BL339" s="33"/>
      <c r="BM339" s="33"/>
      <c r="BN339" s="33"/>
      <c r="BO339" s="31"/>
      <c r="BP339" s="32"/>
      <c r="BQ339" s="33"/>
      <c r="BR339" s="33"/>
      <c r="BS339" s="33"/>
      <c r="BT339" s="33"/>
      <c r="BU339" s="33"/>
      <c r="BV339" s="33"/>
      <c r="BW339" s="33"/>
      <c r="BX339" s="33"/>
      <c r="BY339" s="33"/>
      <c r="BZ339" s="33"/>
      <c r="CA339" s="33"/>
      <c r="CB339" s="31"/>
      <c r="CC339" s="32"/>
      <c r="CD339" s="33"/>
      <c r="CE339" s="33"/>
      <c r="CF339" s="33"/>
      <c r="CG339" s="33"/>
      <c r="CH339" s="33"/>
      <c r="CI339" s="33"/>
      <c r="CJ339" s="33"/>
      <c r="CK339" s="33"/>
      <c r="CL339" s="33"/>
      <c r="CM339" s="33"/>
      <c r="CN339" s="33"/>
      <c r="CO339" s="31"/>
      <c r="CP339" s="32"/>
      <c r="CQ339" s="33"/>
      <c r="CR339" s="33"/>
      <c r="CS339" s="33"/>
      <c r="CT339" s="33"/>
      <c r="CU339" s="33"/>
      <c r="CV339" s="33"/>
      <c r="CW339" s="33"/>
      <c r="CX339" s="33"/>
      <c r="CY339" s="33"/>
      <c r="CZ339" s="33"/>
      <c r="DA339" s="33"/>
      <c r="DB339" s="31"/>
      <c r="DC339" s="32"/>
      <c r="DD339" s="33"/>
      <c r="DE339" s="33"/>
      <c r="DF339" s="33"/>
      <c r="DG339" s="33"/>
      <c r="DH339" s="33"/>
      <c r="DI339" s="33"/>
      <c r="DJ339" s="33"/>
      <c r="DK339" s="33"/>
      <c r="DL339" s="33"/>
      <c r="DM339" s="33"/>
      <c r="DN339" s="33"/>
      <c r="DO339" s="31"/>
      <c r="DP339" s="32"/>
      <c r="DQ339" s="33"/>
      <c r="DR339" s="33"/>
      <c r="DS339" s="33"/>
      <c r="DT339" s="33"/>
      <c r="DU339" s="33"/>
      <c r="DV339" s="33"/>
      <c r="DW339" s="33"/>
      <c r="DX339" s="33"/>
      <c r="DY339" s="33"/>
      <c r="DZ339" s="33"/>
      <c r="EA339" s="33"/>
      <c r="EB339" s="31"/>
      <c r="EC339" s="32"/>
      <c r="ED339" s="33"/>
      <c r="EE339" s="33"/>
      <c r="EF339" s="33"/>
      <c r="EG339" s="33"/>
      <c r="EH339" s="33"/>
      <c r="EI339" s="33"/>
      <c r="EJ339" s="33"/>
      <c r="EK339" s="33"/>
      <c r="EL339" s="33"/>
      <c r="EM339" s="33"/>
      <c r="EN339" s="33"/>
      <c r="EO339" s="31"/>
      <c r="EP339" s="32"/>
      <c r="EQ339" s="33"/>
      <c r="ER339" s="33"/>
      <c r="ES339" s="33"/>
      <c r="ET339" s="33"/>
      <c r="EU339" s="33"/>
      <c r="EV339" s="33"/>
      <c r="EW339" s="33"/>
      <c r="EX339" s="33"/>
      <c r="EY339" s="33"/>
      <c r="EZ339" s="33"/>
      <c r="FA339" s="33"/>
      <c r="FB339" s="31"/>
      <c r="FC339" s="32"/>
      <c r="FD339" s="33"/>
      <c r="FE339" s="33"/>
      <c r="FF339" s="33"/>
      <c r="FG339" s="33"/>
      <c r="FH339" s="33"/>
      <c r="FI339" s="33"/>
      <c r="FJ339" s="33"/>
      <c r="FK339" s="33"/>
      <c r="FL339" s="33"/>
      <c r="FM339" s="33"/>
      <c r="FN339" s="33"/>
      <c r="FO339" s="34">
        <f t="shared" ref="FO339:FV339" si="332">IFERROR(R339*1,0)+IFERROR(AE339*1,0)+IFERROR(AR339*1,0)+IFERROR(BE339*1,0)+IFERROR(BR339*1,0)+IFERROR(CE339*1,0)+IFERROR(CR339*1,0)+IFERROR(DE339*1,0)+IFERROR(DR339*1,0)+IFERROR(EE339*1,0)+IFERROR(ER339*1,0)+IFERROR(FE339*1,0)</f>
        <v>0</v>
      </c>
      <c r="FP339" s="34">
        <f t="shared" si="332"/>
        <v>0</v>
      </c>
      <c r="FQ339" s="34">
        <f t="shared" si="332"/>
        <v>0</v>
      </c>
      <c r="FR339" s="34">
        <f t="shared" si="332"/>
        <v>0</v>
      </c>
      <c r="FS339" s="34">
        <f t="shared" si="332"/>
        <v>0</v>
      </c>
      <c r="FT339" s="34">
        <f t="shared" si="332"/>
        <v>0</v>
      </c>
      <c r="FU339" s="34">
        <f t="shared" si="332"/>
        <v>0</v>
      </c>
      <c r="FV339" s="34">
        <f t="shared" si="332"/>
        <v>0</v>
      </c>
      <c r="FW339" s="28"/>
      <c r="FX339" s="29">
        <f t="shared" si="3"/>
        <v>0</v>
      </c>
    </row>
    <row r="340" spans="1:180" ht="18" customHeight="1" x14ac:dyDescent="0.25">
      <c r="A340" s="3" t="str">
        <f>IF(C340&lt;&gt;"","DRG-"&amp;TEXT(335,"000"),"")</f>
        <v/>
      </c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38">
        <v>4</v>
      </c>
      <c r="M340" s="23" t="str">
        <f t="shared" si="0"/>
        <v>✘ Pending</v>
      </c>
      <c r="N340" s="23">
        <f t="shared" si="1"/>
        <v>0</v>
      </c>
      <c r="O340" s="25"/>
      <c r="P340" s="26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  <c r="AB340" s="25"/>
      <c r="AC340" s="26"/>
      <c r="AD340" s="24"/>
      <c r="AE340" s="24"/>
      <c r="AF340" s="24"/>
      <c r="AG340" s="24"/>
      <c r="AH340" s="24"/>
      <c r="AI340" s="24"/>
      <c r="AJ340" s="24"/>
      <c r="AK340" s="24"/>
      <c r="AL340" s="24"/>
      <c r="AM340" s="24"/>
      <c r="AN340" s="24"/>
      <c r="AO340" s="25"/>
      <c r="AP340" s="26"/>
      <c r="AQ340" s="24"/>
      <c r="AR340" s="24"/>
      <c r="AS340" s="24"/>
      <c r="AT340" s="24"/>
      <c r="AU340" s="24"/>
      <c r="AV340" s="24"/>
      <c r="AW340" s="24"/>
      <c r="AX340" s="24"/>
      <c r="AY340" s="24"/>
      <c r="AZ340" s="24"/>
      <c r="BA340" s="24"/>
      <c r="BB340" s="25"/>
      <c r="BC340" s="26"/>
      <c r="BD340" s="24"/>
      <c r="BE340" s="24"/>
      <c r="BF340" s="24"/>
      <c r="BG340" s="24"/>
      <c r="BH340" s="24"/>
      <c r="BI340" s="24"/>
      <c r="BJ340" s="24"/>
      <c r="BK340" s="24"/>
      <c r="BL340" s="24"/>
      <c r="BM340" s="24"/>
      <c r="BN340" s="24"/>
      <c r="BO340" s="25"/>
      <c r="BP340" s="26"/>
      <c r="BQ340" s="24"/>
      <c r="BR340" s="24"/>
      <c r="BS340" s="24"/>
      <c r="BT340" s="24"/>
      <c r="BU340" s="24"/>
      <c r="BV340" s="24"/>
      <c r="BW340" s="24"/>
      <c r="BX340" s="24"/>
      <c r="BY340" s="24"/>
      <c r="BZ340" s="24"/>
      <c r="CA340" s="24"/>
      <c r="CB340" s="25"/>
      <c r="CC340" s="26"/>
      <c r="CD340" s="24"/>
      <c r="CE340" s="24"/>
      <c r="CF340" s="24"/>
      <c r="CG340" s="24"/>
      <c r="CH340" s="24"/>
      <c r="CI340" s="24"/>
      <c r="CJ340" s="24"/>
      <c r="CK340" s="24"/>
      <c r="CL340" s="24"/>
      <c r="CM340" s="24"/>
      <c r="CN340" s="24"/>
      <c r="CO340" s="25"/>
      <c r="CP340" s="26"/>
      <c r="CQ340" s="24"/>
      <c r="CR340" s="24"/>
      <c r="CS340" s="24"/>
      <c r="CT340" s="24"/>
      <c r="CU340" s="24"/>
      <c r="CV340" s="24"/>
      <c r="CW340" s="24"/>
      <c r="CX340" s="24"/>
      <c r="CY340" s="24"/>
      <c r="CZ340" s="24"/>
      <c r="DA340" s="24"/>
      <c r="DB340" s="25"/>
      <c r="DC340" s="26"/>
      <c r="DD340" s="24"/>
      <c r="DE340" s="24"/>
      <c r="DF340" s="24"/>
      <c r="DG340" s="24"/>
      <c r="DH340" s="24"/>
      <c r="DI340" s="24"/>
      <c r="DJ340" s="24"/>
      <c r="DK340" s="24"/>
      <c r="DL340" s="24"/>
      <c r="DM340" s="24"/>
      <c r="DN340" s="24"/>
      <c r="DO340" s="25"/>
      <c r="DP340" s="26"/>
      <c r="DQ340" s="24"/>
      <c r="DR340" s="24"/>
      <c r="DS340" s="24"/>
      <c r="DT340" s="24"/>
      <c r="DU340" s="24"/>
      <c r="DV340" s="24"/>
      <c r="DW340" s="24"/>
      <c r="DX340" s="24"/>
      <c r="DY340" s="24"/>
      <c r="DZ340" s="24"/>
      <c r="EA340" s="24"/>
      <c r="EB340" s="25"/>
      <c r="EC340" s="26"/>
      <c r="ED340" s="24"/>
      <c r="EE340" s="24"/>
      <c r="EF340" s="24"/>
      <c r="EG340" s="24"/>
      <c r="EH340" s="24"/>
      <c r="EI340" s="24"/>
      <c r="EJ340" s="24"/>
      <c r="EK340" s="24"/>
      <c r="EL340" s="24"/>
      <c r="EM340" s="24"/>
      <c r="EN340" s="24"/>
      <c r="EO340" s="25"/>
      <c r="EP340" s="26"/>
      <c r="EQ340" s="24"/>
      <c r="ER340" s="24"/>
      <c r="ES340" s="24"/>
      <c r="ET340" s="24"/>
      <c r="EU340" s="24"/>
      <c r="EV340" s="24"/>
      <c r="EW340" s="24"/>
      <c r="EX340" s="24"/>
      <c r="EY340" s="24"/>
      <c r="EZ340" s="24"/>
      <c r="FA340" s="24"/>
      <c r="FB340" s="25"/>
      <c r="FC340" s="26"/>
      <c r="FD340" s="24"/>
      <c r="FE340" s="24"/>
      <c r="FF340" s="24"/>
      <c r="FG340" s="24"/>
      <c r="FH340" s="24"/>
      <c r="FI340" s="24"/>
      <c r="FJ340" s="24"/>
      <c r="FK340" s="24"/>
      <c r="FL340" s="24"/>
      <c r="FM340" s="24"/>
      <c r="FN340" s="24"/>
      <c r="FO340" s="27">
        <f t="shared" ref="FO340:FV340" si="333">IFERROR(R340*1,0)+IFERROR(AE340*1,0)+IFERROR(AR340*1,0)+IFERROR(BE340*1,0)+IFERROR(BR340*1,0)+IFERROR(CE340*1,0)+IFERROR(CR340*1,0)+IFERROR(DE340*1,0)+IFERROR(DR340*1,0)+IFERROR(EE340*1,0)+IFERROR(ER340*1,0)+IFERROR(FE340*1,0)</f>
        <v>0</v>
      </c>
      <c r="FP340" s="27">
        <f t="shared" si="333"/>
        <v>0</v>
      </c>
      <c r="FQ340" s="27">
        <f t="shared" si="333"/>
        <v>0</v>
      </c>
      <c r="FR340" s="27">
        <f t="shared" si="333"/>
        <v>0</v>
      </c>
      <c r="FS340" s="27">
        <f t="shared" si="333"/>
        <v>0</v>
      </c>
      <c r="FT340" s="27">
        <f t="shared" si="333"/>
        <v>0</v>
      </c>
      <c r="FU340" s="27">
        <f t="shared" si="333"/>
        <v>0</v>
      </c>
      <c r="FV340" s="27">
        <f t="shared" si="333"/>
        <v>0</v>
      </c>
      <c r="FW340" s="28"/>
      <c r="FX340" s="29">
        <f t="shared" si="3"/>
        <v>0</v>
      </c>
    </row>
    <row r="341" spans="1:180" ht="18" customHeight="1" x14ac:dyDescent="0.25">
      <c r="A341" s="3" t="str">
        <f>IF(C341&lt;&gt;"","DRG-"&amp;TEXT(336,"000"),"")</f>
        <v/>
      </c>
      <c r="B341" s="33"/>
      <c r="C341" s="33"/>
      <c r="D341" s="33"/>
      <c r="E341" s="33"/>
      <c r="F341" s="33"/>
      <c r="G341" s="33"/>
      <c r="H341" s="33"/>
      <c r="I341" s="33"/>
      <c r="J341" s="33"/>
      <c r="K341" s="33"/>
      <c r="L341" s="37">
        <v>4</v>
      </c>
      <c r="M341" s="30" t="str">
        <f t="shared" si="0"/>
        <v>✘ Pending</v>
      </c>
      <c r="N341" s="30">
        <f t="shared" si="1"/>
        <v>0</v>
      </c>
      <c r="O341" s="31"/>
      <c r="P341" s="32"/>
      <c r="Q341" s="33"/>
      <c r="R341" s="33"/>
      <c r="S341" s="33"/>
      <c r="T341" s="33"/>
      <c r="U341" s="33"/>
      <c r="V341" s="33"/>
      <c r="W341" s="33"/>
      <c r="X341" s="33"/>
      <c r="Y341" s="33"/>
      <c r="Z341" s="33"/>
      <c r="AA341" s="33"/>
      <c r="AB341" s="31"/>
      <c r="AC341" s="32"/>
      <c r="AD341" s="33"/>
      <c r="AE341" s="33"/>
      <c r="AF341" s="33"/>
      <c r="AG341" s="33"/>
      <c r="AH341" s="33"/>
      <c r="AI341" s="33"/>
      <c r="AJ341" s="33"/>
      <c r="AK341" s="33"/>
      <c r="AL341" s="33"/>
      <c r="AM341" s="33"/>
      <c r="AN341" s="33"/>
      <c r="AO341" s="31"/>
      <c r="AP341" s="32"/>
      <c r="AQ341" s="33"/>
      <c r="AR341" s="33"/>
      <c r="AS341" s="33"/>
      <c r="AT341" s="33"/>
      <c r="AU341" s="33"/>
      <c r="AV341" s="33"/>
      <c r="AW341" s="33"/>
      <c r="AX341" s="33"/>
      <c r="AY341" s="33"/>
      <c r="AZ341" s="33"/>
      <c r="BA341" s="33"/>
      <c r="BB341" s="31"/>
      <c r="BC341" s="32"/>
      <c r="BD341" s="33"/>
      <c r="BE341" s="33"/>
      <c r="BF341" s="33"/>
      <c r="BG341" s="33"/>
      <c r="BH341" s="33"/>
      <c r="BI341" s="33"/>
      <c r="BJ341" s="33"/>
      <c r="BK341" s="33"/>
      <c r="BL341" s="33"/>
      <c r="BM341" s="33"/>
      <c r="BN341" s="33"/>
      <c r="BO341" s="31"/>
      <c r="BP341" s="32"/>
      <c r="BQ341" s="33"/>
      <c r="BR341" s="33"/>
      <c r="BS341" s="33"/>
      <c r="BT341" s="33"/>
      <c r="BU341" s="33"/>
      <c r="BV341" s="33"/>
      <c r="BW341" s="33"/>
      <c r="BX341" s="33"/>
      <c r="BY341" s="33"/>
      <c r="BZ341" s="33"/>
      <c r="CA341" s="33"/>
      <c r="CB341" s="31"/>
      <c r="CC341" s="32"/>
      <c r="CD341" s="33"/>
      <c r="CE341" s="33"/>
      <c r="CF341" s="33"/>
      <c r="CG341" s="33"/>
      <c r="CH341" s="33"/>
      <c r="CI341" s="33"/>
      <c r="CJ341" s="33"/>
      <c r="CK341" s="33"/>
      <c r="CL341" s="33"/>
      <c r="CM341" s="33"/>
      <c r="CN341" s="33"/>
      <c r="CO341" s="31"/>
      <c r="CP341" s="32"/>
      <c r="CQ341" s="33"/>
      <c r="CR341" s="33"/>
      <c r="CS341" s="33"/>
      <c r="CT341" s="33"/>
      <c r="CU341" s="33"/>
      <c r="CV341" s="33"/>
      <c r="CW341" s="33"/>
      <c r="CX341" s="33"/>
      <c r="CY341" s="33"/>
      <c r="CZ341" s="33"/>
      <c r="DA341" s="33"/>
      <c r="DB341" s="31"/>
      <c r="DC341" s="32"/>
      <c r="DD341" s="33"/>
      <c r="DE341" s="33"/>
      <c r="DF341" s="33"/>
      <c r="DG341" s="33"/>
      <c r="DH341" s="33"/>
      <c r="DI341" s="33"/>
      <c r="DJ341" s="33"/>
      <c r="DK341" s="33"/>
      <c r="DL341" s="33"/>
      <c r="DM341" s="33"/>
      <c r="DN341" s="33"/>
      <c r="DO341" s="31"/>
      <c r="DP341" s="32"/>
      <c r="DQ341" s="33"/>
      <c r="DR341" s="33"/>
      <c r="DS341" s="33"/>
      <c r="DT341" s="33"/>
      <c r="DU341" s="33"/>
      <c r="DV341" s="33"/>
      <c r="DW341" s="33"/>
      <c r="DX341" s="33"/>
      <c r="DY341" s="33"/>
      <c r="DZ341" s="33"/>
      <c r="EA341" s="33"/>
      <c r="EB341" s="31"/>
      <c r="EC341" s="32"/>
      <c r="ED341" s="33"/>
      <c r="EE341" s="33"/>
      <c r="EF341" s="33"/>
      <c r="EG341" s="33"/>
      <c r="EH341" s="33"/>
      <c r="EI341" s="33"/>
      <c r="EJ341" s="33"/>
      <c r="EK341" s="33"/>
      <c r="EL341" s="33"/>
      <c r="EM341" s="33"/>
      <c r="EN341" s="33"/>
      <c r="EO341" s="31"/>
      <c r="EP341" s="32"/>
      <c r="EQ341" s="33"/>
      <c r="ER341" s="33"/>
      <c r="ES341" s="33"/>
      <c r="ET341" s="33"/>
      <c r="EU341" s="33"/>
      <c r="EV341" s="33"/>
      <c r="EW341" s="33"/>
      <c r="EX341" s="33"/>
      <c r="EY341" s="33"/>
      <c r="EZ341" s="33"/>
      <c r="FA341" s="33"/>
      <c r="FB341" s="31"/>
      <c r="FC341" s="32"/>
      <c r="FD341" s="33"/>
      <c r="FE341" s="33"/>
      <c r="FF341" s="33"/>
      <c r="FG341" s="33"/>
      <c r="FH341" s="33"/>
      <c r="FI341" s="33"/>
      <c r="FJ341" s="33"/>
      <c r="FK341" s="33"/>
      <c r="FL341" s="33"/>
      <c r="FM341" s="33"/>
      <c r="FN341" s="33"/>
      <c r="FO341" s="34">
        <f t="shared" ref="FO341:FV341" si="334">IFERROR(R341*1,0)+IFERROR(AE341*1,0)+IFERROR(AR341*1,0)+IFERROR(BE341*1,0)+IFERROR(BR341*1,0)+IFERROR(CE341*1,0)+IFERROR(CR341*1,0)+IFERROR(DE341*1,0)+IFERROR(DR341*1,0)+IFERROR(EE341*1,0)+IFERROR(ER341*1,0)+IFERROR(FE341*1,0)</f>
        <v>0</v>
      </c>
      <c r="FP341" s="34">
        <f t="shared" si="334"/>
        <v>0</v>
      </c>
      <c r="FQ341" s="34">
        <f t="shared" si="334"/>
        <v>0</v>
      </c>
      <c r="FR341" s="34">
        <f t="shared" si="334"/>
        <v>0</v>
      </c>
      <c r="FS341" s="34">
        <f t="shared" si="334"/>
        <v>0</v>
      </c>
      <c r="FT341" s="34">
        <f t="shared" si="334"/>
        <v>0</v>
      </c>
      <c r="FU341" s="34">
        <f t="shared" si="334"/>
        <v>0</v>
      </c>
      <c r="FV341" s="34">
        <f t="shared" si="334"/>
        <v>0</v>
      </c>
      <c r="FW341" s="28"/>
      <c r="FX341" s="29">
        <f t="shared" si="3"/>
        <v>0</v>
      </c>
    </row>
    <row r="342" spans="1:180" ht="18" customHeight="1" x14ac:dyDescent="0.25">
      <c r="A342" s="3" t="str">
        <f>IF(C342&lt;&gt;"","DRG-"&amp;TEXT(337,"000"),"")</f>
        <v/>
      </c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38">
        <v>4</v>
      </c>
      <c r="M342" s="23" t="str">
        <f t="shared" si="0"/>
        <v>✘ Pending</v>
      </c>
      <c r="N342" s="23">
        <f t="shared" si="1"/>
        <v>0</v>
      </c>
      <c r="O342" s="25"/>
      <c r="P342" s="26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  <c r="AB342" s="25"/>
      <c r="AC342" s="26"/>
      <c r="AD342" s="24"/>
      <c r="AE342" s="24"/>
      <c r="AF342" s="24"/>
      <c r="AG342" s="24"/>
      <c r="AH342" s="24"/>
      <c r="AI342" s="24"/>
      <c r="AJ342" s="24"/>
      <c r="AK342" s="24"/>
      <c r="AL342" s="24"/>
      <c r="AM342" s="24"/>
      <c r="AN342" s="24"/>
      <c r="AO342" s="25"/>
      <c r="AP342" s="26"/>
      <c r="AQ342" s="24"/>
      <c r="AR342" s="24"/>
      <c r="AS342" s="24"/>
      <c r="AT342" s="24"/>
      <c r="AU342" s="24"/>
      <c r="AV342" s="24"/>
      <c r="AW342" s="24"/>
      <c r="AX342" s="24"/>
      <c r="AY342" s="24"/>
      <c r="AZ342" s="24"/>
      <c r="BA342" s="24"/>
      <c r="BB342" s="25"/>
      <c r="BC342" s="26"/>
      <c r="BD342" s="24"/>
      <c r="BE342" s="24"/>
      <c r="BF342" s="24"/>
      <c r="BG342" s="24"/>
      <c r="BH342" s="24"/>
      <c r="BI342" s="24"/>
      <c r="BJ342" s="24"/>
      <c r="BK342" s="24"/>
      <c r="BL342" s="24"/>
      <c r="BM342" s="24"/>
      <c r="BN342" s="24"/>
      <c r="BO342" s="25"/>
      <c r="BP342" s="26"/>
      <c r="BQ342" s="24"/>
      <c r="BR342" s="24"/>
      <c r="BS342" s="24"/>
      <c r="BT342" s="24"/>
      <c r="BU342" s="24"/>
      <c r="BV342" s="24"/>
      <c r="BW342" s="24"/>
      <c r="BX342" s="24"/>
      <c r="BY342" s="24"/>
      <c r="BZ342" s="24"/>
      <c r="CA342" s="24"/>
      <c r="CB342" s="25"/>
      <c r="CC342" s="26"/>
      <c r="CD342" s="24"/>
      <c r="CE342" s="24"/>
      <c r="CF342" s="24"/>
      <c r="CG342" s="24"/>
      <c r="CH342" s="24"/>
      <c r="CI342" s="24"/>
      <c r="CJ342" s="24"/>
      <c r="CK342" s="24"/>
      <c r="CL342" s="24"/>
      <c r="CM342" s="24"/>
      <c r="CN342" s="24"/>
      <c r="CO342" s="25"/>
      <c r="CP342" s="26"/>
      <c r="CQ342" s="24"/>
      <c r="CR342" s="24"/>
      <c r="CS342" s="24"/>
      <c r="CT342" s="24"/>
      <c r="CU342" s="24"/>
      <c r="CV342" s="24"/>
      <c r="CW342" s="24"/>
      <c r="CX342" s="24"/>
      <c r="CY342" s="24"/>
      <c r="CZ342" s="24"/>
      <c r="DA342" s="24"/>
      <c r="DB342" s="25"/>
      <c r="DC342" s="26"/>
      <c r="DD342" s="24"/>
      <c r="DE342" s="24"/>
      <c r="DF342" s="24"/>
      <c r="DG342" s="24"/>
      <c r="DH342" s="24"/>
      <c r="DI342" s="24"/>
      <c r="DJ342" s="24"/>
      <c r="DK342" s="24"/>
      <c r="DL342" s="24"/>
      <c r="DM342" s="24"/>
      <c r="DN342" s="24"/>
      <c r="DO342" s="25"/>
      <c r="DP342" s="26"/>
      <c r="DQ342" s="24"/>
      <c r="DR342" s="24"/>
      <c r="DS342" s="24"/>
      <c r="DT342" s="24"/>
      <c r="DU342" s="24"/>
      <c r="DV342" s="24"/>
      <c r="DW342" s="24"/>
      <c r="DX342" s="24"/>
      <c r="DY342" s="24"/>
      <c r="DZ342" s="24"/>
      <c r="EA342" s="24"/>
      <c r="EB342" s="25"/>
      <c r="EC342" s="26"/>
      <c r="ED342" s="24"/>
      <c r="EE342" s="24"/>
      <c r="EF342" s="24"/>
      <c r="EG342" s="24"/>
      <c r="EH342" s="24"/>
      <c r="EI342" s="24"/>
      <c r="EJ342" s="24"/>
      <c r="EK342" s="24"/>
      <c r="EL342" s="24"/>
      <c r="EM342" s="24"/>
      <c r="EN342" s="24"/>
      <c r="EO342" s="25"/>
      <c r="EP342" s="26"/>
      <c r="EQ342" s="24"/>
      <c r="ER342" s="24"/>
      <c r="ES342" s="24"/>
      <c r="ET342" s="24"/>
      <c r="EU342" s="24"/>
      <c r="EV342" s="24"/>
      <c r="EW342" s="24"/>
      <c r="EX342" s="24"/>
      <c r="EY342" s="24"/>
      <c r="EZ342" s="24"/>
      <c r="FA342" s="24"/>
      <c r="FB342" s="25"/>
      <c r="FC342" s="26"/>
      <c r="FD342" s="24"/>
      <c r="FE342" s="24"/>
      <c r="FF342" s="24"/>
      <c r="FG342" s="24"/>
      <c r="FH342" s="24"/>
      <c r="FI342" s="24"/>
      <c r="FJ342" s="24"/>
      <c r="FK342" s="24"/>
      <c r="FL342" s="24"/>
      <c r="FM342" s="24"/>
      <c r="FN342" s="24"/>
      <c r="FO342" s="27">
        <f t="shared" ref="FO342:FV342" si="335">IFERROR(R342*1,0)+IFERROR(AE342*1,0)+IFERROR(AR342*1,0)+IFERROR(BE342*1,0)+IFERROR(BR342*1,0)+IFERROR(CE342*1,0)+IFERROR(CR342*1,0)+IFERROR(DE342*1,0)+IFERROR(DR342*1,0)+IFERROR(EE342*1,0)+IFERROR(ER342*1,0)+IFERROR(FE342*1,0)</f>
        <v>0</v>
      </c>
      <c r="FP342" s="27">
        <f t="shared" si="335"/>
        <v>0</v>
      </c>
      <c r="FQ342" s="27">
        <f t="shared" si="335"/>
        <v>0</v>
      </c>
      <c r="FR342" s="27">
        <f t="shared" si="335"/>
        <v>0</v>
      </c>
      <c r="FS342" s="27">
        <f t="shared" si="335"/>
        <v>0</v>
      </c>
      <c r="FT342" s="27">
        <f t="shared" si="335"/>
        <v>0</v>
      </c>
      <c r="FU342" s="27">
        <f t="shared" si="335"/>
        <v>0</v>
      </c>
      <c r="FV342" s="27">
        <f t="shared" si="335"/>
        <v>0</v>
      </c>
      <c r="FW342" s="28"/>
      <c r="FX342" s="29">
        <f t="shared" si="3"/>
        <v>0</v>
      </c>
    </row>
    <row r="343" spans="1:180" ht="18" customHeight="1" x14ac:dyDescent="0.25">
      <c r="A343" s="3" t="str">
        <f>IF(C343&lt;&gt;"","DRG-"&amp;TEXT(338,"000"),"")</f>
        <v/>
      </c>
      <c r="B343" s="33"/>
      <c r="C343" s="33"/>
      <c r="D343" s="33"/>
      <c r="E343" s="33"/>
      <c r="F343" s="33"/>
      <c r="G343" s="33"/>
      <c r="H343" s="33"/>
      <c r="I343" s="33"/>
      <c r="J343" s="33"/>
      <c r="K343" s="33"/>
      <c r="L343" s="37">
        <v>4</v>
      </c>
      <c r="M343" s="30" t="str">
        <f t="shared" si="0"/>
        <v>✘ Pending</v>
      </c>
      <c r="N343" s="30">
        <f t="shared" si="1"/>
        <v>0</v>
      </c>
      <c r="O343" s="31"/>
      <c r="P343" s="32"/>
      <c r="Q343" s="33"/>
      <c r="R343" s="33"/>
      <c r="S343" s="33"/>
      <c r="T343" s="33"/>
      <c r="U343" s="33"/>
      <c r="V343" s="33"/>
      <c r="W343" s="33"/>
      <c r="X343" s="33"/>
      <c r="Y343" s="33"/>
      <c r="Z343" s="33"/>
      <c r="AA343" s="33"/>
      <c r="AB343" s="31"/>
      <c r="AC343" s="32"/>
      <c r="AD343" s="33"/>
      <c r="AE343" s="33"/>
      <c r="AF343" s="33"/>
      <c r="AG343" s="33"/>
      <c r="AH343" s="33"/>
      <c r="AI343" s="33"/>
      <c r="AJ343" s="33"/>
      <c r="AK343" s="33"/>
      <c r="AL343" s="33"/>
      <c r="AM343" s="33"/>
      <c r="AN343" s="33"/>
      <c r="AO343" s="31"/>
      <c r="AP343" s="32"/>
      <c r="AQ343" s="33"/>
      <c r="AR343" s="33"/>
      <c r="AS343" s="33"/>
      <c r="AT343" s="33"/>
      <c r="AU343" s="33"/>
      <c r="AV343" s="33"/>
      <c r="AW343" s="33"/>
      <c r="AX343" s="33"/>
      <c r="AY343" s="33"/>
      <c r="AZ343" s="33"/>
      <c r="BA343" s="33"/>
      <c r="BB343" s="31"/>
      <c r="BC343" s="32"/>
      <c r="BD343" s="33"/>
      <c r="BE343" s="33"/>
      <c r="BF343" s="33"/>
      <c r="BG343" s="33"/>
      <c r="BH343" s="33"/>
      <c r="BI343" s="33"/>
      <c r="BJ343" s="33"/>
      <c r="BK343" s="33"/>
      <c r="BL343" s="33"/>
      <c r="BM343" s="33"/>
      <c r="BN343" s="33"/>
      <c r="BO343" s="31"/>
      <c r="BP343" s="32"/>
      <c r="BQ343" s="33"/>
      <c r="BR343" s="33"/>
      <c r="BS343" s="33"/>
      <c r="BT343" s="33"/>
      <c r="BU343" s="33"/>
      <c r="BV343" s="33"/>
      <c r="BW343" s="33"/>
      <c r="BX343" s="33"/>
      <c r="BY343" s="33"/>
      <c r="BZ343" s="33"/>
      <c r="CA343" s="33"/>
      <c r="CB343" s="31"/>
      <c r="CC343" s="32"/>
      <c r="CD343" s="33"/>
      <c r="CE343" s="33"/>
      <c r="CF343" s="33"/>
      <c r="CG343" s="33"/>
      <c r="CH343" s="33"/>
      <c r="CI343" s="33"/>
      <c r="CJ343" s="33"/>
      <c r="CK343" s="33"/>
      <c r="CL343" s="33"/>
      <c r="CM343" s="33"/>
      <c r="CN343" s="33"/>
      <c r="CO343" s="31"/>
      <c r="CP343" s="32"/>
      <c r="CQ343" s="33"/>
      <c r="CR343" s="33"/>
      <c r="CS343" s="33"/>
      <c r="CT343" s="33"/>
      <c r="CU343" s="33"/>
      <c r="CV343" s="33"/>
      <c r="CW343" s="33"/>
      <c r="CX343" s="33"/>
      <c r="CY343" s="33"/>
      <c r="CZ343" s="33"/>
      <c r="DA343" s="33"/>
      <c r="DB343" s="31"/>
      <c r="DC343" s="32"/>
      <c r="DD343" s="33"/>
      <c r="DE343" s="33"/>
      <c r="DF343" s="33"/>
      <c r="DG343" s="33"/>
      <c r="DH343" s="33"/>
      <c r="DI343" s="33"/>
      <c r="DJ343" s="33"/>
      <c r="DK343" s="33"/>
      <c r="DL343" s="33"/>
      <c r="DM343" s="33"/>
      <c r="DN343" s="33"/>
      <c r="DO343" s="31"/>
      <c r="DP343" s="32"/>
      <c r="DQ343" s="33"/>
      <c r="DR343" s="33"/>
      <c r="DS343" s="33"/>
      <c r="DT343" s="33"/>
      <c r="DU343" s="33"/>
      <c r="DV343" s="33"/>
      <c r="DW343" s="33"/>
      <c r="DX343" s="33"/>
      <c r="DY343" s="33"/>
      <c r="DZ343" s="33"/>
      <c r="EA343" s="33"/>
      <c r="EB343" s="31"/>
      <c r="EC343" s="32"/>
      <c r="ED343" s="33"/>
      <c r="EE343" s="33"/>
      <c r="EF343" s="33"/>
      <c r="EG343" s="33"/>
      <c r="EH343" s="33"/>
      <c r="EI343" s="33"/>
      <c r="EJ343" s="33"/>
      <c r="EK343" s="33"/>
      <c r="EL343" s="33"/>
      <c r="EM343" s="33"/>
      <c r="EN343" s="33"/>
      <c r="EO343" s="31"/>
      <c r="EP343" s="32"/>
      <c r="EQ343" s="33"/>
      <c r="ER343" s="33"/>
      <c r="ES343" s="33"/>
      <c r="ET343" s="33"/>
      <c r="EU343" s="33"/>
      <c r="EV343" s="33"/>
      <c r="EW343" s="33"/>
      <c r="EX343" s="33"/>
      <c r="EY343" s="33"/>
      <c r="EZ343" s="33"/>
      <c r="FA343" s="33"/>
      <c r="FB343" s="31"/>
      <c r="FC343" s="32"/>
      <c r="FD343" s="33"/>
      <c r="FE343" s="33"/>
      <c r="FF343" s="33"/>
      <c r="FG343" s="33"/>
      <c r="FH343" s="33"/>
      <c r="FI343" s="33"/>
      <c r="FJ343" s="33"/>
      <c r="FK343" s="33"/>
      <c r="FL343" s="33"/>
      <c r="FM343" s="33"/>
      <c r="FN343" s="33"/>
      <c r="FO343" s="34">
        <f t="shared" ref="FO343:FV343" si="336">IFERROR(R343*1,0)+IFERROR(AE343*1,0)+IFERROR(AR343*1,0)+IFERROR(BE343*1,0)+IFERROR(BR343*1,0)+IFERROR(CE343*1,0)+IFERROR(CR343*1,0)+IFERROR(DE343*1,0)+IFERROR(DR343*1,0)+IFERROR(EE343*1,0)+IFERROR(ER343*1,0)+IFERROR(FE343*1,0)</f>
        <v>0</v>
      </c>
      <c r="FP343" s="34">
        <f t="shared" si="336"/>
        <v>0</v>
      </c>
      <c r="FQ343" s="34">
        <f t="shared" si="336"/>
        <v>0</v>
      </c>
      <c r="FR343" s="34">
        <f t="shared" si="336"/>
        <v>0</v>
      </c>
      <c r="FS343" s="34">
        <f t="shared" si="336"/>
        <v>0</v>
      </c>
      <c r="FT343" s="34">
        <f t="shared" si="336"/>
        <v>0</v>
      </c>
      <c r="FU343" s="34">
        <f t="shared" si="336"/>
        <v>0</v>
      </c>
      <c r="FV343" s="34">
        <f t="shared" si="336"/>
        <v>0</v>
      </c>
      <c r="FW343" s="28"/>
      <c r="FX343" s="29">
        <f t="shared" si="3"/>
        <v>0</v>
      </c>
    </row>
    <row r="344" spans="1:180" ht="18" customHeight="1" x14ac:dyDescent="0.25">
      <c r="A344" s="3" t="str">
        <f>IF(C344&lt;&gt;"","DRG-"&amp;TEXT(339,"000"),"")</f>
        <v/>
      </c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38">
        <v>4</v>
      </c>
      <c r="M344" s="23" t="str">
        <f t="shared" si="0"/>
        <v>✘ Pending</v>
      </c>
      <c r="N344" s="23">
        <f t="shared" si="1"/>
        <v>0</v>
      </c>
      <c r="O344" s="25"/>
      <c r="P344" s="26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  <c r="AB344" s="25"/>
      <c r="AC344" s="26"/>
      <c r="AD344" s="24"/>
      <c r="AE344" s="24"/>
      <c r="AF344" s="24"/>
      <c r="AG344" s="24"/>
      <c r="AH344" s="24"/>
      <c r="AI344" s="24"/>
      <c r="AJ344" s="24"/>
      <c r="AK344" s="24"/>
      <c r="AL344" s="24"/>
      <c r="AM344" s="24"/>
      <c r="AN344" s="24"/>
      <c r="AO344" s="25"/>
      <c r="AP344" s="26"/>
      <c r="AQ344" s="24"/>
      <c r="AR344" s="24"/>
      <c r="AS344" s="24"/>
      <c r="AT344" s="24"/>
      <c r="AU344" s="24"/>
      <c r="AV344" s="24"/>
      <c r="AW344" s="24"/>
      <c r="AX344" s="24"/>
      <c r="AY344" s="24"/>
      <c r="AZ344" s="24"/>
      <c r="BA344" s="24"/>
      <c r="BB344" s="25"/>
      <c r="BC344" s="26"/>
      <c r="BD344" s="24"/>
      <c r="BE344" s="24"/>
      <c r="BF344" s="24"/>
      <c r="BG344" s="24"/>
      <c r="BH344" s="24"/>
      <c r="BI344" s="24"/>
      <c r="BJ344" s="24"/>
      <c r="BK344" s="24"/>
      <c r="BL344" s="24"/>
      <c r="BM344" s="24"/>
      <c r="BN344" s="24"/>
      <c r="BO344" s="25"/>
      <c r="BP344" s="26"/>
      <c r="BQ344" s="24"/>
      <c r="BR344" s="24"/>
      <c r="BS344" s="24"/>
      <c r="BT344" s="24"/>
      <c r="BU344" s="24"/>
      <c r="BV344" s="24"/>
      <c r="BW344" s="24"/>
      <c r="BX344" s="24"/>
      <c r="BY344" s="24"/>
      <c r="BZ344" s="24"/>
      <c r="CA344" s="24"/>
      <c r="CB344" s="25"/>
      <c r="CC344" s="26"/>
      <c r="CD344" s="24"/>
      <c r="CE344" s="24"/>
      <c r="CF344" s="24"/>
      <c r="CG344" s="24"/>
      <c r="CH344" s="24"/>
      <c r="CI344" s="24"/>
      <c r="CJ344" s="24"/>
      <c r="CK344" s="24"/>
      <c r="CL344" s="24"/>
      <c r="CM344" s="24"/>
      <c r="CN344" s="24"/>
      <c r="CO344" s="25"/>
      <c r="CP344" s="26"/>
      <c r="CQ344" s="24"/>
      <c r="CR344" s="24"/>
      <c r="CS344" s="24"/>
      <c r="CT344" s="24"/>
      <c r="CU344" s="24"/>
      <c r="CV344" s="24"/>
      <c r="CW344" s="24"/>
      <c r="CX344" s="24"/>
      <c r="CY344" s="24"/>
      <c r="CZ344" s="24"/>
      <c r="DA344" s="24"/>
      <c r="DB344" s="25"/>
      <c r="DC344" s="26"/>
      <c r="DD344" s="24"/>
      <c r="DE344" s="24"/>
      <c r="DF344" s="24"/>
      <c r="DG344" s="24"/>
      <c r="DH344" s="24"/>
      <c r="DI344" s="24"/>
      <c r="DJ344" s="24"/>
      <c r="DK344" s="24"/>
      <c r="DL344" s="24"/>
      <c r="DM344" s="24"/>
      <c r="DN344" s="24"/>
      <c r="DO344" s="25"/>
      <c r="DP344" s="26"/>
      <c r="DQ344" s="24"/>
      <c r="DR344" s="24"/>
      <c r="DS344" s="24"/>
      <c r="DT344" s="24"/>
      <c r="DU344" s="24"/>
      <c r="DV344" s="24"/>
      <c r="DW344" s="24"/>
      <c r="DX344" s="24"/>
      <c r="DY344" s="24"/>
      <c r="DZ344" s="24"/>
      <c r="EA344" s="24"/>
      <c r="EB344" s="25"/>
      <c r="EC344" s="26"/>
      <c r="ED344" s="24"/>
      <c r="EE344" s="24"/>
      <c r="EF344" s="24"/>
      <c r="EG344" s="24"/>
      <c r="EH344" s="24"/>
      <c r="EI344" s="24"/>
      <c r="EJ344" s="24"/>
      <c r="EK344" s="24"/>
      <c r="EL344" s="24"/>
      <c r="EM344" s="24"/>
      <c r="EN344" s="24"/>
      <c r="EO344" s="25"/>
      <c r="EP344" s="26"/>
      <c r="EQ344" s="24"/>
      <c r="ER344" s="24"/>
      <c r="ES344" s="24"/>
      <c r="ET344" s="24"/>
      <c r="EU344" s="24"/>
      <c r="EV344" s="24"/>
      <c r="EW344" s="24"/>
      <c r="EX344" s="24"/>
      <c r="EY344" s="24"/>
      <c r="EZ344" s="24"/>
      <c r="FA344" s="24"/>
      <c r="FB344" s="25"/>
      <c r="FC344" s="26"/>
      <c r="FD344" s="24"/>
      <c r="FE344" s="24"/>
      <c r="FF344" s="24"/>
      <c r="FG344" s="24"/>
      <c r="FH344" s="24"/>
      <c r="FI344" s="24"/>
      <c r="FJ344" s="24"/>
      <c r="FK344" s="24"/>
      <c r="FL344" s="24"/>
      <c r="FM344" s="24"/>
      <c r="FN344" s="24"/>
      <c r="FO344" s="27">
        <f t="shared" ref="FO344:FV344" si="337">IFERROR(R344*1,0)+IFERROR(AE344*1,0)+IFERROR(AR344*1,0)+IFERROR(BE344*1,0)+IFERROR(BR344*1,0)+IFERROR(CE344*1,0)+IFERROR(CR344*1,0)+IFERROR(DE344*1,0)+IFERROR(DR344*1,0)+IFERROR(EE344*1,0)+IFERROR(ER344*1,0)+IFERROR(FE344*1,0)</f>
        <v>0</v>
      </c>
      <c r="FP344" s="27">
        <f t="shared" si="337"/>
        <v>0</v>
      </c>
      <c r="FQ344" s="27">
        <f t="shared" si="337"/>
        <v>0</v>
      </c>
      <c r="FR344" s="27">
        <f t="shared" si="337"/>
        <v>0</v>
      </c>
      <c r="FS344" s="27">
        <f t="shared" si="337"/>
        <v>0</v>
      </c>
      <c r="FT344" s="27">
        <f t="shared" si="337"/>
        <v>0</v>
      </c>
      <c r="FU344" s="27">
        <f t="shared" si="337"/>
        <v>0</v>
      </c>
      <c r="FV344" s="27">
        <f t="shared" si="337"/>
        <v>0</v>
      </c>
      <c r="FW344" s="28"/>
      <c r="FX344" s="29">
        <f t="shared" si="3"/>
        <v>0</v>
      </c>
    </row>
    <row r="345" spans="1:180" ht="18" customHeight="1" x14ac:dyDescent="0.25">
      <c r="A345" s="3" t="str">
        <f>IF(C345&lt;&gt;"","DRG-"&amp;TEXT(340,"000"),"")</f>
        <v/>
      </c>
      <c r="B345" s="33"/>
      <c r="C345" s="33"/>
      <c r="D345" s="33"/>
      <c r="E345" s="33"/>
      <c r="F345" s="33"/>
      <c r="G345" s="33"/>
      <c r="H345" s="33"/>
      <c r="I345" s="33"/>
      <c r="J345" s="33"/>
      <c r="K345" s="33"/>
      <c r="L345" s="37">
        <v>4</v>
      </c>
      <c r="M345" s="30" t="str">
        <f t="shared" si="0"/>
        <v>✘ Pending</v>
      </c>
      <c r="N345" s="30">
        <f t="shared" si="1"/>
        <v>0</v>
      </c>
      <c r="O345" s="31"/>
      <c r="P345" s="32"/>
      <c r="Q345" s="33"/>
      <c r="R345" s="33"/>
      <c r="S345" s="33"/>
      <c r="T345" s="33"/>
      <c r="U345" s="33"/>
      <c r="V345" s="33"/>
      <c r="W345" s="33"/>
      <c r="X345" s="33"/>
      <c r="Y345" s="33"/>
      <c r="Z345" s="33"/>
      <c r="AA345" s="33"/>
      <c r="AB345" s="31"/>
      <c r="AC345" s="32"/>
      <c r="AD345" s="33"/>
      <c r="AE345" s="33"/>
      <c r="AF345" s="33"/>
      <c r="AG345" s="33"/>
      <c r="AH345" s="33"/>
      <c r="AI345" s="33"/>
      <c r="AJ345" s="33"/>
      <c r="AK345" s="33"/>
      <c r="AL345" s="33"/>
      <c r="AM345" s="33"/>
      <c r="AN345" s="33"/>
      <c r="AO345" s="31"/>
      <c r="AP345" s="32"/>
      <c r="AQ345" s="33"/>
      <c r="AR345" s="33"/>
      <c r="AS345" s="33"/>
      <c r="AT345" s="33"/>
      <c r="AU345" s="33"/>
      <c r="AV345" s="33"/>
      <c r="AW345" s="33"/>
      <c r="AX345" s="33"/>
      <c r="AY345" s="33"/>
      <c r="AZ345" s="33"/>
      <c r="BA345" s="33"/>
      <c r="BB345" s="31"/>
      <c r="BC345" s="32"/>
      <c r="BD345" s="33"/>
      <c r="BE345" s="33"/>
      <c r="BF345" s="33"/>
      <c r="BG345" s="33"/>
      <c r="BH345" s="33"/>
      <c r="BI345" s="33"/>
      <c r="BJ345" s="33"/>
      <c r="BK345" s="33"/>
      <c r="BL345" s="33"/>
      <c r="BM345" s="33"/>
      <c r="BN345" s="33"/>
      <c r="BO345" s="31"/>
      <c r="BP345" s="32"/>
      <c r="BQ345" s="33"/>
      <c r="BR345" s="33"/>
      <c r="BS345" s="33"/>
      <c r="BT345" s="33"/>
      <c r="BU345" s="33"/>
      <c r="BV345" s="33"/>
      <c r="BW345" s="33"/>
      <c r="BX345" s="33"/>
      <c r="BY345" s="33"/>
      <c r="BZ345" s="33"/>
      <c r="CA345" s="33"/>
      <c r="CB345" s="31"/>
      <c r="CC345" s="32"/>
      <c r="CD345" s="33"/>
      <c r="CE345" s="33"/>
      <c r="CF345" s="33"/>
      <c r="CG345" s="33"/>
      <c r="CH345" s="33"/>
      <c r="CI345" s="33"/>
      <c r="CJ345" s="33"/>
      <c r="CK345" s="33"/>
      <c r="CL345" s="33"/>
      <c r="CM345" s="33"/>
      <c r="CN345" s="33"/>
      <c r="CO345" s="31"/>
      <c r="CP345" s="32"/>
      <c r="CQ345" s="33"/>
      <c r="CR345" s="33"/>
      <c r="CS345" s="33"/>
      <c r="CT345" s="33"/>
      <c r="CU345" s="33"/>
      <c r="CV345" s="33"/>
      <c r="CW345" s="33"/>
      <c r="CX345" s="33"/>
      <c r="CY345" s="33"/>
      <c r="CZ345" s="33"/>
      <c r="DA345" s="33"/>
      <c r="DB345" s="31"/>
      <c r="DC345" s="32"/>
      <c r="DD345" s="33"/>
      <c r="DE345" s="33"/>
      <c r="DF345" s="33"/>
      <c r="DG345" s="33"/>
      <c r="DH345" s="33"/>
      <c r="DI345" s="33"/>
      <c r="DJ345" s="33"/>
      <c r="DK345" s="33"/>
      <c r="DL345" s="33"/>
      <c r="DM345" s="33"/>
      <c r="DN345" s="33"/>
      <c r="DO345" s="31"/>
      <c r="DP345" s="32"/>
      <c r="DQ345" s="33"/>
      <c r="DR345" s="33"/>
      <c r="DS345" s="33"/>
      <c r="DT345" s="33"/>
      <c r="DU345" s="33"/>
      <c r="DV345" s="33"/>
      <c r="DW345" s="33"/>
      <c r="DX345" s="33"/>
      <c r="DY345" s="33"/>
      <c r="DZ345" s="33"/>
      <c r="EA345" s="33"/>
      <c r="EB345" s="31"/>
      <c r="EC345" s="32"/>
      <c r="ED345" s="33"/>
      <c r="EE345" s="33"/>
      <c r="EF345" s="33"/>
      <c r="EG345" s="33"/>
      <c r="EH345" s="33"/>
      <c r="EI345" s="33"/>
      <c r="EJ345" s="33"/>
      <c r="EK345" s="33"/>
      <c r="EL345" s="33"/>
      <c r="EM345" s="33"/>
      <c r="EN345" s="33"/>
      <c r="EO345" s="31"/>
      <c r="EP345" s="32"/>
      <c r="EQ345" s="33"/>
      <c r="ER345" s="33"/>
      <c r="ES345" s="33"/>
      <c r="ET345" s="33"/>
      <c r="EU345" s="33"/>
      <c r="EV345" s="33"/>
      <c r="EW345" s="33"/>
      <c r="EX345" s="33"/>
      <c r="EY345" s="33"/>
      <c r="EZ345" s="33"/>
      <c r="FA345" s="33"/>
      <c r="FB345" s="31"/>
      <c r="FC345" s="32"/>
      <c r="FD345" s="33"/>
      <c r="FE345" s="33"/>
      <c r="FF345" s="33"/>
      <c r="FG345" s="33"/>
      <c r="FH345" s="33"/>
      <c r="FI345" s="33"/>
      <c r="FJ345" s="33"/>
      <c r="FK345" s="33"/>
      <c r="FL345" s="33"/>
      <c r="FM345" s="33"/>
      <c r="FN345" s="33"/>
      <c r="FO345" s="34">
        <f t="shared" ref="FO345:FV345" si="338">IFERROR(R345*1,0)+IFERROR(AE345*1,0)+IFERROR(AR345*1,0)+IFERROR(BE345*1,0)+IFERROR(BR345*1,0)+IFERROR(CE345*1,0)+IFERROR(CR345*1,0)+IFERROR(DE345*1,0)+IFERROR(DR345*1,0)+IFERROR(EE345*1,0)+IFERROR(ER345*1,0)+IFERROR(FE345*1,0)</f>
        <v>0</v>
      </c>
      <c r="FP345" s="34">
        <f t="shared" si="338"/>
        <v>0</v>
      </c>
      <c r="FQ345" s="34">
        <f t="shared" si="338"/>
        <v>0</v>
      </c>
      <c r="FR345" s="34">
        <f t="shared" si="338"/>
        <v>0</v>
      </c>
      <c r="FS345" s="34">
        <f t="shared" si="338"/>
        <v>0</v>
      </c>
      <c r="FT345" s="34">
        <f t="shared" si="338"/>
        <v>0</v>
      </c>
      <c r="FU345" s="34">
        <f t="shared" si="338"/>
        <v>0</v>
      </c>
      <c r="FV345" s="34">
        <f t="shared" si="338"/>
        <v>0</v>
      </c>
      <c r="FW345" s="28"/>
      <c r="FX345" s="29">
        <f t="shared" si="3"/>
        <v>0</v>
      </c>
    </row>
    <row r="346" spans="1:180" ht="18" customHeight="1" x14ac:dyDescent="0.25">
      <c r="A346" s="3" t="str">
        <f>IF(C346&lt;&gt;"","DRG-"&amp;TEXT(341,"000"),"")</f>
        <v/>
      </c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38">
        <v>4</v>
      </c>
      <c r="M346" s="23" t="str">
        <f t="shared" si="0"/>
        <v>✘ Pending</v>
      </c>
      <c r="N346" s="23">
        <f t="shared" si="1"/>
        <v>0</v>
      </c>
      <c r="O346" s="25"/>
      <c r="P346" s="26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  <c r="AB346" s="25"/>
      <c r="AC346" s="26"/>
      <c r="AD346" s="24"/>
      <c r="AE346" s="24"/>
      <c r="AF346" s="24"/>
      <c r="AG346" s="24"/>
      <c r="AH346" s="24"/>
      <c r="AI346" s="24"/>
      <c r="AJ346" s="24"/>
      <c r="AK346" s="24"/>
      <c r="AL346" s="24"/>
      <c r="AM346" s="24"/>
      <c r="AN346" s="24"/>
      <c r="AO346" s="25"/>
      <c r="AP346" s="26"/>
      <c r="AQ346" s="24"/>
      <c r="AR346" s="24"/>
      <c r="AS346" s="24"/>
      <c r="AT346" s="24"/>
      <c r="AU346" s="24"/>
      <c r="AV346" s="24"/>
      <c r="AW346" s="24"/>
      <c r="AX346" s="24"/>
      <c r="AY346" s="24"/>
      <c r="AZ346" s="24"/>
      <c r="BA346" s="24"/>
      <c r="BB346" s="25"/>
      <c r="BC346" s="26"/>
      <c r="BD346" s="24"/>
      <c r="BE346" s="24"/>
      <c r="BF346" s="24"/>
      <c r="BG346" s="24"/>
      <c r="BH346" s="24"/>
      <c r="BI346" s="24"/>
      <c r="BJ346" s="24"/>
      <c r="BK346" s="24"/>
      <c r="BL346" s="24"/>
      <c r="BM346" s="24"/>
      <c r="BN346" s="24"/>
      <c r="BO346" s="25"/>
      <c r="BP346" s="26"/>
      <c r="BQ346" s="24"/>
      <c r="BR346" s="24"/>
      <c r="BS346" s="24"/>
      <c r="BT346" s="24"/>
      <c r="BU346" s="24"/>
      <c r="BV346" s="24"/>
      <c r="BW346" s="24"/>
      <c r="BX346" s="24"/>
      <c r="BY346" s="24"/>
      <c r="BZ346" s="24"/>
      <c r="CA346" s="24"/>
      <c r="CB346" s="25"/>
      <c r="CC346" s="26"/>
      <c r="CD346" s="24"/>
      <c r="CE346" s="24"/>
      <c r="CF346" s="24"/>
      <c r="CG346" s="24"/>
      <c r="CH346" s="24"/>
      <c r="CI346" s="24"/>
      <c r="CJ346" s="24"/>
      <c r="CK346" s="24"/>
      <c r="CL346" s="24"/>
      <c r="CM346" s="24"/>
      <c r="CN346" s="24"/>
      <c r="CO346" s="25"/>
      <c r="CP346" s="26"/>
      <c r="CQ346" s="24"/>
      <c r="CR346" s="24"/>
      <c r="CS346" s="24"/>
      <c r="CT346" s="24"/>
      <c r="CU346" s="24"/>
      <c r="CV346" s="24"/>
      <c r="CW346" s="24"/>
      <c r="CX346" s="24"/>
      <c r="CY346" s="24"/>
      <c r="CZ346" s="24"/>
      <c r="DA346" s="24"/>
      <c r="DB346" s="25"/>
      <c r="DC346" s="26"/>
      <c r="DD346" s="24"/>
      <c r="DE346" s="24"/>
      <c r="DF346" s="24"/>
      <c r="DG346" s="24"/>
      <c r="DH346" s="24"/>
      <c r="DI346" s="24"/>
      <c r="DJ346" s="24"/>
      <c r="DK346" s="24"/>
      <c r="DL346" s="24"/>
      <c r="DM346" s="24"/>
      <c r="DN346" s="24"/>
      <c r="DO346" s="25"/>
      <c r="DP346" s="26"/>
      <c r="DQ346" s="24"/>
      <c r="DR346" s="24"/>
      <c r="DS346" s="24"/>
      <c r="DT346" s="24"/>
      <c r="DU346" s="24"/>
      <c r="DV346" s="24"/>
      <c r="DW346" s="24"/>
      <c r="DX346" s="24"/>
      <c r="DY346" s="24"/>
      <c r="DZ346" s="24"/>
      <c r="EA346" s="24"/>
      <c r="EB346" s="25"/>
      <c r="EC346" s="26"/>
      <c r="ED346" s="24"/>
      <c r="EE346" s="24"/>
      <c r="EF346" s="24"/>
      <c r="EG346" s="24"/>
      <c r="EH346" s="24"/>
      <c r="EI346" s="24"/>
      <c r="EJ346" s="24"/>
      <c r="EK346" s="24"/>
      <c r="EL346" s="24"/>
      <c r="EM346" s="24"/>
      <c r="EN346" s="24"/>
      <c r="EO346" s="25"/>
      <c r="EP346" s="26"/>
      <c r="EQ346" s="24"/>
      <c r="ER346" s="24"/>
      <c r="ES346" s="24"/>
      <c r="ET346" s="24"/>
      <c r="EU346" s="24"/>
      <c r="EV346" s="24"/>
      <c r="EW346" s="24"/>
      <c r="EX346" s="24"/>
      <c r="EY346" s="24"/>
      <c r="EZ346" s="24"/>
      <c r="FA346" s="24"/>
      <c r="FB346" s="25"/>
      <c r="FC346" s="26"/>
      <c r="FD346" s="24"/>
      <c r="FE346" s="24"/>
      <c r="FF346" s="24"/>
      <c r="FG346" s="24"/>
      <c r="FH346" s="24"/>
      <c r="FI346" s="24"/>
      <c r="FJ346" s="24"/>
      <c r="FK346" s="24"/>
      <c r="FL346" s="24"/>
      <c r="FM346" s="24"/>
      <c r="FN346" s="24"/>
      <c r="FO346" s="27">
        <f t="shared" ref="FO346:FV346" si="339">IFERROR(R346*1,0)+IFERROR(AE346*1,0)+IFERROR(AR346*1,0)+IFERROR(BE346*1,0)+IFERROR(BR346*1,0)+IFERROR(CE346*1,0)+IFERROR(CR346*1,0)+IFERROR(DE346*1,0)+IFERROR(DR346*1,0)+IFERROR(EE346*1,0)+IFERROR(ER346*1,0)+IFERROR(FE346*1,0)</f>
        <v>0</v>
      </c>
      <c r="FP346" s="27">
        <f t="shared" si="339"/>
        <v>0</v>
      </c>
      <c r="FQ346" s="27">
        <f t="shared" si="339"/>
        <v>0</v>
      </c>
      <c r="FR346" s="27">
        <f t="shared" si="339"/>
        <v>0</v>
      </c>
      <c r="FS346" s="27">
        <f t="shared" si="339"/>
        <v>0</v>
      </c>
      <c r="FT346" s="27">
        <f t="shared" si="339"/>
        <v>0</v>
      </c>
      <c r="FU346" s="27">
        <f t="shared" si="339"/>
        <v>0</v>
      </c>
      <c r="FV346" s="27">
        <f t="shared" si="339"/>
        <v>0</v>
      </c>
      <c r="FW346" s="28"/>
      <c r="FX346" s="29">
        <f t="shared" si="3"/>
        <v>0</v>
      </c>
    </row>
    <row r="347" spans="1:180" ht="18" customHeight="1" x14ac:dyDescent="0.25">
      <c r="A347" s="3" t="str">
        <f>IF(C347&lt;&gt;"","DRG-"&amp;TEXT(342,"000"),"")</f>
        <v/>
      </c>
      <c r="B347" s="33"/>
      <c r="C347" s="33"/>
      <c r="D347" s="33"/>
      <c r="E347" s="33"/>
      <c r="F347" s="33"/>
      <c r="G347" s="33"/>
      <c r="H347" s="33"/>
      <c r="I347" s="33"/>
      <c r="J347" s="33"/>
      <c r="K347" s="33"/>
      <c r="L347" s="37">
        <v>4</v>
      </c>
      <c r="M347" s="30" t="str">
        <f t="shared" si="0"/>
        <v>✘ Pending</v>
      </c>
      <c r="N347" s="30">
        <f t="shared" si="1"/>
        <v>0</v>
      </c>
      <c r="O347" s="31"/>
      <c r="P347" s="32"/>
      <c r="Q347" s="33"/>
      <c r="R347" s="33"/>
      <c r="S347" s="33"/>
      <c r="T347" s="33"/>
      <c r="U347" s="33"/>
      <c r="V347" s="33"/>
      <c r="W347" s="33"/>
      <c r="X347" s="33"/>
      <c r="Y347" s="33"/>
      <c r="Z347" s="33"/>
      <c r="AA347" s="33"/>
      <c r="AB347" s="31"/>
      <c r="AC347" s="32"/>
      <c r="AD347" s="33"/>
      <c r="AE347" s="33"/>
      <c r="AF347" s="33"/>
      <c r="AG347" s="33"/>
      <c r="AH347" s="33"/>
      <c r="AI347" s="33"/>
      <c r="AJ347" s="33"/>
      <c r="AK347" s="33"/>
      <c r="AL347" s="33"/>
      <c r="AM347" s="33"/>
      <c r="AN347" s="33"/>
      <c r="AO347" s="31"/>
      <c r="AP347" s="32"/>
      <c r="AQ347" s="33"/>
      <c r="AR347" s="33"/>
      <c r="AS347" s="33"/>
      <c r="AT347" s="33"/>
      <c r="AU347" s="33"/>
      <c r="AV347" s="33"/>
      <c r="AW347" s="33"/>
      <c r="AX347" s="33"/>
      <c r="AY347" s="33"/>
      <c r="AZ347" s="33"/>
      <c r="BA347" s="33"/>
      <c r="BB347" s="31"/>
      <c r="BC347" s="32"/>
      <c r="BD347" s="33"/>
      <c r="BE347" s="33"/>
      <c r="BF347" s="33"/>
      <c r="BG347" s="33"/>
      <c r="BH347" s="33"/>
      <c r="BI347" s="33"/>
      <c r="BJ347" s="33"/>
      <c r="BK347" s="33"/>
      <c r="BL347" s="33"/>
      <c r="BM347" s="33"/>
      <c r="BN347" s="33"/>
      <c r="BO347" s="31"/>
      <c r="BP347" s="32"/>
      <c r="BQ347" s="33"/>
      <c r="BR347" s="33"/>
      <c r="BS347" s="33"/>
      <c r="BT347" s="33"/>
      <c r="BU347" s="33"/>
      <c r="BV347" s="33"/>
      <c r="BW347" s="33"/>
      <c r="BX347" s="33"/>
      <c r="BY347" s="33"/>
      <c r="BZ347" s="33"/>
      <c r="CA347" s="33"/>
      <c r="CB347" s="31"/>
      <c r="CC347" s="32"/>
      <c r="CD347" s="33"/>
      <c r="CE347" s="33"/>
      <c r="CF347" s="33"/>
      <c r="CG347" s="33"/>
      <c r="CH347" s="33"/>
      <c r="CI347" s="33"/>
      <c r="CJ347" s="33"/>
      <c r="CK347" s="33"/>
      <c r="CL347" s="33"/>
      <c r="CM347" s="33"/>
      <c r="CN347" s="33"/>
      <c r="CO347" s="31"/>
      <c r="CP347" s="32"/>
      <c r="CQ347" s="33"/>
      <c r="CR347" s="33"/>
      <c r="CS347" s="33"/>
      <c r="CT347" s="33"/>
      <c r="CU347" s="33"/>
      <c r="CV347" s="33"/>
      <c r="CW347" s="33"/>
      <c r="CX347" s="33"/>
      <c r="CY347" s="33"/>
      <c r="CZ347" s="33"/>
      <c r="DA347" s="33"/>
      <c r="DB347" s="31"/>
      <c r="DC347" s="32"/>
      <c r="DD347" s="33"/>
      <c r="DE347" s="33"/>
      <c r="DF347" s="33"/>
      <c r="DG347" s="33"/>
      <c r="DH347" s="33"/>
      <c r="DI347" s="33"/>
      <c r="DJ347" s="33"/>
      <c r="DK347" s="33"/>
      <c r="DL347" s="33"/>
      <c r="DM347" s="33"/>
      <c r="DN347" s="33"/>
      <c r="DO347" s="31"/>
      <c r="DP347" s="32"/>
      <c r="DQ347" s="33"/>
      <c r="DR347" s="33"/>
      <c r="DS347" s="33"/>
      <c r="DT347" s="33"/>
      <c r="DU347" s="33"/>
      <c r="DV347" s="33"/>
      <c r="DW347" s="33"/>
      <c r="DX347" s="33"/>
      <c r="DY347" s="33"/>
      <c r="DZ347" s="33"/>
      <c r="EA347" s="33"/>
      <c r="EB347" s="31"/>
      <c r="EC347" s="32"/>
      <c r="ED347" s="33"/>
      <c r="EE347" s="33"/>
      <c r="EF347" s="33"/>
      <c r="EG347" s="33"/>
      <c r="EH347" s="33"/>
      <c r="EI347" s="33"/>
      <c r="EJ347" s="33"/>
      <c r="EK347" s="33"/>
      <c r="EL347" s="33"/>
      <c r="EM347" s="33"/>
      <c r="EN347" s="33"/>
      <c r="EO347" s="31"/>
      <c r="EP347" s="32"/>
      <c r="EQ347" s="33"/>
      <c r="ER347" s="33"/>
      <c r="ES347" s="33"/>
      <c r="ET347" s="33"/>
      <c r="EU347" s="33"/>
      <c r="EV347" s="33"/>
      <c r="EW347" s="33"/>
      <c r="EX347" s="33"/>
      <c r="EY347" s="33"/>
      <c r="EZ347" s="33"/>
      <c r="FA347" s="33"/>
      <c r="FB347" s="31"/>
      <c r="FC347" s="32"/>
      <c r="FD347" s="33"/>
      <c r="FE347" s="33"/>
      <c r="FF347" s="33"/>
      <c r="FG347" s="33"/>
      <c r="FH347" s="33"/>
      <c r="FI347" s="33"/>
      <c r="FJ347" s="33"/>
      <c r="FK347" s="33"/>
      <c r="FL347" s="33"/>
      <c r="FM347" s="33"/>
      <c r="FN347" s="33"/>
      <c r="FO347" s="34">
        <f t="shared" ref="FO347:FV347" si="340">IFERROR(R347*1,0)+IFERROR(AE347*1,0)+IFERROR(AR347*1,0)+IFERROR(BE347*1,0)+IFERROR(BR347*1,0)+IFERROR(CE347*1,0)+IFERROR(CR347*1,0)+IFERROR(DE347*1,0)+IFERROR(DR347*1,0)+IFERROR(EE347*1,0)+IFERROR(ER347*1,0)+IFERROR(FE347*1,0)</f>
        <v>0</v>
      </c>
      <c r="FP347" s="34">
        <f t="shared" si="340"/>
        <v>0</v>
      </c>
      <c r="FQ347" s="34">
        <f t="shared" si="340"/>
        <v>0</v>
      </c>
      <c r="FR347" s="34">
        <f t="shared" si="340"/>
        <v>0</v>
      </c>
      <c r="FS347" s="34">
        <f t="shared" si="340"/>
        <v>0</v>
      </c>
      <c r="FT347" s="34">
        <f t="shared" si="340"/>
        <v>0</v>
      </c>
      <c r="FU347" s="34">
        <f t="shared" si="340"/>
        <v>0</v>
      </c>
      <c r="FV347" s="34">
        <f t="shared" si="340"/>
        <v>0</v>
      </c>
      <c r="FW347" s="28"/>
      <c r="FX347" s="29">
        <f t="shared" si="3"/>
        <v>0</v>
      </c>
    </row>
    <row r="348" spans="1:180" ht="18" customHeight="1" x14ac:dyDescent="0.25">
      <c r="A348" s="3" t="str">
        <f>IF(C348&lt;&gt;"","DRG-"&amp;TEXT(343,"000"),"")</f>
        <v/>
      </c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38">
        <v>4</v>
      </c>
      <c r="M348" s="23" t="str">
        <f t="shared" si="0"/>
        <v>✘ Pending</v>
      </c>
      <c r="N348" s="23">
        <f t="shared" si="1"/>
        <v>0</v>
      </c>
      <c r="O348" s="25"/>
      <c r="P348" s="26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  <c r="AB348" s="25"/>
      <c r="AC348" s="26"/>
      <c r="AD348" s="24"/>
      <c r="AE348" s="24"/>
      <c r="AF348" s="24"/>
      <c r="AG348" s="24"/>
      <c r="AH348" s="24"/>
      <c r="AI348" s="24"/>
      <c r="AJ348" s="24"/>
      <c r="AK348" s="24"/>
      <c r="AL348" s="24"/>
      <c r="AM348" s="24"/>
      <c r="AN348" s="24"/>
      <c r="AO348" s="25"/>
      <c r="AP348" s="26"/>
      <c r="AQ348" s="24"/>
      <c r="AR348" s="24"/>
      <c r="AS348" s="24"/>
      <c r="AT348" s="24"/>
      <c r="AU348" s="24"/>
      <c r="AV348" s="24"/>
      <c r="AW348" s="24"/>
      <c r="AX348" s="24"/>
      <c r="AY348" s="24"/>
      <c r="AZ348" s="24"/>
      <c r="BA348" s="24"/>
      <c r="BB348" s="25"/>
      <c r="BC348" s="26"/>
      <c r="BD348" s="24"/>
      <c r="BE348" s="24"/>
      <c r="BF348" s="24"/>
      <c r="BG348" s="24"/>
      <c r="BH348" s="24"/>
      <c r="BI348" s="24"/>
      <c r="BJ348" s="24"/>
      <c r="BK348" s="24"/>
      <c r="BL348" s="24"/>
      <c r="BM348" s="24"/>
      <c r="BN348" s="24"/>
      <c r="BO348" s="25"/>
      <c r="BP348" s="26"/>
      <c r="BQ348" s="24"/>
      <c r="BR348" s="24"/>
      <c r="BS348" s="24"/>
      <c r="BT348" s="24"/>
      <c r="BU348" s="24"/>
      <c r="BV348" s="24"/>
      <c r="BW348" s="24"/>
      <c r="BX348" s="24"/>
      <c r="BY348" s="24"/>
      <c r="BZ348" s="24"/>
      <c r="CA348" s="24"/>
      <c r="CB348" s="25"/>
      <c r="CC348" s="26"/>
      <c r="CD348" s="24"/>
      <c r="CE348" s="24"/>
      <c r="CF348" s="24"/>
      <c r="CG348" s="24"/>
      <c r="CH348" s="24"/>
      <c r="CI348" s="24"/>
      <c r="CJ348" s="24"/>
      <c r="CK348" s="24"/>
      <c r="CL348" s="24"/>
      <c r="CM348" s="24"/>
      <c r="CN348" s="24"/>
      <c r="CO348" s="25"/>
      <c r="CP348" s="26"/>
      <c r="CQ348" s="24"/>
      <c r="CR348" s="24"/>
      <c r="CS348" s="24"/>
      <c r="CT348" s="24"/>
      <c r="CU348" s="24"/>
      <c r="CV348" s="24"/>
      <c r="CW348" s="24"/>
      <c r="CX348" s="24"/>
      <c r="CY348" s="24"/>
      <c r="CZ348" s="24"/>
      <c r="DA348" s="24"/>
      <c r="DB348" s="25"/>
      <c r="DC348" s="26"/>
      <c r="DD348" s="24"/>
      <c r="DE348" s="24"/>
      <c r="DF348" s="24"/>
      <c r="DG348" s="24"/>
      <c r="DH348" s="24"/>
      <c r="DI348" s="24"/>
      <c r="DJ348" s="24"/>
      <c r="DK348" s="24"/>
      <c r="DL348" s="24"/>
      <c r="DM348" s="24"/>
      <c r="DN348" s="24"/>
      <c r="DO348" s="25"/>
      <c r="DP348" s="26"/>
      <c r="DQ348" s="24"/>
      <c r="DR348" s="24"/>
      <c r="DS348" s="24"/>
      <c r="DT348" s="24"/>
      <c r="DU348" s="24"/>
      <c r="DV348" s="24"/>
      <c r="DW348" s="24"/>
      <c r="DX348" s="24"/>
      <c r="DY348" s="24"/>
      <c r="DZ348" s="24"/>
      <c r="EA348" s="24"/>
      <c r="EB348" s="25"/>
      <c r="EC348" s="26"/>
      <c r="ED348" s="24"/>
      <c r="EE348" s="24"/>
      <c r="EF348" s="24"/>
      <c r="EG348" s="24"/>
      <c r="EH348" s="24"/>
      <c r="EI348" s="24"/>
      <c r="EJ348" s="24"/>
      <c r="EK348" s="24"/>
      <c r="EL348" s="24"/>
      <c r="EM348" s="24"/>
      <c r="EN348" s="24"/>
      <c r="EO348" s="25"/>
      <c r="EP348" s="26"/>
      <c r="EQ348" s="24"/>
      <c r="ER348" s="24"/>
      <c r="ES348" s="24"/>
      <c r="ET348" s="24"/>
      <c r="EU348" s="24"/>
      <c r="EV348" s="24"/>
      <c r="EW348" s="24"/>
      <c r="EX348" s="24"/>
      <c r="EY348" s="24"/>
      <c r="EZ348" s="24"/>
      <c r="FA348" s="24"/>
      <c r="FB348" s="25"/>
      <c r="FC348" s="26"/>
      <c r="FD348" s="24"/>
      <c r="FE348" s="24"/>
      <c r="FF348" s="24"/>
      <c r="FG348" s="24"/>
      <c r="FH348" s="24"/>
      <c r="FI348" s="24"/>
      <c r="FJ348" s="24"/>
      <c r="FK348" s="24"/>
      <c r="FL348" s="24"/>
      <c r="FM348" s="24"/>
      <c r="FN348" s="24"/>
      <c r="FO348" s="27">
        <f t="shared" ref="FO348:FV348" si="341">IFERROR(R348*1,0)+IFERROR(AE348*1,0)+IFERROR(AR348*1,0)+IFERROR(BE348*1,0)+IFERROR(BR348*1,0)+IFERROR(CE348*1,0)+IFERROR(CR348*1,0)+IFERROR(DE348*1,0)+IFERROR(DR348*1,0)+IFERROR(EE348*1,0)+IFERROR(ER348*1,0)+IFERROR(FE348*1,0)</f>
        <v>0</v>
      </c>
      <c r="FP348" s="27">
        <f t="shared" si="341"/>
        <v>0</v>
      </c>
      <c r="FQ348" s="27">
        <f t="shared" si="341"/>
        <v>0</v>
      </c>
      <c r="FR348" s="27">
        <f t="shared" si="341"/>
        <v>0</v>
      </c>
      <c r="FS348" s="27">
        <f t="shared" si="341"/>
        <v>0</v>
      </c>
      <c r="FT348" s="27">
        <f t="shared" si="341"/>
        <v>0</v>
      </c>
      <c r="FU348" s="27">
        <f t="shared" si="341"/>
        <v>0</v>
      </c>
      <c r="FV348" s="27">
        <f t="shared" si="341"/>
        <v>0</v>
      </c>
      <c r="FW348" s="28"/>
      <c r="FX348" s="29">
        <f t="shared" si="3"/>
        <v>0</v>
      </c>
    </row>
    <row r="349" spans="1:180" ht="18" customHeight="1" x14ac:dyDescent="0.25">
      <c r="A349" s="3" t="str">
        <f>IF(C349&lt;&gt;"","DRG-"&amp;TEXT(344,"000"),"")</f>
        <v/>
      </c>
      <c r="B349" s="33"/>
      <c r="C349" s="33"/>
      <c r="D349" s="33"/>
      <c r="E349" s="33"/>
      <c r="F349" s="33"/>
      <c r="G349" s="33"/>
      <c r="H349" s="33"/>
      <c r="I349" s="33"/>
      <c r="J349" s="33"/>
      <c r="K349" s="33"/>
      <c r="L349" s="37">
        <v>4</v>
      </c>
      <c r="M349" s="30" t="str">
        <f t="shared" si="0"/>
        <v>✘ Pending</v>
      </c>
      <c r="N349" s="30">
        <f t="shared" si="1"/>
        <v>0</v>
      </c>
      <c r="O349" s="31"/>
      <c r="P349" s="32"/>
      <c r="Q349" s="33"/>
      <c r="R349" s="33"/>
      <c r="S349" s="33"/>
      <c r="T349" s="33"/>
      <c r="U349" s="33"/>
      <c r="V349" s="33"/>
      <c r="W349" s="33"/>
      <c r="X349" s="33"/>
      <c r="Y349" s="33"/>
      <c r="Z349" s="33"/>
      <c r="AA349" s="33"/>
      <c r="AB349" s="31"/>
      <c r="AC349" s="32"/>
      <c r="AD349" s="33"/>
      <c r="AE349" s="33"/>
      <c r="AF349" s="33"/>
      <c r="AG349" s="33"/>
      <c r="AH349" s="33"/>
      <c r="AI349" s="33"/>
      <c r="AJ349" s="33"/>
      <c r="AK349" s="33"/>
      <c r="AL349" s="33"/>
      <c r="AM349" s="33"/>
      <c r="AN349" s="33"/>
      <c r="AO349" s="31"/>
      <c r="AP349" s="32"/>
      <c r="AQ349" s="33"/>
      <c r="AR349" s="33"/>
      <c r="AS349" s="33"/>
      <c r="AT349" s="33"/>
      <c r="AU349" s="33"/>
      <c r="AV349" s="33"/>
      <c r="AW349" s="33"/>
      <c r="AX349" s="33"/>
      <c r="AY349" s="33"/>
      <c r="AZ349" s="33"/>
      <c r="BA349" s="33"/>
      <c r="BB349" s="31"/>
      <c r="BC349" s="32"/>
      <c r="BD349" s="33"/>
      <c r="BE349" s="33"/>
      <c r="BF349" s="33"/>
      <c r="BG349" s="33"/>
      <c r="BH349" s="33"/>
      <c r="BI349" s="33"/>
      <c r="BJ349" s="33"/>
      <c r="BK349" s="33"/>
      <c r="BL349" s="33"/>
      <c r="BM349" s="33"/>
      <c r="BN349" s="33"/>
      <c r="BO349" s="31"/>
      <c r="BP349" s="32"/>
      <c r="BQ349" s="33"/>
      <c r="BR349" s="33"/>
      <c r="BS349" s="33"/>
      <c r="BT349" s="33"/>
      <c r="BU349" s="33"/>
      <c r="BV349" s="33"/>
      <c r="BW349" s="33"/>
      <c r="BX349" s="33"/>
      <c r="BY349" s="33"/>
      <c r="BZ349" s="33"/>
      <c r="CA349" s="33"/>
      <c r="CB349" s="31"/>
      <c r="CC349" s="32"/>
      <c r="CD349" s="33"/>
      <c r="CE349" s="33"/>
      <c r="CF349" s="33"/>
      <c r="CG349" s="33"/>
      <c r="CH349" s="33"/>
      <c r="CI349" s="33"/>
      <c r="CJ349" s="33"/>
      <c r="CK349" s="33"/>
      <c r="CL349" s="33"/>
      <c r="CM349" s="33"/>
      <c r="CN349" s="33"/>
      <c r="CO349" s="31"/>
      <c r="CP349" s="32"/>
      <c r="CQ349" s="33"/>
      <c r="CR349" s="33"/>
      <c r="CS349" s="33"/>
      <c r="CT349" s="33"/>
      <c r="CU349" s="33"/>
      <c r="CV349" s="33"/>
      <c r="CW349" s="33"/>
      <c r="CX349" s="33"/>
      <c r="CY349" s="33"/>
      <c r="CZ349" s="33"/>
      <c r="DA349" s="33"/>
      <c r="DB349" s="31"/>
      <c r="DC349" s="32"/>
      <c r="DD349" s="33"/>
      <c r="DE349" s="33"/>
      <c r="DF349" s="33"/>
      <c r="DG349" s="33"/>
      <c r="DH349" s="33"/>
      <c r="DI349" s="33"/>
      <c r="DJ349" s="33"/>
      <c r="DK349" s="33"/>
      <c r="DL349" s="33"/>
      <c r="DM349" s="33"/>
      <c r="DN349" s="33"/>
      <c r="DO349" s="31"/>
      <c r="DP349" s="32"/>
      <c r="DQ349" s="33"/>
      <c r="DR349" s="33"/>
      <c r="DS349" s="33"/>
      <c r="DT349" s="33"/>
      <c r="DU349" s="33"/>
      <c r="DV349" s="33"/>
      <c r="DW349" s="33"/>
      <c r="DX349" s="33"/>
      <c r="DY349" s="33"/>
      <c r="DZ349" s="33"/>
      <c r="EA349" s="33"/>
      <c r="EB349" s="31"/>
      <c r="EC349" s="32"/>
      <c r="ED349" s="33"/>
      <c r="EE349" s="33"/>
      <c r="EF349" s="33"/>
      <c r="EG349" s="33"/>
      <c r="EH349" s="33"/>
      <c r="EI349" s="33"/>
      <c r="EJ349" s="33"/>
      <c r="EK349" s="33"/>
      <c r="EL349" s="33"/>
      <c r="EM349" s="33"/>
      <c r="EN349" s="33"/>
      <c r="EO349" s="31"/>
      <c r="EP349" s="32"/>
      <c r="EQ349" s="33"/>
      <c r="ER349" s="33"/>
      <c r="ES349" s="33"/>
      <c r="ET349" s="33"/>
      <c r="EU349" s="33"/>
      <c r="EV349" s="33"/>
      <c r="EW349" s="33"/>
      <c r="EX349" s="33"/>
      <c r="EY349" s="33"/>
      <c r="EZ349" s="33"/>
      <c r="FA349" s="33"/>
      <c r="FB349" s="31"/>
      <c r="FC349" s="32"/>
      <c r="FD349" s="33"/>
      <c r="FE349" s="33"/>
      <c r="FF349" s="33"/>
      <c r="FG349" s="33"/>
      <c r="FH349" s="33"/>
      <c r="FI349" s="33"/>
      <c r="FJ349" s="33"/>
      <c r="FK349" s="33"/>
      <c r="FL349" s="33"/>
      <c r="FM349" s="33"/>
      <c r="FN349" s="33"/>
      <c r="FO349" s="34">
        <f t="shared" ref="FO349:FV349" si="342">IFERROR(R349*1,0)+IFERROR(AE349*1,0)+IFERROR(AR349*1,0)+IFERROR(BE349*1,0)+IFERROR(BR349*1,0)+IFERROR(CE349*1,0)+IFERROR(CR349*1,0)+IFERROR(DE349*1,0)+IFERROR(DR349*1,0)+IFERROR(EE349*1,0)+IFERROR(ER349*1,0)+IFERROR(FE349*1,0)</f>
        <v>0</v>
      </c>
      <c r="FP349" s="34">
        <f t="shared" si="342"/>
        <v>0</v>
      </c>
      <c r="FQ349" s="34">
        <f t="shared" si="342"/>
        <v>0</v>
      </c>
      <c r="FR349" s="34">
        <f t="shared" si="342"/>
        <v>0</v>
      </c>
      <c r="FS349" s="34">
        <f t="shared" si="342"/>
        <v>0</v>
      </c>
      <c r="FT349" s="34">
        <f t="shared" si="342"/>
        <v>0</v>
      </c>
      <c r="FU349" s="34">
        <f t="shared" si="342"/>
        <v>0</v>
      </c>
      <c r="FV349" s="34">
        <f t="shared" si="342"/>
        <v>0</v>
      </c>
      <c r="FW349" s="28"/>
      <c r="FX349" s="29">
        <f t="shared" si="3"/>
        <v>0</v>
      </c>
    </row>
    <row r="350" spans="1:180" ht="18" customHeight="1" x14ac:dyDescent="0.25">
      <c r="A350" s="3" t="str">
        <f>IF(C350&lt;&gt;"","DRG-"&amp;TEXT(345,"000"),"")</f>
        <v/>
      </c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38">
        <v>4</v>
      </c>
      <c r="M350" s="23" t="str">
        <f t="shared" si="0"/>
        <v>✘ Pending</v>
      </c>
      <c r="N350" s="23">
        <f t="shared" si="1"/>
        <v>0</v>
      </c>
      <c r="O350" s="25"/>
      <c r="P350" s="26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  <c r="AB350" s="25"/>
      <c r="AC350" s="26"/>
      <c r="AD350" s="24"/>
      <c r="AE350" s="24"/>
      <c r="AF350" s="24"/>
      <c r="AG350" s="24"/>
      <c r="AH350" s="24"/>
      <c r="AI350" s="24"/>
      <c r="AJ350" s="24"/>
      <c r="AK350" s="24"/>
      <c r="AL350" s="24"/>
      <c r="AM350" s="24"/>
      <c r="AN350" s="24"/>
      <c r="AO350" s="25"/>
      <c r="AP350" s="26"/>
      <c r="AQ350" s="24"/>
      <c r="AR350" s="24"/>
      <c r="AS350" s="24"/>
      <c r="AT350" s="24"/>
      <c r="AU350" s="24"/>
      <c r="AV350" s="24"/>
      <c r="AW350" s="24"/>
      <c r="AX350" s="24"/>
      <c r="AY350" s="24"/>
      <c r="AZ350" s="24"/>
      <c r="BA350" s="24"/>
      <c r="BB350" s="25"/>
      <c r="BC350" s="26"/>
      <c r="BD350" s="24"/>
      <c r="BE350" s="24"/>
      <c r="BF350" s="24"/>
      <c r="BG350" s="24"/>
      <c r="BH350" s="24"/>
      <c r="BI350" s="24"/>
      <c r="BJ350" s="24"/>
      <c r="BK350" s="24"/>
      <c r="BL350" s="24"/>
      <c r="BM350" s="24"/>
      <c r="BN350" s="24"/>
      <c r="BO350" s="25"/>
      <c r="BP350" s="26"/>
      <c r="BQ350" s="24"/>
      <c r="BR350" s="24"/>
      <c r="BS350" s="24"/>
      <c r="BT350" s="24"/>
      <c r="BU350" s="24"/>
      <c r="BV350" s="24"/>
      <c r="BW350" s="24"/>
      <c r="BX350" s="24"/>
      <c r="BY350" s="24"/>
      <c r="BZ350" s="24"/>
      <c r="CA350" s="24"/>
      <c r="CB350" s="25"/>
      <c r="CC350" s="26"/>
      <c r="CD350" s="24"/>
      <c r="CE350" s="24"/>
      <c r="CF350" s="24"/>
      <c r="CG350" s="24"/>
      <c r="CH350" s="24"/>
      <c r="CI350" s="24"/>
      <c r="CJ350" s="24"/>
      <c r="CK350" s="24"/>
      <c r="CL350" s="24"/>
      <c r="CM350" s="24"/>
      <c r="CN350" s="24"/>
      <c r="CO350" s="25"/>
      <c r="CP350" s="26"/>
      <c r="CQ350" s="24"/>
      <c r="CR350" s="24"/>
      <c r="CS350" s="24"/>
      <c r="CT350" s="24"/>
      <c r="CU350" s="24"/>
      <c r="CV350" s="24"/>
      <c r="CW350" s="24"/>
      <c r="CX350" s="24"/>
      <c r="CY350" s="24"/>
      <c r="CZ350" s="24"/>
      <c r="DA350" s="24"/>
      <c r="DB350" s="25"/>
      <c r="DC350" s="26"/>
      <c r="DD350" s="24"/>
      <c r="DE350" s="24"/>
      <c r="DF350" s="24"/>
      <c r="DG350" s="24"/>
      <c r="DH350" s="24"/>
      <c r="DI350" s="24"/>
      <c r="DJ350" s="24"/>
      <c r="DK350" s="24"/>
      <c r="DL350" s="24"/>
      <c r="DM350" s="24"/>
      <c r="DN350" s="24"/>
      <c r="DO350" s="25"/>
      <c r="DP350" s="26"/>
      <c r="DQ350" s="24"/>
      <c r="DR350" s="24"/>
      <c r="DS350" s="24"/>
      <c r="DT350" s="24"/>
      <c r="DU350" s="24"/>
      <c r="DV350" s="24"/>
      <c r="DW350" s="24"/>
      <c r="DX350" s="24"/>
      <c r="DY350" s="24"/>
      <c r="DZ350" s="24"/>
      <c r="EA350" s="24"/>
      <c r="EB350" s="25"/>
      <c r="EC350" s="26"/>
      <c r="ED350" s="24"/>
      <c r="EE350" s="24"/>
      <c r="EF350" s="24"/>
      <c r="EG350" s="24"/>
      <c r="EH350" s="24"/>
      <c r="EI350" s="24"/>
      <c r="EJ350" s="24"/>
      <c r="EK350" s="24"/>
      <c r="EL350" s="24"/>
      <c r="EM350" s="24"/>
      <c r="EN350" s="24"/>
      <c r="EO350" s="25"/>
      <c r="EP350" s="26"/>
      <c r="EQ350" s="24"/>
      <c r="ER350" s="24"/>
      <c r="ES350" s="24"/>
      <c r="ET350" s="24"/>
      <c r="EU350" s="24"/>
      <c r="EV350" s="24"/>
      <c r="EW350" s="24"/>
      <c r="EX350" s="24"/>
      <c r="EY350" s="24"/>
      <c r="EZ350" s="24"/>
      <c r="FA350" s="24"/>
      <c r="FB350" s="25"/>
      <c r="FC350" s="26"/>
      <c r="FD350" s="24"/>
      <c r="FE350" s="24"/>
      <c r="FF350" s="24"/>
      <c r="FG350" s="24"/>
      <c r="FH350" s="24"/>
      <c r="FI350" s="24"/>
      <c r="FJ350" s="24"/>
      <c r="FK350" s="24"/>
      <c r="FL350" s="24"/>
      <c r="FM350" s="24"/>
      <c r="FN350" s="24"/>
      <c r="FO350" s="27">
        <f t="shared" ref="FO350:FV350" si="343">IFERROR(R350*1,0)+IFERROR(AE350*1,0)+IFERROR(AR350*1,0)+IFERROR(BE350*1,0)+IFERROR(BR350*1,0)+IFERROR(CE350*1,0)+IFERROR(CR350*1,0)+IFERROR(DE350*1,0)+IFERROR(DR350*1,0)+IFERROR(EE350*1,0)+IFERROR(ER350*1,0)+IFERROR(FE350*1,0)</f>
        <v>0</v>
      </c>
      <c r="FP350" s="27">
        <f t="shared" si="343"/>
        <v>0</v>
      </c>
      <c r="FQ350" s="27">
        <f t="shared" si="343"/>
        <v>0</v>
      </c>
      <c r="FR350" s="27">
        <f t="shared" si="343"/>
        <v>0</v>
      </c>
      <c r="FS350" s="27">
        <f t="shared" si="343"/>
        <v>0</v>
      </c>
      <c r="FT350" s="27">
        <f t="shared" si="343"/>
        <v>0</v>
      </c>
      <c r="FU350" s="27">
        <f t="shared" si="343"/>
        <v>0</v>
      </c>
      <c r="FV350" s="27">
        <f t="shared" si="343"/>
        <v>0</v>
      </c>
      <c r="FW350" s="28"/>
      <c r="FX350" s="29">
        <f t="shared" si="3"/>
        <v>0</v>
      </c>
    </row>
    <row r="351" spans="1:180" ht="18" customHeight="1" x14ac:dyDescent="0.25">
      <c r="A351" s="3" t="str">
        <f>IF(C351&lt;&gt;"","DRG-"&amp;TEXT(346,"000"),"")</f>
        <v/>
      </c>
      <c r="B351" s="33"/>
      <c r="C351" s="33"/>
      <c r="D351" s="33"/>
      <c r="E351" s="33"/>
      <c r="F351" s="33"/>
      <c r="G351" s="33"/>
      <c r="H351" s="33"/>
      <c r="I351" s="33"/>
      <c r="J351" s="33"/>
      <c r="K351" s="33"/>
      <c r="L351" s="37">
        <v>4</v>
      </c>
      <c r="M351" s="30" t="str">
        <f t="shared" si="0"/>
        <v>✘ Pending</v>
      </c>
      <c r="N351" s="30">
        <f t="shared" si="1"/>
        <v>0</v>
      </c>
      <c r="O351" s="31"/>
      <c r="P351" s="32"/>
      <c r="Q351" s="33"/>
      <c r="R351" s="33"/>
      <c r="S351" s="33"/>
      <c r="T351" s="33"/>
      <c r="U351" s="33"/>
      <c r="V351" s="33"/>
      <c r="W351" s="33"/>
      <c r="X351" s="33"/>
      <c r="Y351" s="33"/>
      <c r="Z351" s="33"/>
      <c r="AA351" s="33"/>
      <c r="AB351" s="31"/>
      <c r="AC351" s="32"/>
      <c r="AD351" s="33"/>
      <c r="AE351" s="33"/>
      <c r="AF351" s="33"/>
      <c r="AG351" s="33"/>
      <c r="AH351" s="33"/>
      <c r="AI351" s="33"/>
      <c r="AJ351" s="33"/>
      <c r="AK351" s="33"/>
      <c r="AL351" s="33"/>
      <c r="AM351" s="33"/>
      <c r="AN351" s="33"/>
      <c r="AO351" s="31"/>
      <c r="AP351" s="32"/>
      <c r="AQ351" s="33"/>
      <c r="AR351" s="33"/>
      <c r="AS351" s="33"/>
      <c r="AT351" s="33"/>
      <c r="AU351" s="33"/>
      <c r="AV351" s="33"/>
      <c r="AW351" s="33"/>
      <c r="AX351" s="33"/>
      <c r="AY351" s="33"/>
      <c r="AZ351" s="33"/>
      <c r="BA351" s="33"/>
      <c r="BB351" s="31"/>
      <c r="BC351" s="32"/>
      <c r="BD351" s="33"/>
      <c r="BE351" s="33"/>
      <c r="BF351" s="33"/>
      <c r="BG351" s="33"/>
      <c r="BH351" s="33"/>
      <c r="BI351" s="33"/>
      <c r="BJ351" s="33"/>
      <c r="BK351" s="33"/>
      <c r="BL351" s="33"/>
      <c r="BM351" s="33"/>
      <c r="BN351" s="33"/>
      <c r="BO351" s="31"/>
      <c r="BP351" s="32"/>
      <c r="BQ351" s="33"/>
      <c r="BR351" s="33"/>
      <c r="BS351" s="33"/>
      <c r="BT351" s="33"/>
      <c r="BU351" s="33"/>
      <c r="BV351" s="33"/>
      <c r="BW351" s="33"/>
      <c r="BX351" s="33"/>
      <c r="BY351" s="33"/>
      <c r="BZ351" s="33"/>
      <c r="CA351" s="33"/>
      <c r="CB351" s="31"/>
      <c r="CC351" s="32"/>
      <c r="CD351" s="33"/>
      <c r="CE351" s="33"/>
      <c r="CF351" s="33"/>
      <c r="CG351" s="33"/>
      <c r="CH351" s="33"/>
      <c r="CI351" s="33"/>
      <c r="CJ351" s="33"/>
      <c r="CK351" s="33"/>
      <c r="CL351" s="33"/>
      <c r="CM351" s="33"/>
      <c r="CN351" s="33"/>
      <c r="CO351" s="31"/>
      <c r="CP351" s="32"/>
      <c r="CQ351" s="33"/>
      <c r="CR351" s="33"/>
      <c r="CS351" s="33"/>
      <c r="CT351" s="33"/>
      <c r="CU351" s="33"/>
      <c r="CV351" s="33"/>
      <c r="CW351" s="33"/>
      <c r="CX351" s="33"/>
      <c r="CY351" s="33"/>
      <c r="CZ351" s="33"/>
      <c r="DA351" s="33"/>
      <c r="DB351" s="31"/>
      <c r="DC351" s="32"/>
      <c r="DD351" s="33"/>
      <c r="DE351" s="33"/>
      <c r="DF351" s="33"/>
      <c r="DG351" s="33"/>
      <c r="DH351" s="33"/>
      <c r="DI351" s="33"/>
      <c r="DJ351" s="33"/>
      <c r="DK351" s="33"/>
      <c r="DL351" s="33"/>
      <c r="DM351" s="33"/>
      <c r="DN351" s="33"/>
      <c r="DO351" s="31"/>
      <c r="DP351" s="32"/>
      <c r="DQ351" s="33"/>
      <c r="DR351" s="33"/>
      <c r="DS351" s="33"/>
      <c r="DT351" s="33"/>
      <c r="DU351" s="33"/>
      <c r="DV351" s="33"/>
      <c r="DW351" s="33"/>
      <c r="DX351" s="33"/>
      <c r="DY351" s="33"/>
      <c r="DZ351" s="33"/>
      <c r="EA351" s="33"/>
      <c r="EB351" s="31"/>
      <c r="EC351" s="32"/>
      <c r="ED351" s="33"/>
      <c r="EE351" s="33"/>
      <c r="EF351" s="33"/>
      <c r="EG351" s="33"/>
      <c r="EH351" s="33"/>
      <c r="EI351" s="33"/>
      <c r="EJ351" s="33"/>
      <c r="EK351" s="33"/>
      <c r="EL351" s="33"/>
      <c r="EM351" s="33"/>
      <c r="EN351" s="33"/>
      <c r="EO351" s="31"/>
      <c r="EP351" s="32"/>
      <c r="EQ351" s="33"/>
      <c r="ER351" s="33"/>
      <c r="ES351" s="33"/>
      <c r="ET351" s="33"/>
      <c r="EU351" s="33"/>
      <c r="EV351" s="33"/>
      <c r="EW351" s="33"/>
      <c r="EX351" s="33"/>
      <c r="EY351" s="33"/>
      <c r="EZ351" s="33"/>
      <c r="FA351" s="33"/>
      <c r="FB351" s="31"/>
      <c r="FC351" s="32"/>
      <c r="FD351" s="33"/>
      <c r="FE351" s="33"/>
      <c r="FF351" s="33"/>
      <c r="FG351" s="33"/>
      <c r="FH351" s="33"/>
      <c r="FI351" s="33"/>
      <c r="FJ351" s="33"/>
      <c r="FK351" s="33"/>
      <c r="FL351" s="33"/>
      <c r="FM351" s="33"/>
      <c r="FN351" s="33"/>
      <c r="FO351" s="34">
        <f t="shared" ref="FO351:FV351" si="344">IFERROR(R351*1,0)+IFERROR(AE351*1,0)+IFERROR(AR351*1,0)+IFERROR(BE351*1,0)+IFERROR(BR351*1,0)+IFERROR(CE351*1,0)+IFERROR(CR351*1,0)+IFERROR(DE351*1,0)+IFERROR(DR351*1,0)+IFERROR(EE351*1,0)+IFERROR(ER351*1,0)+IFERROR(FE351*1,0)</f>
        <v>0</v>
      </c>
      <c r="FP351" s="34">
        <f t="shared" si="344"/>
        <v>0</v>
      </c>
      <c r="FQ351" s="34">
        <f t="shared" si="344"/>
        <v>0</v>
      </c>
      <c r="FR351" s="34">
        <f t="shared" si="344"/>
        <v>0</v>
      </c>
      <c r="FS351" s="34">
        <f t="shared" si="344"/>
        <v>0</v>
      </c>
      <c r="FT351" s="34">
        <f t="shared" si="344"/>
        <v>0</v>
      </c>
      <c r="FU351" s="34">
        <f t="shared" si="344"/>
        <v>0</v>
      </c>
      <c r="FV351" s="34">
        <f t="shared" si="344"/>
        <v>0</v>
      </c>
      <c r="FW351" s="28"/>
      <c r="FX351" s="29">
        <f t="shared" si="3"/>
        <v>0</v>
      </c>
    </row>
    <row r="352" spans="1:180" ht="18" customHeight="1" x14ac:dyDescent="0.25">
      <c r="A352" s="3" t="str">
        <f>IF(C352&lt;&gt;"","DRG-"&amp;TEXT(347,"000"),"")</f>
        <v/>
      </c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38">
        <v>4</v>
      </c>
      <c r="M352" s="23" t="str">
        <f t="shared" si="0"/>
        <v>✘ Pending</v>
      </c>
      <c r="N352" s="23">
        <f t="shared" si="1"/>
        <v>0</v>
      </c>
      <c r="O352" s="25"/>
      <c r="P352" s="26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  <c r="AB352" s="25"/>
      <c r="AC352" s="26"/>
      <c r="AD352" s="24"/>
      <c r="AE352" s="24"/>
      <c r="AF352" s="24"/>
      <c r="AG352" s="24"/>
      <c r="AH352" s="24"/>
      <c r="AI352" s="24"/>
      <c r="AJ352" s="24"/>
      <c r="AK352" s="24"/>
      <c r="AL352" s="24"/>
      <c r="AM352" s="24"/>
      <c r="AN352" s="24"/>
      <c r="AO352" s="25"/>
      <c r="AP352" s="26"/>
      <c r="AQ352" s="24"/>
      <c r="AR352" s="24"/>
      <c r="AS352" s="24"/>
      <c r="AT352" s="24"/>
      <c r="AU352" s="24"/>
      <c r="AV352" s="24"/>
      <c r="AW352" s="24"/>
      <c r="AX352" s="24"/>
      <c r="AY352" s="24"/>
      <c r="AZ352" s="24"/>
      <c r="BA352" s="24"/>
      <c r="BB352" s="25"/>
      <c r="BC352" s="26"/>
      <c r="BD352" s="24"/>
      <c r="BE352" s="24"/>
      <c r="BF352" s="24"/>
      <c r="BG352" s="24"/>
      <c r="BH352" s="24"/>
      <c r="BI352" s="24"/>
      <c r="BJ352" s="24"/>
      <c r="BK352" s="24"/>
      <c r="BL352" s="24"/>
      <c r="BM352" s="24"/>
      <c r="BN352" s="24"/>
      <c r="BO352" s="25"/>
      <c r="BP352" s="26"/>
      <c r="BQ352" s="24"/>
      <c r="BR352" s="24"/>
      <c r="BS352" s="24"/>
      <c r="BT352" s="24"/>
      <c r="BU352" s="24"/>
      <c r="BV352" s="24"/>
      <c r="BW352" s="24"/>
      <c r="BX352" s="24"/>
      <c r="BY352" s="24"/>
      <c r="BZ352" s="24"/>
      <c r="CA352" s="24"/>
      <c r="CB352" s="25"/>
      <c r="CC352" s="26"/>
      <c r="CD352" s="24"/>
      <c r="CE352" s="24"/>
      <c r="CF352" s="24"/>
      <c r="CG352" s="24"/>
      <c r="CH352" s="24"/>
      <c r="CI352" s="24"/>
      <c r="CJ352" s="24"/>
      <c r="CK352" s="24"/>
      <c r="CL352" s="24"/>
      <c r="CM352" s="24"/>
      <c r="CN352" s="24"/>
      <c r="CO352" s="25"/>
      <c r="CP352" s="26"/>
      <c r="CQ352" s="24"/>
      <c r="CR352" s="24"/>
      <c r="CS352" s="24"/>
      <c r="CT352" s="24"/>
      <c r="CU352" s="24"/>
      <c r="CV352" s="24"/>
      <c r="CW352" s="24"/>
      <c r="CX352" s="24"/>
      <c r="CY352" s="24"/>
      <c r="CZ352" s="24"/>
      <c r="DA352" s="24"/>
      <c r="DB352" s="25"/>
      <c r="DC352" s="26"/>
      <c r="DD352" s="24"/>
      <c r="DE352" s="24"/>
      <c r="DF352" s="24"/>
      <c r="DG352" s="24"/>
      <c r="DH352" s="24"/>
      <c r="DI352" s="24"/>
      <c r="DJ352" s="24"/>
      <c r="DK352" s="24"/>
      <c r="DL352" s="24"/>
      <c r="DM352" s="24"/>
      <c r="DN352" s="24"/>
      <c r="DO352" s="25"/>
      <c r="DP352" s="26"/>
      <c r="DQ352" s="24"/>
      <c r="DR352" s="24"/>
      <c r="DS352" s="24"/>
      <c r="DT352" s="24"/>
      <c r="DU352" s="24"/>
      <c r="DV352" s="24"/>
      <c r="DW352" s="24"/>
      <c r="DX352" s="24"/>
      <c r="DY352" s="24"/>
      <c r="DZ352" s="24"/>
      <c r="EA352" s="24"/>
      <c r="EB352" s="25"/>
      <c r="EC352" s="26"/>
      <c r="ED352" s="24"/>
      <c r="EE352" s="24"/>
      <c r="EF352" s="24"/>
      <c r="EG352" s="24"/>
      <c r="EH352" s="24"/>
      <c r="EI352" s="24"/>
      <c r="EJ352" s="24"/>
      <c r="EK352" s="24"/>
      <c r="EL352" s="24"/>
      <c r="EM352" s="24"/>
      <c r="EN352" s="24"/>
      <c r="EO352" s="25"/>
      <c r="EP352" s="26"/>
      <c r="EQ352" s="24"/>
      <c r="ER352" s="24"/>
      <c r="ES352" s="24"/>
      <c r="ET352" s="24"/>
      <c r="EU352" s="24"/>
      <c r="EV352" s="24"/>
      <c r="EW352" s="24"/>
      <c r="EX352" s="24"/>
      <c r="EY352" s="24"/>
      <c r="EZ352" s="24"/>
      <c r="FA352" s="24"/>
      <c r="FB352" s="25"/>
      <c r="FC352" s="26"/>
      <c r="FD352" s="24"/>
      <c r="FE352" s="24"/>
      <c r="FF352" s="24"/>
      <c r="FG352" s="24"/>
      <c r="FH352" s="24"/>
      <c r="FI352" s="24"/>
      <c r="FJ352" s="24"/>
      <c r="FK352" s="24"/>
      <c r="FL352" s="24"/>
      <c r="FM352" s="24"/>
      <c r="FN352" s="24"/>
      <c r="FO352" s="27">
        <f t="shared" ref="FO352:FV352" si="345">IFERROR(R352*1,0)+IFERROR(AE352*1,0)+IFERROR(AR352*1,0)+IFERROR(BE352*1,0)+IFERROR(BR352*1,0)+IFERROR(CE352*1,0)+IFERROR(CR352*1,0)+IFERROR(DE352*1,0)+IFERROR(DR352*1,0)+IFERROR(EE352*1,0)+IFERROR(ER352*1,0)+IFERROR(FE352*1,0)</f>
        <v>0</v>
      </c>
      <c r="FP352" s="27">
        <f t="shared" si="345"/>
        <v>0</v>
      </c>
      <c r="FQ352" s="27">
        <f t="shared" si="345"/>
        <v>0</v>
      </c>
      <c r="FR352" s="27">
        <f t="shared" si="345"/>
        <v>0</v>
      </c>
      <c r="FS352" s="27">
        <f t="shared" si="345"/>
        <v>0</v>
      </c>
      <c r="FT352" s="27">
        <f t="shared" si="345"/>
        <v>0</v>
      </c>
      <c r="FU352" s="27">
        <f t="shared" si="345"/>
        <v>0</v>
      </c>
      <c r="FV352" s="27">
        <f t="shared" si="345"/>
        <v>0</v>
      </c>
      <c r="FW352" s="28"/>
      <c r="FX352" s="29">
        <f t="shared" si="3"/>
        <v>0</v>
      </c>
    </row>
    <row r="353" spans="1:180" ht="18" customHeight="1" x14ac:dyDescent="0.25">
      <c r="A353" s="3" t="str">
        <f>IF(C353&lt;&gt;"","DRG-"&amp;TEXT(348,"000"),"")</f>
        <v/>
      </c>
      <c r="B353" s="33"/>
      <c r="C353" s="33"/>
      <c r="D353" s="33"/>
      <c r="E353" s="33"/>
      <c r="F353" s="33"/>
      <c r="G353" s="33"/>
      <c r="H353" s="33"/>
      <c r="I353" s="33"/>
      <c r="J353" s="33"/>
      <c r="K353" s="33"/>
      <c r="L353" s="37">
        <v>4</v>
      </c>
      <c r="M353" s="30" t="str">
        <f t="shared" si="0"/>
        <v>✘ Pending</v>
      </c>
      <c r="N353" s="30">
        <f t="shared" si="1"/>
        <v>0</v>
      </c>
      <c r="O353" s="31"/>
      <c r="P353" s="32"/>
      <c r="Q353" s="33"/>
      <c r="R353" s="33"/>
      <c r="S353" s="33"/>
      <c r="T353" s="33"/>
      <c r="U353" s="33"/>
      <c r="V353" s="33"/>
      <c r="W353" s="33"/>
      <c r="X353" s="33"/>
      <c r="Y353" s="33"/>
      <c r="Z353" s="33"/>
      <c r="AA353" s="33"/>
      <c r="AB353" s="31"/>
      <c r="AC353" s="32"/>
      <c r="AD353" s="33"/>
      <c r="AE353" s="33"/>
      <c r="AF353" s="33"/>
      <c r="AG353" s="33"/>
      <c r="AH353" s="33"/>
      <c r="AI353" s="33"/>
      <c r="AJ353" s="33"/>
      <c r="AK353" s="33"/>
      <c r="AL353" s="33"/>
      <c r="AM353" s="33"/>
      <c r="AN353" s="33"/>
      <c r="AO353" s="31"/>
      <c r="AP353" s="32"/>
      <c r="AQ353" s="33"/>
      <c r="AR353" s="33"/>
      <c r="AS353" s="33"/>
      <c r="AT353" s="33"/>
      <c r="AU353" s="33"/>
      <c r="AV353" s="33"/>
      <c r="AW353" s="33"/>
      <c r="AX353" s="33"/>
      <c r="AY353" s="33"/>
      <c r="AZ353" s="33"/>
      <c r="BA353" s="33"/>
      <c r="BB353" s="31"/>
      <c r="BC353" s="32"/>
      <c r="BD353" s="33"/>
      <c r="BE353" s="33"/>
      <c r="BF353" s="33"/>
      <c r="BG353" s="33"/>
      <c r="BH353" s="33"/>
      <c r="BI353" s="33"/>
      <c r="BJ353" s="33"/>
      <c r="BK353" s="33"/>
      <c r="BL353" s="33"/>
      <c r="BM353" s="33"/>
      <c r="BN353" s="33"/>
      <c r="BO353" s="31"/>
      <c r="BP353" s="32"/>
      <c r="BQ353" s="33"/>
      <c r="BR353" s="33"/>
      <c r="BS353" s="33"/>
      <c r="BT353" s="33"/>
      <c r="BU353" s="33"/>
      <c r="BV353" s="33"/>
      <c r="BW353" s="33"/>
      <c r="BX353" s="33"/>
      <c r="BY353" s="33"/>
      <c r="BZ353" s="33"/>
      <c r="CA353" s="33"/>
      <c r="CB353" s="31"/>
      <c r="CC353" s="32"/>
      <c r="CD353" s="33"/>
      <c r="CE353" s="33"/>
      <c r="CF353" s="33"/>
      <c r="CG353" s="33"/>
      <c r="CH353" s="33"/>
      <c r="CI353" s="33"/>
      <c r="CJ353" s="33"/>
      <c r="CK353" s="33"/>
      <c r="CL353" s="33"/>
      <c r="CM353" s="33"/>
      <c r="CN353" s="33"/>
      <c r="CO353" s="31"/>
      <c r="CP353" s="32"/>
      <c r="CQ353" s="33"/>
      <c r="CR353" s="33"/>
      <c r="CS353" s="33"/>
      <c r="CT353" s="33"/>
      <c r="CU353" s="33"/>
      <c r="CV353" s="33"/>
      <c r="CW353" s="33"/>
      <c r="CX353" s="33"/>
      <c r="CY353" s="33"/>
      <c r="CZ353" s="33"/>
      <c r="DA353" s="33"/>
      <c r="DB353" s="31"/>
      <c r="DC353" s="32"/>
      <c r="DD353" s="33"/>
      <c r="DE353" s="33"/>
      <c r="DF353" s="33"/>
      <c r="DG353" s="33"/>
      <c r="DH353" s="33"/>
      <c r="DI353" s="33"/>
      <c r="DJ353" s="33"/>
      <c r="DK353" s="33"/>
      <c r="DL353" s="33"/>
      <c r="DM353" s="33"/>
      <c r="DN353" s="33"/>
      <c r="DO353" s="31"/>
      <c r="DP353" s="32"/>
      <c r="DQ353" s="33"/>
      <c r="DR353" s="33"/>
      <c r="DS353" s="33"/>
      <c r="DT353" s="33"/>
      <c r="DU353" s="33"/>
      <c r="DV353" s="33"/>
      <c r="DW353" s="33"/>
      <c r="DX353" s="33"/>
      <c r="DY353" s="33"/>
      <c r="DZ353" s="33"/>
      <c r="EA353" s="33"/>
      <c r="EB353" s="31"/>
      <c r="EC353" s="32"/>
      <c r="ED353" s="33"/>
      <c r="EE353" s="33"/>
      <c r="EF353" s="33"/>
      <c r="EG353" s="33"/>
      <c r="EH353" s="33"/>
      <c r="EI353" s="33"/>
      <c r="EJ353" s="33"/>
      <c r="EK353" s="33"/>
      <c r="EL353" s="33"/>
      <c r="EM353" s="33"/>
      <c r="EN353" s="33"/>
      <c r="EO353" s="31"/>
      <c r="EP353" s="32"/>
      <c r="EQ353" s="33"/>
      <c r="ER353" s="33"/>
      <c r="ES353" s="33"/>
      <c r="ET353" s="33"/>
      <c r="EU353" s="33"/>
      <c r="EV353" s="33"/>
      <c r="EW353" s="33"/>
      <c r="EX353" s="33"/>
      <c r="EY353" s="33"/>
      <c r="EZ353" s="33"/>
      <c r="FA353" s="33"/>
      <c r="FB353" s="31"/>
      <c r="FC353" s="32"/>
      <c r="FD353" s="33"/>
      <c r="FE353" s="33"/>
      <c r="FF353" s="33"/>
      <c r="FG353" s="33"/>
      <c r="FH353" s="33"/>
      <c r="FI353" s="33"/>
      <c r="FJ353" s="33"/>
      <c r="FK353" s="33"/>
      <c r="FL353" s="33"/>
      <c r="FM353" s="33"/>
      <c r="FN353" s="33"/>
      <c r="FO353" s="34">
        <f t="shared" ref="FO353:FV353" si="346">IFERROR(R353*1,0)+IFERROR(AE353*1,0)+IFERROR(AR353*1,0)+IFERROR(BE353*1,0)+IFERROR(BR353*1,0)+IFERROR(CE353*1,0)+IFERROR(CR353*1,0)+IFERROR(DE353*1,0)+IFERROR(DR353*1,0)+IFERROR(EE353*1,0)+IFERROR(ER353*1,0)+IFERROR(FE353*1,0)</f>
        <v>0</v>
      </c>
      <c r="FP353" s="34">
        <f t="shared" si="346"/>
        <v>0</v>
      </c>
      <c r="FQ353" s="34">
        <f t="shared" si="346"/>
        <v>0</v>
      </c>
      <c r="FR353" s="34">
        <f t="shared" si="346"/>
        <v>0</v>
      </c>
      <c r="FS353" s="34">
        <f t="shared" si="346"/>
        <v>0</v>
      </c>
      <c r="FT353" s="34">
        <f t="shared" si="346"/>
        <v>0</v>
      </c>
      <c r="FU353" s="34">
        <f t="shared" si="346"/>
        <v>0</v>
      </c>
      <c r="FV353" s="34">
        <f t="shared" si="346"/>
        <v>0</v>
      </c>
      <c r="FW353" s="28"/>
      <c r="FX353" s="29">
        <f t="shared" si="3"/>
        <v>0</v>
      </c>
    </row>
    <row r="354" spans="1:180" ht="18" customHeight="1" x14ac:dyDescent="0.25">
      <c r="A354" s="3" t="str">
        <f>IF(C354&lt;&gt;"","DRG-"&amp;TEXT(349,"000"),"")</f>
        <v/>
      </c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38">
        <v>4</v>
      </c>
      <c r="M354" s="23" t="str">
        <f t="shared" si="0"/>
        <v>✘ Pending</v>
      </c>
      <c r="N354" s="23">
        <f t="shared" si="1"/>
        <v>0</v>
      </c>
      <c r="O354" s="25"/>
      <c r="P354" s="26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  <c r="AB354" s="25"/>
      <c r="AC354" s="26"/>
      <c r="AD354" s="24"/>
      <c r="AE354" s="24"/>
      <c r="AF354" s="24"/>
      <c r="AG354" s="24"/>
      <c r="AH354" s="24"/>
      <c r="AI354" s="24"/>
      <c r="AJ354" s="24"/>
      <c r="AK354" s="24"/>
      <c r="AL354" s="24"/>
      <c r="AM354" s="24"/>
      <c r="AN354" s="24"/>
      <c r="AO354" s="25"/>
      <c r="AP354" s="26"/>
      <c r="AQ354" s="24"/>
      <c r="AR354" s="24"/>
      <c r="AS354" s="24"/>
      <c r="AT354" s="24"/>
      <c r="AU354" s="24"/>
      <c r="AV354" s="24"/>
      <c r="AW354" s="24"/>
      <c r="AX354" s="24"/>
      <c r="AY354" s="24"/>
      <c r="AZ354" s="24"/>
      <c r="BA354" s="24"/>
      <c r="BB354" s="25"/>
      <c r="BC354" s="26"/>
      <c r="BD354" s="24"/>
      <c r="BE354" s="24"/>
      <c r="BF354" s="24"/>
      <c r="BG354" s="24"/>
      <c r="BH354" s="24"/>
      <c r="BI354" s="24"/>
      <c r="BJ354" s="24"/>
      <c r="BK354" s="24"/>
      <c r="BL354" s="24"/>
      <c r="BM354" s="24"/>
      <c r="BN354" s="24"/>
      <c r="BO354" s="25"/>
      <c r="BP354" s="26"/>
      <c r="BQ354" s="24"/>
      <c r="BR354" s="24"/>
      <c r="BS354" s="24"/>
      <c r="BT354" s="24"/>
      <c r="BU354" s="24"/>
      <c r="BV354" s="24"/>
      <c r="BW354" s="24"/>
      <c r="BX354" s="24"/>
      <c r="BY354" s="24"/>
      <c r="BZ354" s="24"/>
      <c r="CA354" s="24"/>
      <c r="CB354" s="25"/>
      <c r="CC354" s="26"/>
      <c r="CD354" s="24"/>
      <c r="CE354" s="24"/>
      <c r="CF354" s="24"/>
      <c r="CG354" s="24"/>
      <c r="CH354" s="24"/>
      <c r="CI354" s="24"/>
      <c r="CJ354" s="24"/>
      <c r="CK354" s="24"/>
      <c r="CL354" s="24"/>
      <c r="CM354" s="24"/>
      <c r="CN354" s="24"/>
      <c r="CO354" s="25"/>
      <c r="CP354" s="26"/>
      <c r="CQ354" s="24"/>
      <c r="CR354" s="24"/>
      <c r="CS354" s="24"/>
      <c r="CT354" s="24"/>
      <c r="CU354" s="24"/>
      <c r="CV354" s="24"/>
      <c r="CW354" s="24"/>
      <c r="CX354" s="24"/>
      <c r="CY354" s="24"/>
      <c r="CZ354" s="24"/>
      <c r="DA354" s="24"/>
      <c r="DB354" s="25"/>
      <c r="DC354" s="26"/>
      <c r="DD354" s="24"/>
      <c r="DE354" s="24"/>
      <c r="DF354" s="24"/>
      <c r="DG354" s="24"/>
      <c r="DH354" s="24"/>
      <c r="DI354" s="24"/>
      <c r="DJ354" s="24"/>
      <c r="DK354" s="24"/>
      <c r="DL354" s="24"/>
      <c r="DM354" s="24"/>
      <c r="DN354" s="24"/>
      <c r="DO354" s="25"/>
      <c r="DP354" s="26"/>
      <c r="DQ354" s="24"/>
      <c r="DR354" s="24"/>
      <c r="DS354" s="24"/>
      <c r="DT354" s="24"/>
      <c r="DU354" s="24"/>
      <c r="DV354" s="24"/>
      <c r="DW354" s="24"/>
      <c r="DX354" s="24"/>
      <c r="DY354" s="24"/>
      <c r="DZ354" s="24"/>
      <c r="EA354" s="24"/>
      <c r="EB354" s="25"/>
      <c r="EC354" s="26"/>
      <c r="ED354" s="24"/>
      <c r="EE354" s="24"/>
      <c r="EF354" s="24"/>
      <c r="EG354" s="24"/>
      <c r="EH354" s="24"/>
      <c r="EI354" s="24"/>
      <c r="EJ354" s="24"/>
      <c r="EK354" s="24"/>
      <c r="EL354" s="24"/>
      <c r="EM354" s="24"/>
      <c r="EN354" s="24"/>
      <c r="EO354" s="25"/>
      <c r="EP354" s="26"/>
      <c r="EQ354" s="24"/>
      <c r="ER354" s="24"/>
      <c r="ES354" s="24"/>
      <c r="ET354" s="24"/>
      <c r="EU354" s="24"/>
      <c r="EV354" s="24"/>
      <c r="EW354" s="24"/>
      <c r="EX354" s="24"/>
      <c r="EY354" s="24"/>
      <c r="EZ354" s="24"/>
      <c r="FA354" s="24"/>
      <c r="FB354" s="25"/>
      <c r="FC354" s="26"/>
      <c r="FD354" s="24"/>
      <c r="FE354" s="24"/>
      <c r="FF354" s="24"/>
      <c r="FG354" s="24"/>
      <c r="FH354" s="24"/>
      <c r="FI354" s="24"/>
      <c r="FJ354" s="24"/>
      <c r="FK354" s="24"/>
      <c r="FL354" s="24"/>
      <c r="FM354" s="24"/>
      <c r="FN354" s="24"/>
      <c r="FO354" s="27">
        <f t="shared" ref="FO354:FV354" si="347">IFERROR(R354*1,0)+IFERROR(AE354*1,0)+IFERROR(AR354*1,0)+IFERROR(BE354*1,0)+IFERROR(BR354*1,0)+IFERROR(CE354*1,0)+IFERROR(CR354*1,0)+IFERROR(DE354*1,0)+IFERROR(DR354*1,0)+IFERROR(EE354*1,0)+IFERROR(ER354*1,0)+IFERROR(FE354*1,0)</f>
        <v>0</v>
      </c>
      <c r="FP354" s="27">
        <f t="shared" si="347"/>
        <v>0</v>
      </c>
      <c r="FQ354" s="27">
        <f t="shared" si="347"/>
        <v>0</v>
      </c>
      <c r="FR354" s="27">
        <f t="shared" si="347"/>
        <v>0</v>
      </c>
      <c r="FS354" s="27">
        <f t="shared" si="347"/>
        <v>0</v>
      </c>
      <c r="FT354" s="27">
        <f t="shared" si="347"/>
        <v>0</v>
      </c>
      <c r="FU354" s="27">
        <f t="shared" si="347"/>
        <v>0</v>
      </c>
      <c r="FV354" s="27">
        <f t="shared" si="347"/>
        <v>0</v>
      </c>
      <c r="FW354" s="28"/>
      <c r="FX354" s="29">
        <f t="shared" si="3"/>
        <v>0</v>
      </c>
    </row>
    <row r="355" spans="1:180" ht="18" customHeight="1" x14ac:dyDescent="0.25">
      <c r="A355" s="3" t="str">
        <f>IF(C355&lt;&gt;"","DRG-"&amp;TEXT(350,"000"),"")</f>
        <v/>
      </c>
      <c r="B355" s="33"/>
      <c r="C355" s="33"/>
      <c r="D355" s="33"/>
      <c r="E355" s="33"/>
      <c r="F355" s="33"/>
      <c r="G355" s="33"/>
      <c r="H355" s="33"/>
      <c r="I355" s="33"/>
      <c r="J355" s="33"/>
      <c r="K355" s="33"/>
      <c r="L355" s="37">
        <v>4</v>
      </c>
      <c r="M355" s="30" t="str">
        <f t="shared" si="0"/>
        <v>✘ Pending</v>
      </c>
      <c r="N355" s="30">
        <f t="shared" si="1"/>
        <v>0</v>
      </c>
      <c r="O355" s="31"/>
      <c r="P355" s="32"/>
      <c r="Q355" s="33"/>
      <c r="R355" s="33"/>
      <c r="S355" s="33"/>
      <c r="T355" s="33"/>
      <c r="U355" s="33"/>
      <c r="V355" s="33"/>
      <c r="W355" s="33"/>
      <c r="X355" s="33"/>
      <c r="Y355" s="33"/>
      <c r="Z355" s="33"/>
      <c r="AA355" s="33"/>
      <c r="AB355" s="31"/>
      <c r="AC355" s="32"/>
      <c r="AD355" s="33"/>
      <c r="AE355" s="33"/>
      <c r="AF355" s="33"/>
      <c r="AG355" s="33"/>
      <c r="AH355" s="33"/>
      <c r="AI355" s="33"/>
      <c r="AJ355" s="33"/>
      <c r="AK355" s="33"/>
      <c r="AL355" s="33"/>
      <c r="AM355" s="33"/>
      <c r="AN355" s="33"/>
      <c r="AO355" s="31"/>
      <c r="AP355" s="32"/>
      <c r="AQ355" s="33"/>
      <c r="AR355" s="33"/>
      <c r="AS355" s="33"/>
      <c r="AT355" s="33"/>
      <c r="AU355" s="33"/>
      <c r="AV355" s="33"/>
      <c r="AW355" s="33"/>
      <c r="AX355" s="33"/>
      <c r="AY355" s="33"/>
      <c r="AZ355" s="33"/>
      <c r="BA355" s="33"/>
      <c r="BB355" s="31"/>
      <c r="BC355" s="32"/>
      <c r="BD355" s="33"/>
      <c r="BE355" s="33"/>
      <c r="BF355" s="33"/>
      <c r="BG355" s="33"/>
      <c r="BH355" s="33"/>
      <c r="BI355" s="33"/>
      <c r="BJ355" s="33"/>
      <c r="BK355" s="33"/>
      <c r="BL355" s="33"/>
      <c r="BM355" s="33"/>
      <c r="BN355" s="33"/>
      <c r="BO355" s="31"/>
      <c r="BP355" s="32"/>
      <c r="BQ355" s="33"/>
      <c r="BR355" s="33"/>
      <c r="BS355" s="33"/>
      <c r="BT355" s="33"/>
      <c r="BU355" s="33"/>
      <c r="BV355" s="33"/>
      <c r="BW355" s="33"/>
      <c r="BX355" s="33"/>
      <c r="BY355" s="33"/>
      <c r="BZ355" s="33"/>
      <c r="CA355" s="33"/>
      <c r="CB355" s="31"/>
      <c r="CC355" s="32"/>
      <c r="CD355" s="33"/>
      <c r="CE355" s="33"/>
      <c r="CF355" s="33"/>
      <c r="CG355" s="33"/>
      <c r="CH355" s="33"/>
      <c r="CI355" s="33"/>
      <c r="CJ355" s="33"/>
      <c r="CK355" s="33"/>
      <c r="CL355" s="33"/>
      <c r="CM355" s="33"/>
      <c r="CN355" s="33"/>
      <c r="CO355" s="31"/>
      <c r="CP355" s="32"/>
      <c r="CQ355" s="33"/>
      <c r="CR355" s="33"/>
      <c r="CS355" s="33"/>
      <c r="CT355" s="33"/>
      <c r="CU355" s="33"/>
      <c r="CV355" s="33"/>
      <c r="CW355" s="33"/>
      <c r="CX355" s="33"/>
      <c r="CY355" s="33"/>
      <c r="CZ355" s="33"/>
      <c r="DA355" s="33"/>
      <c r="DB355" s="31"/>
      <c r="DC355" s="32"/>
      <c r="DD355" s="33"/>
      <c r="DE355" s="33"/>
      <c r="DF355" s="33"/>
      <c r="DG355" s="33"/>
      <c r="DH355" s="33"/>
      <c r="DI355" s="33"/>
      <c r="DJ355" s="33"/>
      <c r="DK355" s="33"/>
      <c r="DL355" s="33"/>
      <c r="DM355" s="33"/>
      <c r="DN355" s="33"/>
      <c r="DO355" s="31"/>
      <c r="DP355" s="32"/>
      <c r="DQ355" s="33"/>
      <c r="DR355" s="33"/>
      <c r="DS355" s="33"/>
      <c r="DT355" s="33"/>
      <c r="DU355" s="33"/>
      <c r="DV355" s="33"/>
      <c r="DW355" s="33"/>
      <c r="DX355" s="33"/>
      <c r="DY355" s="33"/>
      <c r="DZ355" s="33"/>
      <c r="EA355" s="33"/>
      <c r="EB355" s="31"/>
      <c r="EC355" s="32"/>
      <c r="ED355" s="33"/>
      <c r="EE355" s="33"/>
      <c r="EF355" s="33"/>
      <c r="EG355" s="33"/>
      <c r="EH355" s="33"/>
      <c r="EI355" s="33"/>
      <c r="EJ355" s="33"/>
      <c r="EK355" s="33"/>
      <c r="EL355" s="33"/>
      <c r="EM355" s="33"/>
      <c r="EN355" s="33"/>
      <c r="EO355" s="31"/>
      <c r="EP355" s="32"/>
      <c r="EQ355" s="33"/>
      <c r="ER355" s="33"/>
      <c r="ES355" s="33"/>
      <c r="ET355" s="33"/>
      <c r="EU355" s="33"/>
      <c r="EV355" s="33"/>
      <c r="EW355" s="33"/>
      <c r="EX355" s="33"/>
      <c r="EY355" s="33"/>
      <c r="EZ355" s="33"/>
      <c r="FA355" s="33"/>
      <c r="FB355" s="31"/>
      <c r="FC355" s="32"/>
      <c r="FD355" s="33"/>
      <c r="FE355" s="33"/>
      <c r="FF355" s="33"/>
      <c r="FG355" s="33"/>
      <c r="FH355" s="33"/>
      <c r="FI355" s="33"/>
      <c r="FJ355" s="33"/>
      <c r="FK355" s="33"/>
      <c r="FL355" s="33"/>
      <c r="FM355" s="33"/>
      <c r="FN355" s="33"/>
      <c r="FO355" s="34">
        <f t="shared" ref="FO355:FV355" si="348">IFERROR(R355*1,0)+IFERROR(AE355*1,0)+IFERROR(AR355*1,0)+IFERROR(BE355*1,0)+IFERROR(BR355*1,0)+IFERROR(CE355*1,0)+IFERROR(CR355*1,0)+IFERROR(DE355*1,0)+IFERROR(DR355*1,0)+IFERROR(EE355*1,0)+IFERROR(ER355*1,0)+IFERROR(FE355*1,0)</f>
        <v>0</v>
      </c>
      <c r="FP355" s="34">
        <f t="shared" si="348"/>
        <v>0</v>
      </c>
      <c r="FQ355" s="34">
        <f t="shared" si="348"/>
        <v>0</v>
      </c>
      <c r="FR355" s="34">
        <f t="shared" si="348"/>
        <v>0</v>
      </c>
      <c r="FS355" s="34">
        <f t="shared" si="348"/>
        <v>0</v>
      </c>
      <c r="FT355" s="34">
        <f t="shared" si="348"/>
        <v>0</v>
      </c>
      <c r="FU355" s="34">
        <f t="shared" si="348"/>
        <v>0</v>
      </c>
      <c r="FV355" s="34">
        <f t="shared" si="348"/>
        <v>0</v>
      </c>
      <c r="FW355" s="28"/>
      <c r="FX355" s="29">
        <f t="shared" si="3"/>
        <v>0</v>
      </c>
    </row>
    <row r="356" spans="1:180" ht="18" customHeight="1" x14ac:dyDescent="0.25">
      <c r="A356" s="3" t="str">
        <f>IF(C356&lt;&gt;"","DRG-"&amp;TEXT(351,"000"),"")</f>
        <v/>
      </c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38">
        <v>4</v>
      </c>
      <c r="M356" s="23" t="str">
        <f t="shared" si="0"/>
        <v>✘ Pending</v>
      </c>
      <c r="N356" s="23">
        <f t="shared" si="1"/>
        <v>0</v>
      </c>
      <c r="O356" s="25"/>
      <c r="P356" s="26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  <c r="AB356" s="25"/>
      <c r="AC356" s="26"/>
      <c r="AD356" s="24"/>
      <c r="AE356" s="24"/>
      <c r="AF356" s="24"/>
      <c r="AG356" s="24"/>
      <c r="AH356" s="24"/>
      <c r="AI356" s="24"/>
      <c r="AJ356" s="24"/>
      <c r="AK356" s="24"/>
      <c r="AL356" s="24"/>
      <c r="AM356" s="24"/>
      <c r="AN356" s="24"/>
      <c r="AO356" s="25"/>
      <c r="AP356" s="26"/>
      <c r="AQ356" s="24"/>
      <c r="AR356" s="24"/>
      <c r="AS356" s="24"/>
      <c r="AT356" s="24"/>
      <c r="AU356" s="24"/>
      <c r="AV356" s="24"/>
      <c r="AW356" s="24"/>
      <c r="AX356" s="24"/>
      <c r="AY356" s="24"/>
      <c r="AZ356" s="24"/>
      <c r="BA356" s="24"/>
      <c r="BB356" s="25"/>
      <c r="BC356" s="26"/>
      <c r="BD356" s="24"/>
      <c r="BE356" s="24"/>
      <c r="BF356" s="24"/>
      <c r="BG356" s="24"/>
      <c r="BH356" s="24"/>
      <c r="BI356" s="24"/>
      <c r="BJ356" s="24"/>
      <c r="BK356" s="24"/>
      <c r="BL356" s="24"/>
      <c r="BM356" s="24"/>
      <c r="BN356" s="24"/>
      <c r="BO356" s="25"/>
      <c r="BP356" s="26"/>
      <c r="BQ356" s="24"/>
      <c r="BR356" s="24"/>
      <c r="BS356" s="24"/>
      <c r="BT356" s="24"/>
      <c r="BU356" s="24"/>
      <c r="BV356" s="24"/>
      <c r="BW356" s="24"/>
      <c r="BX356" s="24"/>
      <c r="BY356" s="24"/>
      <c r="BZ356" s="24"/>
      <c r="CA356" s="24"/>
      <c r="CB356" s="25"/>
      <c r="CC356" s="26"/>
      <c r="CD356" s="24"/>
      <c r="CE356" s="24"/>
      <c r="CF356" s="24"/>
      <c r="CG356" s="24"/>
      <c r="CH356" s="24"/>
      <c r="CI356" s="24"/>
      <c r="CJ356" s="24"/>
      <c r="CK356" s="24"/>
      <c r="CL356" s="24"/>
      <c r="CM356" s="24"/>
      <c r="CN356" s="24"/>
      <c r="CO356" s="25"/>
      <c r="CP356" s="26"/>
      <c r="CQ356" s="24"/>
      <c r="CR356" s="24"/>
      <c r="CS356" s="24"/>
      <c r="CT356" s="24"/>
      <c r="CU356" s="24"/>
      <c r="CV356" s="24"/>
      <c r="CW356" s="24"/>
      <c r="CX356" s="24"/>
      <c r="CY356" s="24"/>
      <c r="CZ356" s="24"/>
      <c r="DA356" s="24"/>
      <c r="DB356" s="25"/>
      <c r="DC356" s="26"/>
      <c r="DD356" s="24"/>
      <c r="DE356" s="24"/>
      <c r="DF356" s="24"/>
      <c r="DG356" s="24"/>
      <c r="DH356" s="24"/>
      <c r="DI356" s="24"/>
      <c r="DJ356" s="24"/>
      <c r="DK356" s="24"/>
      <c r="DL356" s="24"/>
      <c r="DM356" s="24"/>
      <c r="DN356" s="24"/>
      <c r="DO356" s="25"/>
      <c r="DP356" s="26"/>
      <c r="DQ356" s="24"/>
      <c r="DR356" s="24"/>
      <c r="DS356" s="24"/>
      <c r="DT356" s="24"/>
      <c r="DU356" s="24"/>
      <c r="DV356" s="24"/>
      <c r="DW356" s="24"/>
      <c r="DX356" s="24"/>
      <c r="DY356" s="24"/>
      <c r="DZ356" s="24"/>
      <c r="EA356" s="24"/>
      <c r="EB356" s="25"/>
      <c r="EC356" s="26"/>
      <c r="ED356" s="24"/>
      <c r="EE356" s="24"/>
      <c r="EF356" s="24"/>
      <c r="EG356" s="24"/>
      <c r="EH356" s="24"/>
      <c r="EI356" s="24"/>
      <c r="EJ356" s="24"/>
      <c r="EK356" s="24"/>
      <c r="EL356" s="24"/>
      <c r="EM356" s="24"/>
      <c r="EN356" s="24"/>
      <c r="EO356" s="25"/>
      <c r="EP356" s="26"/>
      <c r="EQ356" s="24"/>
      <c r="ER356" s="24"/>
      <c r="ES356" s="24"/>
      <c r="ET356" s="24"/>
      <c r="EU356" s="24"/>
      <c r="EV356" s="24"/>
      <c r="EW356" s="24"/>
      <c r="EX356" s="24"/>
      <c r="EY356" s="24"/>
      <c r="EZ356" s="24"/>
      <c r="FA356" s="24"/>
      <c r="FB356" s="25"/>
      <c r="FC356" s="26"/>
      <c r="FD356" s="24"/>
      <c r="FE356" s="24"/>
      <c r="FF356" s="24"/>
      <c r="FG356" s="24"/>
      <c r="FH356" s="24"/>
      <c r="FI356" s="24"/>
      <c r="FJ356" s="24"/>
      <c r="FK356" s="24"/>
      <c r="FL356" s="24"/>
      <c r="FM356" s="24"/>
      <c r="FN356" s="24"/>
      <c r="FO356" s="27">
        <f t="shared" ref="FO356:FV356" si="349">IFERROR(R356*1,0)+IFERROR(AE356*1,0)+IFERROR(AR356*1,0)+IFERROR(BE356*1,0)+IFERROR(BR356*1,0)+IFERROR(CE356*1,0)+IFERROR(CR356*1,0)+IFERROR(DE356*1,0)+IFERROR(DR356*1,0)+IFERROR(EE356*1,0)+IFERROR(ER356*1,0)+IFERROR(FE356*1,0)</f>
        <v>0</v>
      </c>
      <c r="FP356" s="27">
        <f t="shared" si="349"/>
        <v>0</v>
      </c>
      <c r="FQ356" s="27">
        <f t="shared" si="349"/>
        <v>0</v>
      </c>
      <c r="FR356" s="27">
        <f t="shared" si="349"/>
        <v>0</v>
      </c>
      <c r="FS356" s="27">
        <f t="shared" si="349"/>
        <v>0</v>
      </c>
      <c r="FT356" s="27">
        <f t="shared" si="349"/>
        <v>0</v>
      </c>
      <c r="FU356" s="27">
        <f t="shared" si="349"/>
        <v>0</v>
      </c>
      <c r="FV356" s="27">
        <f t="shared" si="349"/>
        <v>0</v>
      </c>
      <c r="FW356" s="28"/>
      <c r="FX356" s="29">
        <f t="shared" si="3"/>
        <v>0</v>
      </c>
    </row>
    <row r="357" spans="1:180" ht="18" customHeight="1" x14ac:dyDescent="0.25">
      <c r="A357" s="3" t="str">
        <f>IF(C357&lt;&gt;"","DRG-"&amp;TEXT(352,"000"),"")</f>
        <v/>
      </c>
      <c r="B357" s="33"/>
      <c r="C357" s="33"/>
      <c r="D357" s="33"/>
      <c r="E357" s="33"/>
      <c r="F357" s="33"/>
      <c r="G357" s="33"/>
      <c r="H357" s="33"/>
      <c r="I357" s="33"/>
      <c r="J357" s="33"/>
      <c r="K357" s="33"/>
      <c r="L357" s="37">
        <v>4</v>
      </c>
      <c r="M357" s="30" t="str">
        <f t="shared" si="0"/>
        <v>✘ Pending</v>
      </c>
      <c r="N357" s="30">
        <f t="shared" si="1"/>
        <v>0</v>
      </c>
      <c r="O357" s="31"/>
      <c r="P357" s="32"/>
      <c r="Q357" s="33"/>
      <c r="R357" s="33"/>
      <c r="S357" s="33"/>
      <c r="T357" s="33"/>
      <c r="U357" s="33"/>
      <c r="V357" s="33"/>
      <c r="W357" s="33"/>
      <c r="X357" s="33"/>
      <c r="Y357" s="33"/>
      <c r="Z357" s="33"/>
      <c r="AA357" s="33"/>
      <c r="AB357" s="31"/>
      <c r="AC357" s="32"/>
      <c r="AD357" s="33"/>
      <c r="AE357" s="33"/>
      <c r="AF357" s="33"/>
      <c r="AG357" s="33"/>
      <c r="AH357" s="33"/>
      <c r="AI357" s="33"/>
      <c r="AJ357" s="33"/>
      <c r="AK357" s="33"/>
      <c r="AL357" s="33"/>
      <c r="AM357" s="33"/>
      <c r="AN357" s="33"/>
      <c r="AO357" s="31"/>
      <c r="AP357" s="32"/>
      <c r="AQ357" s="33"/>
      <c r="AR357" s="33"/>
      <c r="AS357" s="33"/>
      <c r="AT357" s="33"/>
      <c r="AU357" s="33"/>
      <c r="AV357" s="33"/>
      <c r="AW357" s="33"/>
      <c r="AX357" s="33"/>
      <c r="AY357" s="33"/>
      <c r="AZ357" s="33"/>
      <c r="BA357" s="33"/>
      <c r="BB357" s="31"/>
      <c r="BC357" s="32"/>
      <c r="BD357" s="33"/>
      <c r="BE357" s="33"/>
      <c r="BF357" s="33"/>
      <c r="BG357" s="33"/>
      <c r="BH357" s="33"/>
      <c r="BI357" s="33"/>
      <c r="BJ357" s="33"/>
      <c r="BK357" s="33"/>
      <c r="BL357" s="33"/>
      <c r="BM357" s="33"/>
      <c r="BN357" s="33"/>
      <c r="BO357" s="31"/>
      <c r="BP357" s="32"/>
      <c r="BQ357" s="33"/>
      <c r="BR357" s="33"/>
      <c r="BS357" s="33"/>
      <c r="BT357" s="33"/>
      <c r="BU357" s="33"/>
      <c r="BV357" s="33"/>
      <c r="BW357" s="33"/>
      <c r="BX357" s="33"/>
      <c r="BY357" s="33"/>
      <c r="BZ357" s="33"/>
      <c r="CA357" s="33"/>
      <c r="CB357" s="31"/>
      <c r="CC357" s="32"/>
      <c r="CD357" s="33"/>
      <c r="CE357" s="33"/>
      <c r="CF357" s="33"/>
      <c r="CG357" s="33"/>
      <c r="CH357" s="33"/>
      <c r="CI357" s="33"/>
      <c r="CJ357" s="33"/>
      <c r="CK357" s="33"/>
      <c r="CL357" s="33"/>
      <c r="CM357" s="33"/>
      <c r="CN357" s="33"/>
      <c r="CO357" s="31"/>
      <c r="CP357" s="32"/>
      <c r="CQ357" s="33"/>
      <c r="CR357" s="33"/>
      <c r="CS357" s="33"/>
      <c r="CT357" s="33"/>
      <c r="CU357" s="33"/>
      <c r="CV357" s="33"/>
      <c r="CW357" s="33"/>
      <c r="CX357" s="33"/>
      <c r="CY357" s="33"/>
      <c r="CZ357" s="33"/>
      <c r="DA357" s="33"/>
      <c r="DB357" s="31"/>
      <c r="DC357" s="32"/>
      <c r="DD357" s="33"/>
      <c r="DE357" s="33"/>
      <c r="DF357" s="33"/>
      <c r="DG357" s="33"/>
      <c r="DH357" s="33"/>
      <c r="DI357" s="33"/>
      <c r="DJ357" s="33"/>
      <c r="DK357" s="33"/>
      <c r="DL357" s="33"/>
      <c r="DM357" s="33"/>
      <c r="DN357" s="33"/>
      <c r="DO357" s="31"/>
      <c r="DP357" s="32"/>
      <c r="DQ357" s="33"/>
      <c r="DR357" s="33"/>
      <c r="DS357" s="33"/>
      <c r="DT357" s="33"/>
      <c r="DU357" s="33"/>
      <c r="DV357" s="33"/>
      <c r="DW357" s="33"/>
      <c r="DX357" s="33"/>
      <c r="DY357" s="33"/>
      <c r="DZ357" s="33"/>
      <c r="EA357" s="33"/>
      <c r="EB357" s="31"/>
      <c r="EC357" s="32"/>
      <c r="ED357" s="33"/>
      <c r="EE357" s="33"/>
      <c r="EF357" s="33"/>
      <c r="EG357" s="33"/>
      <c r="EH357" s="33"/>
      <c r="EI357" s="33"/>
      <c r="EJ357" s="33"/>
      <c r="EK357" s="33"/>
      <c r="EL357" s="33"/>
      <c r="EM357" s="33"/>
      <c r="EN357" s="33"/>
      <c r="EO357" s="31"/>
      <c r="EP357" s="32"/>
      <c r="EQ357" s="33"/>
      <c r="ER357" s="33"/>
      <c r="ES357" s="33"/>
      <c r="ET357" s="33"/>
      <c r="EU357" s="33"/>
      <c r="EV357" s="33"/>
      <c r="EW357" s="33"/>
      <c r="EX357" s="33"/>
      <c r="EY357" s="33"/>
      <c r="EZ357" s="33"/>
      <c r="FA357" s="33"/>
      <c r="FB357" s="31"/>
      <c r="FC357" s="32"/>
      <c r="FD357" s="33"/>
      <c r="FE357" s="33"/>
      <c r="FF357" s="33"/>
      <c r="FG357" s="33"/>
      <c r="FH357" s="33"/>
      <c r="FI357" s="33"/>
      <c r="FJ357" s="33"/>
      <c r="FK357" s="33"/>
      <c r="FL357" s="33"/>
      <c r="FM357" s="33"/>
      <c r="FN357" s="33"/>
      <c r="FO357" s="34">
        <f t="shared" ref="FO357:FV357" si="350">IFERROR(R357*1,0)+IFERROR(AE357*1,0)+IFERROR(AR357*1,0)+IFERROR(BE357*1,0)+IFERROR(BR357*1,0)+IFERROR(CE357*1,0)+IFERROR(CR357*1,0)+IFERROR(DE357*1,0)+IFERROR(DR357*1,0)+IFERROR(EE357*1,0)+IFERROR(ER357*1,0)+IFERROR(FE357*1,0)</f>
        <v>0</v>
      </c>
      <c r="FP357" s="34">
        <f t="shared" si="350"/>
        <v>0</v>
      </c>
      <c r="FQ357" s="34">
        <f t="shared" si="350"/>
        <v>0</v>
      </c>
      <c r="FR357" s="34">
        <f t="shared" si="350"/>
        <v>0</v>
      </c>
      <c r="FS357" s="34">
        <f t="shared" si="350"/>
        <v>0</v>
      </c>
      <c r="FT357" s="34">
        <f t="shared" si="350"/>
        <v>0</v>
      </c>
      <c r="FU357" s="34">
        <f t="shared" si="350"/>
        <v>0</v>
      </c>
      <c r="FV357" s="34">
        <f t="shared" si="350"/>
        <v>0</v>
      </c>
      <c r="FW357" s="28"/>
      <c r="FX357" s="29">
        <f t="shared" si="3"/>
        <v>0</v>
      </c>
    </row>
    <row r="358" spans="1:180" ht="18" customHeight="1" x14ac:dyDescent="0.25">
      <c r="A358" s="3" t="str">
        <f>IF(C358&lt;&gt;"","DRG-"&amp;TEXT(353,"000"),"")</f>
        <v/>
      </c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38">
        <v>4</v>
      </c>
      <c r="M358" s="23" t="str">
        <f t="shared" si="0"/>
        <v>✘ Pending</v>
      </c>
      <c r="N358" s="23">
        <f t="shared" si="1"/>
        <v>0</v>
      </c>
      <c r="O358" s="25"/>
      <c r="P358" s="26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  <c r="AB358" s="25"/>
      <c r="AC358" s="26"/>
      <c r="AD358" s="24"/>
      <c r="AE358" s="24"/>
      <c r="AF358" s="24"/>
      <c r="AG358" s="24"/>
      <c r="AH358" s="24"/>
      <c r="AI358" s="24"/>
      <c r="AJ358" s="24"/>
      <c r="AK358" s="24"/>
      <c r="AL358" s="24"/>
      <c r="AM358" s="24"/>
      <c r="AN358" s="24"/>
      <c r="AO358" s="25"/>
      <c r="AP358" s="26"/>
      <c r="AQ358" s="24"/>
      <c r="AR358" s="24"/>
      <c r="AS358" s="24"/>
      <c r="AT358" s="24"/>
      <c r="AU358" s="24"/>
      <c r="AV358" s="24"/>
      <c r="AW358" s="24"/>
      <c r="AX358" s="24"/>
      <c r="AY358" s="24"/>
      <c r="AZ358" s="24"/>
      <c r="BA358" s="24"/>
      <c r="BB358" s="25"/>
      <c r="BC358" s="26"/>
      <c r="BD358" s="24"/>
      <c r="BE358" s="24"/>
      <c r="BF358" s="24"/>
      <c r="BG358" s="24"/>
      <c r="BH358" s="24"/>
      <c r="BI358" s="24"/>
      <c r="BJ358" s="24"/>
      <c r="BK358" s="24"/>
      <c r="BL358" s="24"/>
      <c r="BM358" s="24"/>
      <c r="BN358" s="24"/>
      <c r="BO358" s="25"/>
      <c r="BP358" s="26"/>
      <c r="BQ358" s="24"/>
      <c r="BR358" s="24"/>
      <c r="BS358" s="24"/>
      <c r="BT358" s="24"/>
      <c r="BU358" s="24"/>
      <c r="BV358" s="24"/>
      <c r="BW358" s="24"/>
      <c r="BX358" s="24"/>
      <c r="BY358" s="24"/>
      <c r="BZ358" s="24"/>
      <c r="CA358" s="24"/>
      <c r="CB358" s="25"/>
      <c r="CC358" s="26"/>
      <c r="CD358" s="24"/>
      <c r="CE358" s="24"/>
      <c r="CF358" s="24"/>
      <c r="CG358" s="24"/>
      <c r="CH358" s="24"/>
      <c r="CI358" s="24"/>
      <c r="CJ358" s="24"/>
      <c r="CK358" s="24"/>
      <c r="CL358" s="24"/>
      <c r="CM358" s="24"/>
      <c r="CN358" s="24"/>
      <c r="CO358" s="25"/>
      <c r="CP358" s="26"/>
      <c r="CQ358" s="24"/>
      <c r="CR358" s="24"/>
      <c r="CS358" s="24"/>
      <c r="CT358" s="24"/>
      <c r="CU358" s="24"/>
      <c r="CV358" s="24"/>
      <c r="CW358" s="24"/>
      <c r="CX358" s="24"/>
      <c r="CY358" s="24"/>
      <c r="CZ358" s="24"/>
      <c r="DA358" s="24"/>
      <c r="DB358" s="25"/>
      <c r="DC358" s="26"/>
      <c r="DD358" s="24"/>
      <c r="DE358" s="24"/>
      <c r="DF358" s="24"/>
      <c r="DG358" s="24"/>
      <c r="DH358" s="24"/>
      <c r="DI358" s="24"/>
      <c r="DJ358" s="24"/>
      <c r="DK358" s="24"/>
      <c r="DL358" s="24"/>
      <c r="DM358" s="24"/>
      <c r="DN358" s="24"/>
      <c r="DO358" s="25"/>
      <c r="DP358" s="26"/>
      <c r="DQ358" s="24"/>
      <c r="DR358" s="24"/>
      <c r="DS358" s="24"/>
      <c r="DT358" s="24"/>
      <c r="DU358" s="24"/>
      <c r="DV358" s="24"/>
      <c r="DW358" s="24"/>
      <c r="DX358" s="24"/>
      <c r="DY358" s="24"/>
      <c r="DZ358" s="24"/>
      <c r="EA358" s="24"/>
      <c r="EB358" s="25"/>
      <c r="EC358" s="26"/>
      <c r="ED358" s="24"/>
      <c r="EE358" s="24"/>
      <c r="EF358" s="24"/>
      <c r="EG358" s="24"/>
      <c r="EH358" s="24"/>
      <c r="EI358" s="24"/>
      <c r="EJ358" s="24"/>
      <c r="EK358" s="24"/>
      <c r="EL358" s="24"/>
      <c r="EM358" s="24"/>
      <c r="EN358" s="24"/>
      <c r="EO358" s="25"/>
      <c r="EP358" s="26"/>
      <c r="EQ358" s="24"/>
      <c r="ER358" s="24"/>
      <c r="ES358" s="24"/>
      <c r="ET358" s="24"/>
      <c r="EU358" s="24"/>
      <c r="EV358" s="24"/>
      <c r="EW358" s="24"/>
      <c r="EX358" s="24"/>
      <c r="EY358" s="24"/>
      <c r="EZ358" s="24"/>
      <c r="FA358" s="24"/>
      <c r="FB358" s="25"/>
      <c r="FC358" s="26"/>
      <c r="FD358" s="24"/>
      <c r="FE358" s="24"/>
      <c r="FF358" s="24"/>
      <c r="FG358" s="24"/>
      <c r="FH358" s="24"/>
      <c r="FI358" s="24"/>
      <c r="FJ358" s="24"/>
      <c r="FK358" s="24"/>
      <c r="FL358" s="24"/>
      <c r="FM358" s="24"/>
      <c r="FN358" s="24"/>
      <c r="FO358" s="27">
        <f t="shared" ref="FO358:FV358" si="351">IFERROR(R358*1,0)+IFERROR(AE358*1,0)+IFERROR(AR358*1,0)+IFERROR(BE358*1,0)+IFERROR(BR358*1,0)+IFERROR(CE358*1,0)+IFERROR(CR358*1,0)+IFERROR(DE358*1,0)+IFERROR(DR358*1,0)+IFERROR(EE358*1,0)+IFERROR(ER358*1,0)+IFERROR(FE358*1,0)</f>
        <v>0</v>
      </c>
      <c r="FP358" s="27">
        <f t="shared" si="351"/>
        <v>0</v>
      </c>
      <c r="FQ358" s="27">
        <f t="shared" si="351"/>
        <v>0</v>
      </c>
      <c r="FR358" s="27">
        <f t="shared" si="351"/>
        <v>0</v>
      </c>
      <c r="FS358" s="27">
        <f t="shared" si="351"/>
        <v>0</v>
      </c>
      <c r="FT358" s="27">
        <f t="shared" si="351"/>
        <v>0</v>
      </c>
      <c r="FU358" s="27">
        <f t="shared" si="351"/>
        <v>0</v>
      </c>
      <c r="FV358" s="27">
        <f t="shared" si="351"/>
        <v>0</v>
      </c>
      <c r="FW358" s="28"/>
      <c r="FX358" s="29">
        <f t="shared" si="3"/>
        <v>0</v>
      </c>
    </row>
    <row r="359" spans="1:180" ht="18" customHeight="1" x14ac:dyDescent="0.25">
      <c r="A359" s="3" t="str">
        <f>IF(C359&lt;&gt;"","DRG-"&amp;TEXT(354,"000"),"")</f>
        <v/>
      </c>
      <c r="B359" s="33"/>
      <c r="C359" s="33"/>
      <c r="D359" s="33"/>
      <c r="E359" s="33"/>
      <c r="F359" s="33"/>
      <c r="G359" s="33"/>
      <c r="H359" s="33"/>
      <c r="I359" s="33"/>
      <c r="J359" s="33"/>
      <c r="K359" s="33"/>
      <c r="L359" s="37">
        <v>4</v>
      </c>
      <c r="M359" s="30" t="str">
        <f t="shared" si="0"/>
        <v>✘ Pending</v>
      </c>
      <c r="N359" s="30">
        <f t="shared" si="1"/>
        <v>0</v>
      </c>
      <c r="O359" s="31"/>
      <c r="P359" s="32"/>
      <c r="Q359" s="33"/>
      <c r="R359" s="33"/>
      <c r="S359" s="33"/>
      <c r="T359" s="33"/>
      <c r="U359" s="33"/>
      <c r="V359" s="33"/>
      <c r="W359" s="33"/>
      <c r="X359" s="33"/>
      <c r="Y359" s="33"/>
      <c r="Z359" s="33"/>
      <c r="AA359" s="33"/>
      <c r="AB359" s="31"/>
      <c r="AC359" s="32"/>
      <c r="AD359" s="33"/>
      <c r="AE359" s="33"/>
      <c r="AF359" s="33"/>
      <c r="AG359" s="33"/>
      <c r="AH359" s="33"/>
      <c r="AI359" s="33"/>
      <c r="AJ359" s="33"/>
      <c r="AK359" s="33"/>
      <c r="AL359" s="33"/>
      <c r="AM359" s="33"/>
      <c r="AN359" s="33"/>
      <c r="AO359" s="31"/>
      <c r="AP359" s="32"/>
      <c r="AQ359" s="33"/>
      <c r="AR359" s="33"/>
      <c r="AS359" s="33"/>
      <c r="AT359" s="33"/>
      <c r="AU359" s="33"/>
      <c r="AV359" s="33"/>
      <c r="AW359" s="33"/>
      <c r="AX359" s="33"/>
      <c r="AY359" s="33"/>
      <c r="AZ359" s="33"/>
      <c r="BA359" s="33"/>
      <c r="BB359" s="31"/>
      <c r="BC359" s="32"/>
      <c r="BD359" s="33"/>
      <c r="BE359" s="33"/>
      <c r="BF359" s="33"/>
      <c r="BG359" s="33"/>
      <c r="BH359" s="33"/>
      <c r="BI359" s="33"/>
      <c r="BJ359" s="33"/>
      <c r="BK359" s="33"/>
      <c r="BL359" s="33"/>
      <c r="BM359" s="33"/>
      <c r="BN359" s="33"/>
      <c r="BO359" s="31"/>
      <c r="BP359" s="32"/>
      <c r="BQ359" s="33"/>
      <c r="BR359" s="33"/>
      <c r="BS359" s="33"/>
      <c r="BT359" s="33"/>
      <c r="BU359" s="33"/>
      <c r="BV359" s="33"/>
      <c r="BW359" s="33"/>
      <c r="BX359" s="33"/>
      <c r="BY359" s="33"/>
      <c r="BZ359" s="33"/>
      <c r="CA359" s="33"/>
      <c r="CB359" s="31"/>
      <c r="CC359" s="32"/>
      <c r="CD359" s="33"/>
      <c r="CE359" s="33"/>
      <c r="CF359" s="33"/>
      <c r="CG359" s="33"/>
      <c r="CH359" s="33"/>
      <c r="CI359" s="33"/>
      <c r="CJ359" s="33"/>
      <c r="CK359" s="33"/>
      <c r="CL359" s="33"/>
      <c r="CM359" s="33"/>
      <c r="CN359" s="33"/>
      <c r="CO359" s="31"/>
      <c r="CP359" s="32"/>
      <c r="CQ359" s="33"/>
      <c r="CR359" s="33"/>
      <c r="CS359" s="33"/>
      <c r="CT359" s="33"/>
      <c r="CU359" s="33"/>
      <c r="CV359" s="33"/>
      <c r="CW359" s="33"/>
      <c r="CX359" s="33"/>
      <c r="CY359" s="33"/>
      <c r="CZ359" s="33"/>
      <c r="DA359" s="33"/>
      <c r="DB359" s="31"/>
      <c r="DC359" s="32"/>
      <c r="DD359" s="33"/>
      <c r="DE359" s="33"/>
      <c r="DF359" s="33"/>
      <c r="DG359" s="33"/>
      <c r="DH359" s="33"/>
      <c r="DI359" s="33"/>
      <c r="DJ359" s="33"/>
      <c r="DK359" s="33"/>
      <c r="DL359" s="33"/>
      <c r="DM359" s="33"/>
      <c r="DN359" s="33"/>
      <c r="DO359" s="31"/>
      <c r="DP359" s="32"/>
      <c r="DQ359" s="33"/>
      <c r="DR359" s="33"/>
      <c r="DS359" s="33"/>
      <c r="DT359" s="33"/>
      <c r="DU359" s="33"/>
      <c r="DV359" s="33"/>
      <c r="DW359" s="33"/>
      <c r="DX359" s="33"/>
      <c r="DY359" s="33"/>
      <c r="DZ359" s="33"/>
      <c r="EA359" s="33"/>
      <c r="EB359" s="31"/>
      <c r="EC359" s="32"/>
      <c r="ED359" s="33"/>
      <c r="EE359" s="33"/>
      <c r="EF359" s="33"/>
      <c r="EG359" s="33"/>
      <c r="EH359" s="33"/>
      <c r="EI359" s="33"/>
      <c r="EJ359" s="33"/>
      <c r="EK359" s="33"/>
      <c r="EL359" s="33"/>
      <c r="EM359" s="33"/>
      <c r="EN359" s="33"/>
      <c r="EO359" s="31"/>
      <c r="EP359" s="32"/>
      <c r="EQ359" s="33"/>
      <c r="ER359" s="33"/>
      <c r="ES359" s="33"/>
      <c r="ET359" s="33"/>
      <c r="EU359" s="33"/>
      <c r="EV359" s="33"/>
      <c r="EW359" s="33"/>
      <c r="EX359" s="33"/>
      <c r="EY359" s="33"/>
      <c r="EZ359" s="33"/>
      <c r="FA359" s="33"/>
      <c r="FB359" s="31"/>
      <c r="FC359" s="32"/>
      <c r="FD359" s="33"/>
      <c r="FE359" s="33"/>
      <c r="FF359" s="33"/>
      <c r="FG359" s="33"/>
      <c r="FH359" s="33"/>
      <c r="FI359" s="33"/>
      <c r="FJ359" s="33"/>
      <c r="FK359" s="33"/>
      <c r="FL359" s="33"/>
      <c r="FM359" s="33"/>
      <c r="FN359" s="33"/>
      <c r="FO359" s="34">
        <f t="shared" ref="FO359:FV359" si="352">IFERROR(R359*1,0)+IFERROR(AE359*1,0)+IFERROR(AR359*1,0)+IFERROR(BE359*1,0)+IFERROR(BR359*1,0)+IFERROR(CE359*1,0)+IFERROR(CR359*1,0)+IFERROR(DE359*1,0)+IFERROR(DR359*1,0)+IFERROR(EE359*1,0)+IFERROR(ER359*1,0)+IFERROR(FE359*1,0)</f>
        <v>0</v>
      </c>
      <c r="FP359" s="34">
        <f t="shared" si="352"/>
        <v>0</v>
      </c>
      <c r="FQ359" s="34">
        <f t="shared" si="352"/>
        <v>0</v>
      </c>
      <c r="FR359" s="34">
        <f t="shared" si="352"/>
        <v>0</v>
      </c>
      <c r="FS359" s="34">
        <f t="shared" si="352"/>
        <v>0</v>
      </c>
      <c r="FT359" s="34">
        <f t="shared" si="352"/>
        <v>0</v>
      </c>
      <c r="FU359" s="34">
        <f t="shared" si="352"/>
        <v>0</v>
      </c>
      <c r="FV359" s="34">
        <f t="shared" si="352"/>
        <v>0</v>
      </c>
      <c r="FW359" s="28"/>
      <c r="FX359" s="29">
        <f t="shared" si="3"/>
        <v>0</v>
      </c>
    </row>
    <row r="360" spans="1:180" ht="18" customHeight="1" x14ac:dyDescent="0.25">
      <c r="A360" s="3" t="str">
        <f>IF(C360&lt;&gt;"","DRG-"&amp;TEXT(355,"000"),"")</f>
        <v/>
      </c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38">
        <v>4</v>
      </c>
      <c r="M360" s="23" t="str">
        <f t="shared" si="0"/>
        <v>✘ Pending</v>
      </c>
      <c r="N360" s="23">
        <f t="shared" si="1"/>
        <v>0</v>
      </c>
      <c r="O360" s="25"/>
      <c r="P360" s="26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  <c r="AB360" s="25"/>
      <c r="AC360" s="26"/>
      <c r="AD360" s="24"/>
      <c r="AE360" s="24"/>
      <c r="AF360" s="24"/>
      <c r="AG360" s="24"/>
      <c r="AH360" s="24"/>
      <c r="AI360" s="24"/>
      <c r="AJ360" s="24"/>
      <c r="AK360" s="24"/>
      <c r="AL360" s="24"/>
      <c r="AM360" s="24"/>
      <c r="AN360" s="24"/>
      <c r="AO360" s="25"/>
      <c r="AP360" s="26"/>
      <c r="AQ360" s="24"/>
      <c r="AR360" s="24"/>
      <c r="AS360" s="24"/>
      <c r="AT360" s="24"/>
      <c r="AU360" s="24"/>
      <c r="AV360" s="24"/>
      <c r="AW360" s="24"/>
      <c r="AX360" s="24"/>
      <c r="AY360" s="24"/>
      <c r="AZ360" s="24"/>
      <c r="BA360" s="24"/>
      <c r="BB360" s="25"/>
      <c r="BC360" s="26"/>
      <c r="BD360" s="24"/>
      <c r="BE360" s="24"/>
      <c r="BF360" s="24"/>
      <c r="BG360" s="24"/>
      <c r="BH360" s="24"/>
      <c r="BI360" s="24"/>
      <c r="BJ360" s="24"/>
      <c r="BK360" s="24"/>
      <c r="BL360" s="24"/>
      <c r="BM360" s="24"/>
      <c r="BN360" s="24"/>
      <c r="BO360" s="25"/>
      <c r="BP360" s="26"/>
      <c r="BQ360" s="24"/>
      <c r="BR360" s="24"/>
      <c r="BS360" s="24"/>
      <c r="BT360" s="24"/>
      <c r="BU360" s="24"/>
      <c r="BV360" s="24"/>
      <c r="BW360" s="24"/>
      <c r="BX360" s="24"/>
      <c r="BY360" s="24"/>
      <c r="BZ360" s="24"/>
      <c r="CA360" s="24"/>
      <c r="CB360" s="25"/>
      <c r="CC360" s="26"/>
      <c r="CD360" s="24"/>
      <c r="CE360" s="24"/>
      <c r="CF360" s="24"/>
      <c r="CG360" s="24"/>
      <c r="CH360" s="24"/>
      <c r="CI360" s="24"/>
      <c r="CJ360" s="24"/>
      <c r="CK360" s="24"/>
      <c r="CL360" s="24"/>
      <c r="CM360" s="24"/>
      <c r="CN360" s="24"/>
      <c r="CO360" s="25"/>
      <c r="CP360" s="26"/>
      <c r="CQ360" s="24"/>
      <c r="CR360" s="24"/>
      <c r="CS360" s="24"/>
      <c r="CT360" s="24"/>
      <c r="CU360" s="24"/>
      <c r="CV360" s="24"/>
      <c r="CW360" s="24"/>
      <c r="CX360" s="24"/>
      <c r="CY360" s="24"/>
      <c r="CZ360" s="24"/>
      <c r="DA360" s="24"/>
      <c r="DB360" s="25"/>
      <c r="DC360" s="26"/>
      <c r="DD360" s="24"/>
      <c r="DE360" s="24"/>
      <c r="DF360" s="24"/>
      <c r="DG360" s="24"/>
      <c r="DH360" s="24"/>
      <c r="DI360" s="24"/>
      <c r="DJ360" s="24"/>
      <c r="DK360" s="24"/>
      <c r="DL360" s="24"/>
      <c r="DM360" s="24"/>
      <c r="DN360" s="24"/>
      <c r="DO360" s="25"/>
      <c r="DP360" s="26"/>
      <c r="DQ360" s="24"/>
      <c r="DR360" s="24"/>
      <c r="DS360" s="24"/>
      <c r="DT360" s="24"/>
      <c r="DU360" s="24"/>
      <c r="DV360" s="24"/>
      <c r="DW360" s="24"/>
      <c r="DX360" s="24"/>
      <c r="DY360" s="24"/>
      <c r="DZ360" s="24"/>
      <c r="EA360" s="24"/>
      <c r="EB360" s="25"/>
      <c r="EC360" s="26"/>
      <c r="ED360" s="24"/>
      <c r="EE360" s="24"/>
      <c r="EF360" s="24"/>
      <c r="EG360" s="24"/>
      <c r="EH360" s="24"/>
      <c r="EI360" s="24"/>
      <c r="EJ360" s="24"/>
      <c r="EK360" s="24"/>
      <c r="EL360" s="24"/>
      <c r="EM360" s="24"/>
      <c r="EN360" s="24"/>
      <c r="EO360" s="25"/>
      <c r="EP360" s="26"/>
      <c r="EQ360" s="24"/>
      <c r="ER360" s="24"/>
      <c r="ES360" s="24"/>
      <c r="ET360" s="24"/>
      <c r="EU360" s="24"/>
      <c r="EV360" s="24"/>
      <c r="EW360" s="24"/>
      <c r="EX360" s="24"/>
      <c r="EY360" s="24"/>
      <c r="EZ360" s="24"/>
      <c r="FA360" s="24"/>
      <c r="FB360" s="25"/>
      <c r="FC360" s="26"/>
      <c r="FD360" s="24"/>
      <c r="FE360" s="24"/>
      <c r="FF360" s="24"/>
      <c r="FG360" s="24"/>
      <c r="FH360" s="24"/>
      <c r="FI360" s="24"/>
      <c r="FJ360" s="24"/>
      <c r="FK360" s="24"/>
      <c r="FL360" s="24"/>
      <c r="FM360" s="24"/>
      <c r="FN360" s="24"/>
      <c r="FO360" s="27">
        <f t="shared" ref="FO360:FV360" si="353">IFERROR(R360*1,0)+IFERROR(AE360*1,0)+IFERROR(AR360*1,0)+IFERROR(BE360*1,0)+IFERROR(BR360*1,0)+IFERROR(CE360*1,0)+IFERROR(CR360*1,0)+IFERROR(DE360*1,0)+IFERROR(DR360*1,0)+IFERROR(EE360*1,0)+IFERROR(ER360*1,0)+IFERROR(FE360*1,0)</f>
        <v>0</v>
      </c>
      <c r="FP360" s="27">
        <f t="shared" si="353"/>
        <v>0</v>
      </c>
      <c r="FQ360" s="27">
        <f t="shared" si="353"/>
        <v>0</v>
      </c>
      <c r="FR360" s="27">
        <f t="shared" si="353"/>
        <v>0</v>
      </c>
      <c r="FS360" s="27">
        <f t="shared" si="353"/>
        <v>0</v>
      </c>
      <c r="FT360" s="27">
        <f t="shared" si="353"/>
        <v>0</v>
      </c>
      <c r="FU360" s="27">
        <f t="shared" si="353"/>
        <v>0</v>
      </c>
      <c r="FV360" s="27">
        <f t="shared" si="353"/>
        <v>0</v>
      </c>
      <c r="FW360" s="28"/>
      <c r="FX360" s="29">
        <f t="shared" si="3"/>
        <v>0</v>
      </c>
    </row>
    <row r="361" spans="1:180" ht="18" customHeight="1" x14ac:dyDescent="0.25">
      <c r="A361" s="3" t="str">
        <f>IF(C361&lt;&gt;"","DRG-"&amp;TEXT(356,"000"),"")</f>
        <v/>
      </c>
      <c r="B361" s="33"/>
      <c r="C361" s="33"/>
      <c r="D361" s="33"/>
      <c r="E361" s="33"/>
      <c r="F361" s="33"/>
      <c r="G361" s="33"/>
      <c r="H361" s="33"/>
      <c r="I361" s="33"/>
      <c r="J361" s="33"/>
      <c r="K361" s="33"/>
      <c r="L361" s="37">
        <v>4</v>
      </c>
      <c r="M361" s="30" t="str">
        <f t="shared" si="0"/>
        <v>✘ Pending</v>
      </c>
      <c r="N361" s="30">
        <f t="shared" si="1"/>
        <v>0</v>
      </c>
      <c r="O361" s="31"/>
      <c r="P361" s="32"/>
      <c r="Q361" s="33"/>
      <c r="R361" s="33"/>
      <c r="S361" s="33"/>
      <c r="T361" s="33"/>
      <c r="U361" s="33"/>
      <c r="V361" s="33"/>
      <c r="W361" s="33"/>
      <c r="X361" s="33"/>
      <c r="Y361" s="33"/>
      <c r="Z361" s="33"/>
      <c r="AA361" s="33"/>
      <c r="AB361" s="31"/>
      <c r="AC361" s="32"/>
      <c r="AD361" s="33"/>
      <c r="AE361" s="33"/>
      <c r="AF361" s="33"/>
      <c r="AG361" s="33"/>
      <c r="AH361" s="33"/>
      <c r="AI361" s="33"/>
      <c r="AJ361" s="33"/>
      <c r="AK361" s="33"/>
      <c r="AL361" s="33"/>
      <c r="AM361" s="33"/>
      <c r="AN361" s="33"/>
      <c r="AO361" s="31"/>
      <c r="AP361" s="32"/>
      <c r="AQ361" s="33"/>
      <c r="AR361" s="33"/>
      <c r="AS361" s="33"/>
      <c r="AT361" s="33"/>
      <c r="AU361" s="33"/>
      <c r="AV361" s="33"/>
      <c r="AW361" s="33"/>
      <c r="AX361" s="33"/>
      <c r="AY361" s="33"/>
      <c r="AZ361" s="33"/>
      <c r="BA361" s="33"/>
      <c r="BB361" s="31"/>
      <c r="BC361" s="32"/>
      <c r="BD361" s="33"/>
      <c r="BE361" s="33"/>
      <c r="BF361" s="33"/>
      <c r="BG361" s="33"/>
      <c r="BH361" s="33"/>
      <c r="BI361" s="33"/>
      <c r="BJ361" s="33"/>
      <c r="BK361" s="33"/>
      <c r="BL361" s="33"/>
      <c r="BM361" s="33"/>
      <c r="BN361" s="33"/>
      <c r="BO361" s="31"/>
      <c r="BP361" s="32"/>
      <c r="BQ361" s="33"/>
      <c r="BR361" s="33"/>
      <c r="BS361" s="33"/>
      <c r="BT361" s="33"/>
      <c r="BU361" s="33"/>
      <c r="BV361" s="33"/>
      <c r="BW361" s="33"/>
      <c r="BX361" s="33"/>
      <c r="BY361" s="33"/>
      <c r="BZ361" s="33"/>
      <c r="CA361" s="33"/>
      <c r="CB361" s="31"/>
      <c r="CC361" s="32"/>
      <c r="CD361" s="33"/>
      <c r="CE361" s="33"/>
      <c r="CF361" s="33"/>
      <c r="CG361" s="33"/>
      <c r="CH361" s="33"/>
      <c r="CI361" s="33"/>
      <c r="CJ361" s="33"/>
      <c r="CK361" s="33"/>
      <c r="CL361" s="33"/>
      <c r="CM361" s="33"/>
      <c r="CN361" s="33"/>
      <c r="CO361" s="31"/>
      <c r="CP361" s="32"/>
      <c r="CQ361" s="33"/>
      <c r="CR361" s="33"/>
      <c r="CS361" s="33"/>
      <c r="CT361" s="33"/>
      <c r="CU361" s="33"/>
      <c r="CV361" s="33"/>
      <c r="CW361" s="33"/>
      <c r="CX361" s="33"/>
      <c r="CY361" s="33"/>
      <c r="CZ361" s="33"/>
      <c r="DA361" s="33"/>
      <c r="DB361" s="31"/>
      <c r="DC361" s="32"/>
      <c r="DD361" s="33"/>
      <c r="DE361" s="33"/>
      <c r="DF361" s="33"/>
      <c r="DG361" s="33"/>
      <c r="DH361" s="33"/>
      <c r="DI361" s="33"/>
      <c r="DJ361" s="33"/>
      <c r="DK361" s="33"/>
      <c r="DL361" s="33"/>
      <c r="DM361" s="33"/>
      <c r="DN361" s="33"/>
      <c r="DO361" s="31"/>
      <c r="DP361" s="32"/>
      <c r="DQ361" s="33"/>
      <c r="DR361" s="33"/>
      <c r="DS361" s="33"/>
      <c r="DT361" s="33"/>
      <c r="DU361" s="33"/>
      <c r="DV361" s="33"/>
      <c r="DW361" s="33"/>
      <c r="DX361" s="33"/>
      <c r="DY361" s="33"/>
      <c r="DZ361" s="33"/>
      <c r="EA361" s="33"/>
      <c r="EB361" s="31"/>
      <c r="EC361" s="32"/>
      <c r="ED361" s="33"/>
      <c r="EE361" s="33"/>
      <c r="EF361" s="33"/>
      <c r="EG361" s="33"/>
      <c r="EH361" s="33"/>
      <c r="EI361" s="33"/>
      <c r="EJ361" s="33"/>
      <c r="EK361" s="33"/>
      <c r="EL361" s="33"/>
      <c r="EM361" s="33"/>
      <c r="EN361" s="33"/>
      <c r="EO361" s="31"/>
      <c r="EP361" s="32"/>
      <c r="EQ361" s="33"/>
      <c r="ER361" s="33"/>
      <c r="ES361" s="33"/>
      <c r="ET361" s="33"/>
      <c r="EU361" s="33"/>
      <c r="EV361" s="33"/>
      <c r="EW361" s="33"/>
      <c r="EX361" s="33"/>
      <c r="EY361" s="33"/>
      <c r="EZ361" s="33"/>
      <c r="FA361" s="33"/>
      <c r="FB361" s="31"/>
      <c r="FC361" s="32"/>
      <c r="FD361" s="33"/>
      <c r="FE361" s="33"/>
      <c r="FF361" s="33"/>
      <c r="FG361" s="33"/>
      <c r="FH361" s="33"/>
      <c r="FI361" s="33"/>
      <c r="FJ361" s="33"/>
      <c r="FK361" s="33"/>
      <c r="FL361" s="33"/>
      <c r="FM361" s="33"/>
      <c r="FN361" s="33"/>
      <c r="FO361" s="34">
        <f t="shared" ref="FO361:FV361" si="354">IFERROR(R361*1,0)+IFERROR(AE361*1,0)+IFERROR(AR361*1,0)+IFERROR(BE361*1,0)+IFERROR(BR361*1,0)+IFERROR(CE361*1,0)+IFERROR(CR361*1,0)+IFERROR(DE361*1,0)+IFERROR(DR361*1,0)+IFERROR(EE361*1,0)+IFERROR(ER361*1,0)+IFERROR(FE361*1,0)</f>
        <v>0</v>
      </c>
      <c r="FP361" s="34">
        <f t="shared" si="354"/>
        <v>0</v>
      </c>
      <c r="FQ361" s="34">
        <f t="shared" si="354"/>
        <v>0</v>
      </c>
      <c r="FR361" s="34">
        <f t="shared" si="354"/>
        <v>0</v>
      </c>
      <c r="FS361" s="34">
        <f t="shared" si="354"/>
        <v>0</v>
      </c>
      <c r="FT361" s="34">
        <f t="shared" si="354"/>
        <v>0</v>
      </c>
      <c r="FU361" s="34">
        <f t="shared" si="354"/>
        <v>0</v>
      </c>
      <c r="FV361" s="34">
        <f t="shared" si="354"/>
        <v>0</v>
      </c>
      <c r="FW361" s="28"/>
      <c r="FX361" s="29">
        <f t="shared" si="3"/>
        <v>0</v>
      </c>
    </row>
    <row r="362" spans="1:180" ht="18" customHeight="1" x14ac:dyDescent="0.25">
      <c r="A362" s="3" t="str">
        <f>IF(C362&lt;&gt;"","DRG-"&amp;TEXT(357,"000"),"")</f>
        <v/>
      </c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38">
        <v>4</v>
      </c>
      <c r="M362" s="23" t="str">
        <f t="shared" si="0"/>
        <v>✘ Pending</v>
      </c>
      <c r="N362" s="23">
        <f t="shared" si="1"/>
        <v>0</v>
      </c>
      <c r="O362" s="25"/>
      <c r="P362" s="26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  <c r="AB362" s="25"/>
      <c r="AC362" s="26"/>
      <c r="AD362" s="24"/>
      <c r="AE362" s="24"/>
      <c r="AF362" s="24"/>
      <c r="AG362" s="24"/>
      <c r="AH362" s="24"/>
      <c r="AI362" s="24"/>
      <c r="AJ362" s="24"/>
      <c r="AK362" s="24"/>
      <c r="AL362" s="24"/>
      <c r="AM362" s="24"/>
      <c r="AN362" s="24"/>
      <c r="AO362" s="25"/>
      <c r="AP362" s="26"/>
      <c r="AQ362" s="24"/>
      <c r="AR362" s="24"/>
      <c r="AS362" s="24"/>
      <c r="AT362" s="24"/>
      <c r="AU362" s="24"/>
      <c r="AV362" s="24"/>
      <c r="AW362" s="24"/>
      <c r="AX362" s="24"/>
      <c r="AY362" s="24"/>
      <c r="AZ362" s="24"/>
      <c r="BA362" s="24"/>
      <c r="BB362" s="25"/>
      <c r="BC362" s="26"/>
      <c r="BD362" s="24"/>
      <c r="BE362" s="24"/>
      <c r="BF362" s="24"/>
      <c r="BG362" s="24"/>
      <c r="BH362" s="24"/>
      <c r="BI362" s="24"/>
      <c r="BJ362" s="24"/>
      <c r="BK362" s="24"/>
      <c r="BL362" s="24"/>
      <c r="BM362" s="24"/>
      <c r="BN362" s="24"/>
      <c r="BO362" s="25"/>
      <c r="BP362" s="26"/>
      <c r="BQ362" s="24"/>
      <c r="BR362" s="24"/>
      <c r="BS362" s="24"/>
      <c r="BT362" s="24"/>
      <c r="BU362" s="24"/>
      <c r="BV362" s="24"/>
      <c r="BW362" s="24"/>
      <c r="BX362" s="24"/>
      <c r="BY362" s="24"/>
      <c r="BZ362" s="24"/>
      <c r="CA362" s="24"/>
      <c r="CB362" s="25"/>
      <c r="CC362" s="26"/>
      <c r="CD362" s="24"/>
      <c r="CE362" s="24"/>
      <c r="CF362" s="24"/>
      <c r="CG362" s="24"/>
      <c r="CH362" s="24"/>
      <c r="CI362" s="24"/>
      <c r="CJ362" s="24"/>
      <c r="CK362" s="24"/>
      <c r="CL362" s="24"/>
      <c r="CM362" s="24"/>
      <c r="CN362" s="24"/>
      <c r="CO362" s="25"/>
      <c r="CP362" s="26"/>
      <c r="CQ362" s="24"/>
      <c r="CR362" s="24"/>
      <c r="CS362" s="24"/>
      <c r="CT362" s="24"/>
      <c r="CU362" s="24"/>
      <c r="CV362" s="24"/>
      <c r="CW362" s="24"/>
      <c r="CX362" s="24"/>
      <c r="CY362" s="24"/>
      <c r="CZ362" s="24"/>
      <c r="DA362" s="24"/>
      <c r="DB362" s="25"/>
      <c r="DC362" s="26"/>
      <c r="DD362" s="24"/>
      <c r="DE362" s="24"/>
      <c r="DF362" s="24"/>
      <c r="DG362" s="24"/>
      <c r="DH362" s="24"/>
      <c r="DI362" s="24"/>
      <c r="DJ362" s="24"/>
      <c r="DK362" s="24"/>
      <c r="DL362" s="24"/>
      <c r="DM362" s="24"/>
      <c r="DN362" s="24"/>
      <c r="DO362" s="25"/>
      <c r="DP362" s="26"/>
      <c r="DQ362" s="24"/>
      <c r="DR362" s="24"/>
      <c r="DS362" s="24"/>
      <c r="DT362" s="24"/>
      <c r="DU362" s="24"/>
      <c r="DV362" s="24"/>
      <c r="DW362" s="24"/>
      <c r="DX362" s="24"/>
      <c r="DY362" s="24"/>
      <c r="DZ362" s="24"/>
      <c r="EA362" s="24"/>
      <c r="EB362" s="25"/>
      <c r="EC362" s="26"/>
      <c r="ED362" s="24"/>
      <c r="EE362" s="24"/>
      <c r="EF362" s="24"/>
      <c r="EG362" s="24"/>
      <c r="EH362" s="24"/>
      <c r="EI362" s="24"/>
      <c r="EJ362" s="24"/>
      <c r="EK362" s="24"/>
      <c r="EL362" s="24"/>
      <c r="EM362" s="24"/>
      <c r="EN362" s="24"/>
      <c r="EO362" s="25"/>
      <c r="EP362" s="26"/>
      <c r="EQ362" s="24"/>
      <c r="ER362" s="24"/>
      <c r="ES362" s="24"/>
      <c r="ET362" s="24"/>
      <c r="EU362" s="24"/>
      <c r="EV362" s="24"/>
      <c r="EW362" s="24"/>
      <c r="EX362" s="24"/>
      <c r="EY362" s="24"/>
      <c r="EZ362" s="24"/>
      <c r="FA362" s="24"/>
      <c r="FB362" s="25"/>
      <c r="FC362" s="26"/>
      <c r="FD362" s="24"/>
      <c r="FE362" s="24"/>
      <c r="FF362" s="24"/>
      <c r="FG362" s="24"/>
      <c r="FH362" s="24"/>
      <c r="FI362" s="24"/>
      <c r="FJ362" s="24"/>
      <c r="FK362" s="24"/>
      <c r="FL362" s="24"/>
      <c r="FM362" s="24"/>
      <c r="FN362" s="24"/>
      <c r="FO362" s="27">
        <f t="shared" ref="FO362:FV362" si="355">IFERROR(R362*1,0)+IFERROR(AE362*1,0)+IFERROR(AR362*1,0)+IFERROR(BE362*1,0)+IFERROR(BR362*1,0)+IFERROR(CE362*1,0)+IFERROR(CR362*1,0)+IFERROR(DE362*1,0)+IFERROR(DR362*1,0)+IFERROR(EE362*1,0)+IFERROR(ER362*1,0)+IFERROR(FE362*1,0)</f>
        <v>0</v>
      </c>
      <c r="FP362" s="27">
        <f t="shared" si="355"/>
        <v>0</v>
      </c>
      <c r="FQ362" s="27">
        <f t="shared" si="355"/>
        <v>0</v>
      </c>
      <c r="FR362" s="27">
        <f t="shared" si="355"/>
        <v>0</v>
      </c>
      <c r="FS362" s="27">
        <f t="shared" si="355"/>
        <v>0</v>
      </c>
      <c r="FT362" s="27">
        <f t="shared" si="355"/>
        <v>0</v>
      </c>
      <c r="FU362" s="27">
        <f t="shared" si="355"/>
        <v>0</v>
      </c>
      <c r="FV362" s="27">
        <f t="shared" si="355"/>
        <v>0</v>
      </c>
      <c r="FW362" s="28"/>
      <c r="FX362" s="29">
        <f t="shared" si="3"/>
        <v>0</v>
      </c>
    </row>
    <row r="363" spans="1:180" ht="18" customHeight="1" x14ac:dyDescent="0.25">
      <c r="A363" s="3" t="str">
        <f>IF(C363&lt;&gt;"","DRG-"&amp;TEXT(358,"000"),"")</f>
        <v/>
      </c>
      <c r="B363" s="33"/>
      <c r="C363" s="33"/>
      <c r="D363" s="33"/>
      <c r="E363" s="33"/>
      <c r="F363" s="33"/>
      <c r="G363" s="33"/>
      <c r="H363" s="33"/>
      <c r="I363" s="33"/>
      <c r="J363" s="33"/>
      <c r="K363" s="33"/>
      <c r="L363" s="37">
        <v>4</v>
      </c>
      <c r="M363" s="30" t="str">
        <f t="shared" si="0"/>
        <v>✘ Pending</v>
      </c>
      <c r="N363" s="30">
        <f t="shared" si="1"/>
        <v>0</v>
      </c>
      <c r="O363" s="31"/>
      <c r="P363" s="32"/>
      <c r="Q363" s="33"/>
      <c r="R363" s="33"/>
      <c r="S363" s="33"/>
      <c r="T363" s="33"/>
      <c r="U363" s="33"/>
      <c r="V363" s="33"/>
      <c r="W363" s="33"/>
      <c r="X363" s="33"/>
      <c r="Y363" s="33"/>
      <c r="Z363" s="33"/>
      <c r="AA363" s="33"/>
      <c r="AB363" s="31"/>
      <c r="AC363" s="32"/>
      <c r="AD363" s="33"/>
      <c r="AE363" s="33"/>
      <c r="AF363" s="33"/>
      <c r="AG363" s="33"/>
      <c r="AH363" s="33"/>
      <c r="AI363" s="33"/>
      <c r="AJ363" s="33"/>
      <c r="AK363" s="33"/>
      <c r="AL363" s="33"/>
      <c r="AM363" s="33"/>
      <c r="AN363" s="33"/>
      <c r="AO363" s="31"/>
      <c r="AP363" s="32"/>
      <c r="AQ363" s="33"/>
      <c r="AR363" s="33"/>
      <c r="AS363" s="33"/>
      <c r="AT363" s="33"/>
      <c r="AU363" s="33"/>
      <c r="AV363" s="33"/>
      <c r="AW363" s="33"/>
      <c r="AX363" s="33"/>
      <c r="AY363" s="33"/>
      <c r="AZ363" s="33"/>
      <c r="BA363" s="33"/>
      <c r="BB363" s="31"/>
      <c r="BC363" s="32"/>
      <c r="BD363" s="33"/>
      <c r="BE363" s="33"/>
      <c r="BF363" s="33"/>
      <c r="BG363" s="33"/>
      <c r="BH363" s="33"/>
      <c r="BI363" s="33"/>
      <c r="BJ363" s="33"/>
      <c r="BK363" s="33"/>
      <c r="BL363" s="33"/>
      <c r="BM363" s="33"/>
      <c r="BN363" s="33"/>
      <c r="BO363" s="31"/>
      <c r="BP363" s="32"/>
      <c r="BQ363" s="33"/>
      <c r="BR363" s="33"/>
      <c r="BS363" s="33"/>
      <c r="BT363" s="33"/>
      <c r="BU363" s="33"/>
      <c r="BV363" s="33"/>
      <c r="BW363" s="33"/>
      <c r="BX363" s="33"/>
      <c r="BY363" s="33"/>
      <c r="BZ363" s="33"/>
      <c r="CA363" s="33"/>
      <c r="CB363" s="31"/>
      <c r="CC363" s="32"/>
      <c r="CD363" s="33"/>
      <c r="CE363" s="33"/>
      <c r="CF363" s="33"/>
      <c r="CG363" s="33"/>
      <c r="CH363" s="33"/>
      <c r="CI363" s="33"/>
      <c r="CJ363" s="33"/>
      <c r="CK363" s="33"/>
      <c r="CL363" s="33"/>
      <c r="CM363" s="33"/>
      <c r="CN363" s="33"/>
      <c r="CO363" s="31"/>
      <c r="CP363" s="32"/>
      <c r="CQ363" s="33"/>
      <c r="CR363" s="33"/>
      <c r="CS363" s="33"/>
      <c r="CT363" s="33"/>
      <c r="CU363" s="33"/>
      <c r="CV363" s="33"/>
      <c r="CW363" s="33"/>
      <c r="CX363" s="33"/>
      <c r="CY363" s="33"/>
      <c r="CZ363" s="33"/>
      <c r="DA363" s="33"/>
      <c r="DB363" s="31"/>
      <c r="DC363" s="32"/>
      <c r="DD363" s="33"/>
      <c r="DE363" s="33"/>
      <c r="DF363" s="33"/>
      <c r="DG363" s="33"/>
      <c r="DH363" s="33"/>
      <c r="DI363" s="33"/>
      <c r="DJ363" s="33"/>
      <c r="DK363" s="33"/>
      <c r="DL363" s="33"/>
      <c r="DM363" s="33"/>
      <c r="DN363" s="33"/>
      <c r="DO363" s="31"/>
      <c r="DP363" s="32"/>
      <c r="DQ363" s="33"/>
      <c r="DR363" s="33"/>
      <c r="DS363" s="33"/>
      <c r="DT363" s="33"/>
      <c r="DU363" s="33"/>
      <c r="DV363" s="33"/>
      <c r="DW363" s="33"/>
      <c r="DX363" s="33"/>
      <c r="DY363" s="33"/>
      <c r="DZ363" s="33"/>
      <c r="EA363" s="33"/>
      <c r="EB363" s="31"/>
      <c r="EC363" s="32"/>
      <c r="ED363" s="33"/>
      <c r="EE363" s="33"/>
      <c r="EF363" s="33"/>
      <c r="EG363" s="33"/>
      <c r="EH363" s="33"/>
      <c r="EI363" s="33"/>
      <c r="EJ363" s="33"/>
      <c r="EK363" s="33"/>
      <c r="EL363" s="33"/>
      <c r="EM363" s="33"/>
      <c r="EN363" s="33"/>
      <c r="EO363" s="31"/>
      <c r="EP363" s="32"/>
      <c r="EQ363" s="33"/>
      <c r="ER363" s="33"/>
      <c r="ES363" s="33"/>
      <c r="ET363" s="33"/>
      <c r="EU363" s="33"/>
      <c r="EV363" s="33"/>
      <c r="EW363" s="33"/>
      <c r="EX363" s="33"/>
      <c r="EY363" s="33"/>
      <c r="EZ363" s="33"/>
      <c r="FA363" s="33"/>
      <c r="FB363" s="31"/>
      <c r="FC363" s="32"/>
      <c r="FD363" s="33"/>
      <c r="FE363" s="33"/>
      <c r="FF363" s="33"/>
      <c r="FG363" s="33"/>
      <c r="FH363" s="33"/>
      <c r="FI363" s="33"/>
      <c r="FJ363" s="33"/>
      <c r="FK363" s="33"/>
      <c r="FL363" s="33"/>
      <c r="FM363" s="33"/>
      <c r="FN363" s="33"/>
      <c r="FO363" s="34">
        <f t="shared" ref="FO363:FV363" si="356">IFERROR(R363*1,0)+IFERROR(AE363*1,0)+IFERROR(AR363*1,0)+IFERROR(BE363*1,0)+IFERROR(BR363*1,0)+IFERROR(CE363*1,0)+IFERROR(CR363*1,0)+IFERROR(DE363*1,0)+IFERROR(DR363*1,0)+IFERROR(EE363*1,0)+IFERROR(ER363*1,0)+IFERROR(FE363*1,0)</f>
        <v>0</v>
      </c>
      <c r="FP363" s="34">
        <f t="shared" si="356"/>
        <v>0</v>
      </c>
      <c r="FQ363" s="34">
        <f t="shared" si="356"/>
        <v>0</v>
      </c>
      <c r="FR363" s="34">
        <f t="shared" si="356"/>
        <v>0</v>
      </c>
      <c r="FS363" s="34">
        <f t="shared" si="356"/>
        <v>0</v>
      </c>
      <c r="FT363" s="34">
        <f t="shared" si="356"/>
        <v>0</v>
      </c>
      <c r="FU363" s="34">
        <f t="shared" si="356"/>
        <v>0</v>
      </c>
      <c r="FV363" s="34">
        <f t="shared" si="356"/>
        <v>0</v>
      </c>
      <c r="FW363" s="28"/>
      <c r="FX363" s="29">
        <f t="shared" si="3"/>
        <v>0</v>
      </c>
    </row>
    <row r="364" spans="1:180" ht="18" customHeight="1" x14ac:dyDescent="0.25">
      <c r="A364" s="3" t="str">
        <f>IF(C364&lt;&gt;"","DRG-"&amp;TEXT(359,"000"),"")</f>
        <v/>
      </c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38">
        <v>4</v>
      </c>
      <c r="M364" s="23" t="str">
        <f t="shared" si="0"/>
        <v>✘ Pending</v>
      </c>
      <c r="N364" s="23">
        <f t="shared" si="1"/>
        <v>0</v>
      </c>
      <c r="O364" s="25"/>
      <c r="P364" s="26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  <c r="AB364" s="25"/>
      <c r="AC364" s="26"/>
      <c r="AD364" s="24"/>
      <c r="AE364" s="24"/>
      <c r="AF364" s="24"/>
      <c r="AG364" s="24"/>
      <c r="AH364" s="24"/>
      <c r="AI364" s="24"/>
      <c r="AJ364" s="24"/>
      <c r="AK364" s="24"/>
      <c r="AL364" s="24"/>
      <c r="AM364" s="24"/>
      <c r="AN364" s="24"/>
      <c r="AO364" s="25"/>
      <c r="AP364" s="26"/>
      <c r="AQ364" s="24"/>
      <c r="AR364" s="24"/>
      <c r="AS364" s="24"/>
      <c r="AT364" s="24"/>
      <c r="AU364" s="24"/>
      <c r="AV364" s="24"/>
      <c r="AW364" s="24"/>
      <c r="AX364" s="24"/>
      <c r="AY364" s="24"/>
      <c r="AZ364" s="24"/>
      <c r="BA364" s="24"/>
      <c r="BB364" s="25"/>
      <c r="BC364" s="26"/>
      <c r="BD364" s="24"/>
      <c r="BE364" s="24"/>
      <c r="BF364" s="24"/>
      <c r="BG364" s="24"/>
      <c r="BH364" s="24"/>
      <c r="BI364" s="24"/>
      <c r="BJ364" s="24"/>
      <c r="BK364" s="24"/>
      <c r="BL364" s="24"/>
      <c r="BM364" s="24"/>
      <c r="BN364" s="24"/>
      <c r="BO364" s="25"/>
      <c r="BP364" s="26"/>
      <c r="BQ364" s="24"/>
      <c r="BR364" s="24"/>
      <c r="BS364" s="24"/>
      <c r="BT364" s="24"/>
      <c r="BU364" s="24"/>
      <c r="BV364" s="24"/>
      <c r="BW364" s="24"/>
      <c r="BX364" s="24"/>
      <c r="BY364" s="24"/>
      <c r="BZ364" s="24"/>
      <c r="CA364" s="24"/>
      <c r="CB364" s="25"/>
      <c r="CC364" s="26"/>
      <c r="CD364" s="24"/>
      <c r="CE364" s="24"/>
      <c r="CF364" s="24"/>
      <c r="CG364" s="24"/>
      <c r="CH364" s="24"/>
      <c r="CI364" s="24"/>
      <c r="CJ364" s="24"/>
      <c r="CK364" s="24"/>
      <c r="CL364" s="24"/>
      <c r="CM364" s="24"/>
      <c r="CN364" s="24"/>
      <c r="CO364" s="25"/>
      <c r="CP364" s="26"/>
      <c r="CQ364" s="24"/>
      <c r="CR364" s="24"/>
      <c r="CS364" s="24"/>
      <c r="CT364" s="24"/>
      <c r="CU364" s="24"/>
      <c r="CV364" s="24"/>
      <c r="CW364" s="24"/>
      <c r="CX364" s="24"/>
      <c r="CY364" s="24"/>
      <c r="CZ364" s="24"/>
      <c r="DA364" s="24"/>
      <c r="DB364" s="25"/>
      <c r="DC364" s="26"/>
      <c r="DD364" s="24"/>
      <c r="DE364" s="24"/>
      <c r="DF364" s="24"/>
      <c r="DG364" s="24"/>
      <c r="DH364" s="24"/>
      <c r="DI364" s="24"/>
      <c r="DJ364" s="24"/>
      <c r="DK364" s="24"/>
      <c r="DL364" s="24"/>
      <c r="DM364" s="24"/>
      <c r="DN364" s="24"/>
      <c r="DO364" s="25"/>
      <c r="DP364" s="26"/>
      <c r="DQ364" s="24"/>
      <c r="DR364" s="24"/>
      <c r="DS364" s="24"/>
      <c r="DT364" s="24"/>
      <c r="DU364" s="24"/>
      <c r="DV364" s="24"/>
      <c r="DW364" s="24"/>
      <c r="DX364" s="24"/>
      <c r="DY364" s="24"/>
      <c r="DZ364" s="24"/>
      <c r="EA364" s="24"/>
      <c r="EB364" s="25"/>
      <c r="EC364" s="26"/>
      <c r="ED364" s="24"/>
      <c r="EE364" s="24"/>
      <c r="EF364" s="24"/>
      <c r="EG364" s="24"/>
      <c r="EH364" s="24"/>
      <c r="EI364" s="24"/>
      <c r="EJ364" s="24"/>
      <c r="EK364" s="24"/>
      <c r="EL364" s="24"/>
      <c r="EM364" s="24"/>
      <c r="EN364" s="24"/>
      <c r="EO364" s="25"/>
      <c r="EP364" s="26"/>
      <c r="EQ364" s="24"/>
      <c r="ER364" s="24"/>
      <c r="ES364" s="24"/>
      <c r="ET364" s="24"/>
      <c r="EU364" s="24"/>
      <c r="EV364" s="24"/>
      <c r="EW364" s="24"/>
      <c r="EX364" s="24"/>
      <c r="EY364" s="24"/>
      <c r="EZ364" s="24"/>
      <c r="FA364" s="24"/>
      <c r="FB364" s="25"/>
      <c r="FC364" s="26"/>
      <c r="FD364" s="24"/>
      <c r="FE364" s="24"/>
      <c r="FF364" s="24"/>
      <c r="FG364" s="24"/>
      <c r="FH364" s="24"/>
      <c r="FI364" s="24"/>
      <c r="FJ364" s="24"/>
      <c r="FK364" s="24"/>
      <c r="FL364" s="24"/>
      <c r="FM364" s="24"/>
      <c r="FN364" s="24"/>
      <c r="FO364" s="27">
        <f t="shared" ref="FO364:FV364" si="357">IFERROR(R364*1,0)+IFERROR(AE364*1,0)+IFERROR(AR364*1,0)+IFERROR(BE364*1,0)+IFERROR(BR364*1,0)+IFERROR(CE364*1,0)+IFERROR(CR364*1,0)+IFERROR(DE364*1,0)+IFERROR(DR364*1,0)+IFERROR(EE364*1,0)+IFERROR(ER364*1,0)+IFERROR(FE364*1,0)</f>
        <v>0</v>
      </c>
      <c r="FP364" s="27">
        <f t="shared" si="357"/>
        <v>0</v>
      </c>
      <c r="FQ364" s="27">
        <f t="shared" si="357"/>
        <v>0</v>
      </c>
      <c r="FR364" s="27">
        <f t="shared" si="357"/>
        <v>0</v>
      </c>
      <c r="FS364" s="27">
        <f t="shared" si="357"/>
        <v>0</v>
      </c>
      <c r="FT364" s="27">
        <f t="shared" si="357"/>
        <v>0</v>
      </c>
      <c r="FU364" s="27">
        <f t="shared" si="357"/>
        <v>0</v>
      </c>
      <c r="FV364" s="27">
        <f t="shared" si="357"/>
        <v>0</v>
      </c>
      <c r="FW364" s="28"/>
      <c r="FX364" s="29">
        <f t="shared" si="3"/>
        <v>0</v>
      </c>
    </row>
    <row r="365" spans="1:180" ht="18" customHeight="1" x14ac:dyDescent="0.25">
      <c r="A365" s="3" t="str">
        <f>IF(C365&lt;&gt;"","DRG-"&amp;TEXT(360,"000"),"")</f>
        <v/>
      </c>
      <c r="B365" s="33"/>
      <c r="C365" s="33"/>
      <c r="D365" s="33"/>
      <c r="E365" s="33"/>
      <c r="F365" s="33"/>
      <c r="G365" s="33"/>
      <c r="H365" s="33"/>
      <c r="I365" s="33"/>
      <c r="J365" s="33"/>
      <c r="K365" s="33"/>
      <c r="L365" s="37">
        <v>4</v>
      </c>
      <c r="M365" s="30" t="str">
        <f t="shared" si="0"/>
        <v>✘ Pending</v>
      </c>
      <c r="N365" s="30">
        <f t="shared" si="1"/>
        <v>0</v>
      </c>
      <c r="O365" s="31"/>
      <c r="P365" s="32"/>
      <c r="Q365" s="33"/>
      <c r="R365" s="33"/>
      <c r="S365" s="33"/>
      <c r="T365" s="33"/>
      <c r="U365" s="33"/>
      <c r="V365" s="33"/>
      <c r="W365" s="33"/>
      <c r="X365" s="33"/>
      <c r="Y365" s="33"/>
      <c r="Z365" s="33"/>
      <c r="AA365" s="33"/>
      <c r="AB365" s="31"/>
      <c r="AC365" s="32"/>
      <c r="AD365" s="33"/>
      <c r="AE365" s="33"/>
      <c r="AF365" s="33"/>
      <c r="AG365" s="33"/>
      <c r="AH365" s="33"/>
      <c r="AI365" s="33"/>
      <c r="AJ365" s="33"/>
      <c r="AK365" s="33"/>
      <c r="AL365" s="33"/>
      <c r="AM365" s="33"/>
      <c r="AN365" s="33"/>
      <c r="AO365" s="31"/>
      <c r="AP365" s="32"/>
      <c r="AQ365" s="33"/>
      <c r="AR365" s="33"/>
      <c r="AS365" s="33"/>
      <c r="AT365" s="33"/>
      <c r="AU365" s="33"/>
      <c r="AV365" s="33"/>
      <c r="AW365" s="33"/>
      <c r="AX365" s="33"/>
      <c r="AY365" s="33"/>
      <c r="AZ365" s="33"/>
      <c r="BA365" s="33"/>
      <c r="BB365" s="31"/>
      <c r="BC365" s="32"/>
      <c r="BD365" s="33"/>
      <c r="BE365" s="33"/>
      <c r="BF365" s="33"/>
      <c r="BG365" s="33"/>
      <c r="BH365" s="33"/>
      <c r="BI365" s="33"/>
      <c r="BJ365" s="33"/>
      <c r="BK365" s="33"/>
      <c r="BL365" s="33"/>
      <c r="BM365" s="33"/>
      <c r="BN365" s="33"/>
      <c r="BO365" s="31"/>
      <c r="BP365" s="32"/>
      <c r="BQ365" s="33"/>
      <c r="BR365" s="33"/>
      <c r="BS365" s="33"/>
      <c r="BT365" s="33"/>
      <c r="BU365" s="33"/>
      <c r="BV365" s="33"/>
      <c r="BW365" s="33"/>
      <c r="BX365" s="33"/>
      <c r="BY365" s="33"/>
      <c r="BZ365" s="33"/>
      <c r="CA365" s="33"/>
      <c r="CB365" s="31"/>
      <c r="CC365" s="32"/>
      <c r="CD365" s="33"/>
      <c r="CE365" s="33"/>
      <c r="CF365" s="33"/>
      <c r="CG365" s="33"/>
      <c r="CH365" s="33"/>
      <c r="CI365" s="33"/>
      <c r="CJ365" s="33"/>
      <c r="CK365" s="33"/>
      <c r="CL365" s="33"/>
      <c r="CM365" s="33"/>
      <c r="CN365" s="33"/>
      <c r="CO365" s="31"/>
      <c r="CP365" s="32"/>
      <c r="CQ365" s="33"/>
      <c r="CR365" s="33"/>
      <c r="CS365" s="33"/>
      <c r="CT365" s="33"/>
      <c r="CU365" s="33"/>
      <c r="CV365" s="33"/>
      <c r="CW365" s="33"/>
      <c r="CX365" s="33"/>
      <c r="CY365" s="33"/>
      <c r="CZ365" s="33"/>
      <c r="DA365" s="33"/>
      <c r="DB365" s="31"/>
      <c r="DC365" s="32"/>
      <c r="DD365" s="33"/>
      <c r="DE365" s="33"/>
      <c r="DF365" s="33"/>
      <c r="DG365" s="33"/>
      <c r="DH365" s="33"/>
      <c r="DI365" s="33"/>
      <c r="DJ365" s="33"/>
      <c r="DK365" s="33"/>
      <c r="DL365" s="33"/>
      <c r="DM365" s="33"/>
      <c r="DN365" s="33"/>
      <c r="DO365" s="31"/>
      <c r="DP365" s="32"/>
      <c r="DQ365" s="33"/>
      <c r="DR365" s="33"/>
      <c r="DS365" s="33"/>
      <c r="DT365" s="33"/>
      <c r="DU365" s="33"/>
      <c r="DV365" s="33"/>
      <c r="DW365" s="33"/>
      <c r="DX365" s="33"/>
      <c r="DY365" s="33"/>
      <c r="DZ365" s="33"/>
      <c r="EA365" s="33"/>
      <c r="EB365" s="31"/>
      <c r="EC365" s="32"/>
      <c r="ED365" s="33"/>
      <c r="EE365" s="33"/>
      <c r="EF365" s="33"/>
      <c r="EG365" s="33"/>
      <c r="EH365" s="33"/>
      <c r="EI365" s="33"/>
      <c r="EJ365" s="33"/>
      <c r="EK365" s="33"/>
      <c r="EL365" s="33"/>
      <c r="EM365" s="33"/>
      <c r="EN365" s="33"/>
      <c r="EO365" s="31"/>
      <c r="EP365" s="32"/>
      <c r="EQ365" s="33"/>
      <c r="ER365" s="33"/>
      <c r="ES365" s="33"/>
      <c r="ET365" s="33"/>
      <c r="EU365" s="33"/>
      <c r="EV365" s="33"/>
      <c r="EW365" s="33"/>
      <c r="EX365" s="33"/>
      <c r="EY365" s="33"/>
      <c r="EZ365" s="33"/>
      <c r="FA365" s="33"/>
      <c r="FB365" s="31"/>
      <c r="FC365" s="32"/>
      <c r="FD365" s="33"/>
      <c r="FE365" s="33"/>
      <c r="FF365" s="33"/>
      <c r="FG365" s="33"/>
      <c r="FH365" s="33"/>
      <c r="FI365" s="33"/>
      <c r="FJ365" s="33"/>
      <c r="FK365" s="33"/>
      <c r="FL365" s="33"/>
      <c r="FM365" s="33"/>
      <c r="FN365" s="33"/>
      <c r="FO365" s="34">
        <f t="shared" ref="FO365:FV365" si="358">IFERROR(R365*1,0)+IFERROR(AE365*1,0)+IFERROR(AR365*1,0)+IFERROR(BE365*1,0)+IFERROR(BR365*1,0)+IFERROR(CE365*1,0)+IFERROR(CR365*1,0)+IFERROR(DE365*1,0)+IFERROR(DR365*1,0)+IFERROR(EE365*1,0)+IFERROR(ER365*1,0)+IFERROR(FE365*1,0)</f>
        <v>0</v>
      </c>
      <c r="FP365" s="34">
        <f t="shared" si="358"/>
        <v>0</v>
      </c>
      <c r="FQ365" s="34">
        <f t="shared" si="358"/>
        <v>0</v>
      </c>
      <c r="FR365" s="34">
        <f t="shared" si="358"/>
        <v>0</v>
      </c>
      <c r="FS365" s="34">
        <f t="shared" si="358"/>
        <v>0</v>
      </c>
      <c r="FT365" s="34">
        <f t="shared" si="358"/>
        <v>0</v>
      </c>
      <c r="FU365" s="34">
        <f t="shared" si="358"/>
        <v>0</v>
      </c>
      <c r="FV365" s="34">
        <f t="shared" si="358"/>
        <v>0</v>
      </c>
      <c r="FW365" s="28"/>
      <c r="FX365" s="29">
        <f t="shared" si="3"/>
        <v>0</v>
      </c>
    </row>
    <row r="366" spans="1:180" ht="18" customHeight="1" x14ac:dyDescent="0.25">
      <c r="A366" s="3" t="str">
        <f>IF(C366&lt;&gt;"","DRG-"&amp;TEXT(361,"000"),"")</f>
        <v/>
      </c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38">
        <v>4</v>
      </c>
      <c r="M366" s="23" t="str">
        <f t="shared" si="0"/>
        <v>✘ Pending</v>
      </c>
      <c r="N366" s="23">
        <f t="shared" si="1"/>
        <v>0</v>
      </c>
      <c r="O366" s="25"/>
      <c r="P366" s="26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  <c r="AB366" s="25"/>
      <c r="AC366" s="26"/>
      <c r="AD366" s="24"/>
      <c r="AE366" s="24"/>
      <c r="AF366" s="24"/>
      <c r="AG366" s="24"/>
      <c r="AH366" s="24"/>
      <c r="AI366" s="24"/>
      <c r="AJ366" s="24"/>
      <c r="AK366" s="24"/>
      <c r="AL366" s="24"/>
      <c r="AM366" s="24"/>
      <c r="AN366" s="24"/>
      <c r="AO366" s="25"/>
      <c r="AP366" s="26"/>
      <c r="AQ366" s="24"/>
      <c r="AR366" s="24"/>
      <c r="AS366" s="24"/>
      <c r="AT366" s="24"/>
      <c r="AU366" s="24"/>
      <c r="AV366" s="24"/>
      <c r="AW366" s="24"/>
      <c r="AX366" s="24"/>
      <c r="AY366" s="24"/>
      <c r="AZ366" s="24"/>
      <c r="BA366" s="24"/>
      <c r="BB366" s="25"/>
      <c r="BC366" s="26"/>
      <c r="BD366" s="24"/>
      <c r="BE366" s="24"/>
      <c r="BF366" s="24"/>
      <c r="BG366" s="24"/>
      <c r="BH366" s="24"/>
      <c r="BI366" s="24"/>
      <c r="BJ366" s="24"/>
      <c r="BK366" s="24"/>
      <c r="BL366" s="24"/>
      <c r="BM366" s="24"/>
      <c r="BN366" s="24"/>
      <c r="BO366" s="25"/>
      <c r="BP366" s="26"/>
      <c r="BQ366" s="24"/>
      <c r="BR366" s="24"/>
      <c r="BS366" s="24"/>
      <c r="BT366" s="24"/>
      <c r="BU366" s="24"/>
      <c r="BV366" s="24"/>
      <c r="BW366" s="24"/>
      <c r="BX366" s="24"/>
      <c r="BY366" s="24"/>
      <c r="BZ366" s="24"/>
      <c r="CA366" s="24"/>
      <c r="CB366" s="25"/>
      <c r="CC366" s="26"/>
      <c r="CD366" s="24"/>
      <c r="CE366" s="24"/>
      <c r="CF366" s="24"/>
      <c r="CG366" s="24"/>
      <c r="CH366" s="24"/>
      <c r="CI366" s="24"/>
      <c r="CJ366" s="24"/>
      <c r="CK366" s="24"/>
      <c r="CL366" s="24"/>
      <c r="CM366" s="24"/>
      <c r="CN366" s="24"/>
      <c r="CO366" s="25"/>
      <c r="CP366" s="26"/>
      <c r="CQ366" s="24"/>
      <c r="CR366" s="24"/>
      <c r="CS366" s="24"/>
      <c r="CT366" s="24"/>
      <c r="CU366" s="24"/>
      <c r="CV366" s="24"/>
      <c r="CW366" s="24"/>
      <c r="CX366" s="24"/>
      <c r="CY366" s="24"/>
      <c r="CZ366" s="24"/>
      <c r="DA366" s="24"/>
      <c r="DB366" s="25"/>
      <c r="DC366" s="26"/>
      <c r="DD366" s="24"/>
      <c r="DE366" s="24"/>
      <c r="DF366" s="24"/>
      <c r="DG366" s="24"/>
      <c r="DH366" s="24"/>
      <c r="DI366" s="24"/>
      <c r="DJ366" s="24"/>
      <c r="DK366" s="24"/>
      <c r="DL366" s="24"/>
      <c r="DM366" s="24"/>
      <c r="DN366" s="24"/>
      <c r="DO366" s="25"/>
      <c r="DP366" s="26"/>
      <c r="DQ366" s="24"/>
      <c r="DR366" s="24"/>
      <c r="DS366" s="24"/>
      <c r="DT366" s="24"/>
      <c r="DU366" s="24"/>
      <c r="DV366" s="24"/>
      <c r="DW366" s="24"/>
      <c r="DX366" s="24"/>
      <c r="DY366" s="24"/>
      <c r="DZ366" s="24"/>
      <c r="EA366" s="24"/>
      <c r="EB366" s="25"/>
      <c r="EC366" s="26"/>
      <c r="ED366" s="24"/>
      <c r="EE366" s="24"/>
      <c r="EF366" s="24"/>
      <c r="EG366" s="24"/>
      <c r="EH366" s="24"/>
      <c r="EI366" s="24"/>
      <c r="EJ366" s="24"/>
      <c r="EK366" s="24"/>
      <c r="EL366" s="24"/>
      <c r="EM366" s="24"/>
      <c r="EN366" s="24"/>
      <c r="EO366" s="25"/>
      <c r="EP366" s="26"/>
      <c r="EQ366" s="24"/>
      <c r="ER366" s="24"/>
      <c r="ES366" s="24"/>
      <c r="ET366" s="24"/>
      <c r="EU366" s="24"/>
      <c r="EV366" s="24"/>
      <c r="EW366" s="24"/>
      <c r="EX366" s="24"/>
      <c r="EY366" s="24"/>
      <c r="EZ366" s="24"/>
      <c r="FA366" s="24"/>
      <c r="FB366" s="25"/>
      <c r="FC366" s="26"/>
      <c r="FD366" s="24"/>
      <c r="FE366" s="24"/>
      <c r="FF366" s="24"/>
      <c r="FG366" s="24"/>
      <c r="FH366" s="24"/>
      <c r="FI366" s="24"/>
      <c r="FJ366" s="24"/>
      <c r="FK366" s="24"/>
      <c r="FL366" s="24"/>
      <c r="FM366" s="24"/>
      <c r="FN366" s="24"/>
      <c r="FO366" s="27">
        <f t="shared" ref="FO366:FV366" si="359">IFERROR(R366*1,0)+IFERROR(AE366*1,0)+IFERROR(AR366*1,0)+IFERROR(BE366*1,0)+IFERROR(BR366*1,0)+IFERROR(CE366*1,0)+IFERROR(CR366*1,0)+IFERROR(DE366*1,0)+IFERROR(DR366*1,0)+IFERROR(EE366*1,0)+IFERROR(ER366*1,0)+IFERROR(FE366*1,0)</f>
        <v>0</v>
      </c>
      <c r="FP366" s="27">
        <f t="shared" si="359"/>
        <v>0</v>
      </c>
      <c r="FQ366" s="27">
        <f t="shared" si="359"/>
        <v>0</v>
      </c>
      <c r="FR366" s="27">
        <f t="shared" si="359"/>
        <v>0</v>
      </c>
      <c r="FS366" s="27">
        <f t="shared" si="359"/>
        <v>0</v>
      </c>
      <c r="FT366" s="27">
        <f t="shared" si="359"/>
        <v>0</v>
      </c>
      <c r="FU366" s="27">
        <f t="shared" si="359"/>
        <v>0</v>
      </c>
      <c r="FV366" s="27">
        <f t="shared" si="359"/>
        <v>0</v>
      </c>
      <c r="FW366" s="28"/>
      <c r="FX366" s="29">
        <f t="shared" si="3"/>
        <v>0</v>
      </c>
    </row>
    <row r="367" spans="1:180" ht="18" customHeight="1" x14ac:dyDescent="0.25">
      <c r="A367" s="3" t="str">
        <f>IF(C367&lt;&gt;"","DRG-"&amp;TEXT(362,"000"),"")</f>
        <v/>
      </c>
      <c r="B367" s="33"/>
      <c r="C367" s="33"/>
      <c r="D367" s="33"/>
      <c r="E367" s="33"/>
      <c r="F367" s="33"/>
      <c r="G367" s="33"/>
      <c r="H367" s="33"/>
      <c r="I367" s="33"/>
      <c r="J367" s="33"/>
      <c r="K367" s="33"/>
      <c r="L367" s="37">
        <v>4</v>
      </c>
      <c r="M367" s="30" t="str">
        <f t="shared" si="0"/>
        <v>✘ Pending</v>
      </c>
      <c r="N367" s="30">
        <f t="shared" si="1"/>
        <v>0</v>
      </c>
      <c r="O367" s="31"/>
      <c r="P367" s="32"/>
      <c r="Q367" s="33"/>
      <c r="R367" s="33"/>
      <c r="S367" s="33"/>
      <c r="T367" s="33"/>
      <c r="U367" s="33"/>
      <c r="V367" s="33"/>
      <c r="W367" s="33"/>
      <c r="X367" s="33"/>
      <c r="Y367" s="33"/>
      <c r="Z367" s="33"/>
      <c r="AA367" s="33"/>
      <c r="AB367" s="31"/>
      <c r="AC367" s="32"/>
      <c r="AD367" s="33"/>
      <c r="AE367" s="33"/>
      <c r="AF367" s="33"/>
      <c r="AG367" s="33"/>
      <c r="AH367" s="33"/>
      <c r="AI367" s="33"/>
      <c r="AJ367" s="33"/>
      <c r="AK367" s="33"/>
      <c r="AL367" s="33"/>
      <c r="AM367" s="33"/>
      <c r="AN367" s="33"/>
      <c r="AO367" s="31"/>
      <c r="AP367" s="32"/>
      <c r="AQ367" s="33"/>
      <c r="AR367" s="33"/>
      <c r="AS367" s="33"/>
      <c r="AT367" s="33"/>
      <c r="AU367" s="33"/>
      <c r="AV367" s="33"/>
      <c r="AW367" s="33"/>
      <c r="AX367" s="33"/>
      <c r="AY367" s="33"/>
      <c r="AZ367" s="33"/>
      <c r="BA367" s="33"/>
      <c r="BB367" s="31"/>
      <c r="BC367" s="32"/>
      <c r="BD367" s="33"/>
      <c r="BE367" s="33"/>
      <c r="BF367" s="33"/>
      <c r="BG367" s="33"/>
      <c r="BH367" s="33"/>
      <c r="BI367" s="33"/>
      <c r="BJ367" s="33"/>
      <c r="BK367" s="33"/>
      <c r="BL367" s="33"/>
      <c r="BM367" s="33"/>
      <c r="BN367" s="33"/>
      <c r="BO367" s="31"/>
      <c r="BP367" s="32"/>
      <c r="BQ367" s="33"/>
      <c r="BR367" s="33"/>
      <c r="BS367" s="33"/>
      <c r="BT367" s="33"/>
      <c r="BU367" s="33"/>
      <c r="BV367" s="33"/>
      <c r="BW367" s="33"/>
      <c r="BX367" s="33"/>
      <c r="BY367" s="33"/>
      <c r="BZ367" s="33"/>
      <c r="CA367" s="33"/>
      <c r="CB367" s="31"/>
      <c r="CC367" s="32"/>
      <c r="CD367" s="33"/>
      <c r="CE367" s="33"/>
      <c r="CF367" s="33"/>
      <c r="CG367" s="33"/>
      <c r="CH367" s="33"/>
      <c r="CI367" s="33"/>
      <c r="CJ367" s="33"/>
      <c r="CK367" s="33"/>
      <c r="CL367" s="33"/>
      <c r="CM367" s="33"/>
      <c r="CN367" s="33"/>
      <c r="CO367" s="31"/>
      <c r="CP367" s="32"/>
      <c r="CQ367" s="33"/>
      <c r="CR367" s="33"/>
      <c r="CS367" s="33"/>
      <c r="CT367" s="33"/>
      <c r="CU367" s="33"/>
      <c r="CV367" s="33"/>
      <c r="CW367" s="33"/>
      <c r="CX367" s="33"/>
      <c r="CY367" s="33"/>
      <c r="CZ367" s="33"/>
      <c r="DA367" s="33"/>
      <c r="DB367" s="31"/>
      <c r="DC367" s="32"/>
      <c r="DD367" s="33"/>
      <c r="DE367" s="33"/>
      <c r="DF367" s="33"/>
      <c r="DG367" s="33"/>
      <c r="DH367" s="33"/>
      <c r="DI367" s="33"/>
      <c r="DJ367" s="33"/>
      <c r="DK367" s="33"/>
      <c r="DL367" s="33"/>
      <c r="DM367" s="33"/>
      <c r="DN367" s="33"/>
      <c r="DO367" s="31"/>
      <c r="DP367" s="32"/>
      <c r="DQ367" s="33"/>
      <c r="DR367" s="33"/>
      <c r="DS367" s="33"/>
      <c r="DT367" s="33"/>
      <c r="DU367" s="33"/>
      <c r="DV367" s="33"/>
      <c r="DW367" s="33"/>
      <c r="DX367" s="33"/>
      <c r="DY367" s="33"/>
      <c r="DZ367" s="33"/>
      <c r="EA367" s="33"/>
      <c r="EB367" s="31"/>
      <c r="EC367" s="32"/>
      <c r="ED367" s="33"/>
      <c r="EE367" s="33"/>
      <c r="EF367" s="33"/>
      <c r="EG367" s="33"/>
      <c r="EH367" s="33"/>
      <c r="EI367" s="33"/>
      <c r="EJ367" s="33"/>
      <c r="EK367" s="33"/>
      <c r="EL367" s="33"/>
      <c r="EM367" s="33"/>
      <c r="EN367" s="33"/>
      <c r="EO367" s="31"/>
      <c r="EP367" s="32"/>
      <c r="EQ367" s="33"/>
      <c r="ER367" s="33"/>
      <c r="ES367" s="33"/>
      <c r="ET367" s="33"/>
      <c r="EU367" s="33"/>
      <c r="EV367" s="33"/>
      <c r="EW367" s="33"/>
      <c r="EX367" s="33"/>
      <c r="EY367" s="33"/>
      <c r="EZ367" s="33"/>
      <c r="FA367" s="33"/>
      <c r="FB367" s="31"/>
      <c r="FC367" s="32"/>
      <c r="FD367" s="33"/>
      <c r="FE367" s="33"/>
      <c r="FF367" s="33"/>
      <c r="FG367" s="33"/>
      <c r="FH367" s="33"/>
      <c r="FI367" s="33"/>
      <c r="FJ367" s="33"/>
      <c r="FK367" s="33"/>
      <c r="FL367" s="33"/>
      <c r="FM367" s="33"/>
      <c r="FN367" s="33"/>
      <c r="FO367" s="34">
        <f t="shared" ref="FO367:FV367" si="360">IFERROR(R367*1,0)+IFERROR(AE367*1,0)+IFERROR(AR367*1,0)+IFERROR(BE367*1,0)+IFERROR(BR367*1,0)+IFERROR(CE367*1,0)+IFERROR(CR367*1,0)+IFERROR(DE367*1,0)+IFERROR(DR367*1,0)+IFERROR(EE367*1,0)+IFERROR(ER367*1,0)+IFERROR(FE367*1,0)</f>
        <v>0</v>
      </c>
      <c r="FP367" s="34">
        <f t="shared" si="360"/>
        <v>0</v>
      </c>
      <c r="FQ367" s="34">
        <f t="shared" si="360"/>
        <v>0</v>
      </c>
      <c r="FR367" s="34">
        <f t="shared" si="360"/>
        <v>0</v>
      </c>
      <c r="FS367" s="34">
        <f t="shared" si="360"/>
        <v>0</v>
      </c>
      <c r="FT367" s="34">
        <f t="shared" si="360"/>
        <v>0</v>
      </c>
      <c r="FU367" s="34">
        <f t="shared" si="360"/>
        <v>0</v>
      </c>
      <c r="FV367" s="34">
        <f t="shared" si="360"/>
        <v>0</v>
      </c>
      <c r="FW367" s="28"/>
      <c r="FX367" s="29">
        <f t="shared" si="3"/>
        <v>0</v>
      </c>
    </row>
    <row r="368" spans="1:180" ht="18" customHeight="1" x14ac:dyDescent="0.25">
      <c r="A368" s="3" t="str">
        <f>IF(C368&lt;&gt;"","DRG-"&amp;TEXT(363,"000"),"")</f>
        <v/>
      </c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38">
        <v>4</v>
      </c>
      <c r="M368" s="23" t="str">
        <f t="shared" si="0"/>
        <v>✘ Pending</v>
      </c>
      <c r="N368" s="23">
        <f t="shared" si="1"/>
        <v>0</v>
      </c>
      <c r="O368" s="25"/>
      <c r="P368" s="26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  <c r="AB368" s="25"/>
      <c r="AC368" s="26"/>
      <c r="AD368" s="24"/>
      <c r="AE368" s="24"/>
      <c r="AF368" s="24"/>
      <c r="AG368" s="24"/>
      <c r="AH368" s="24"/>
      <c r="AI368" s="24"/>
      <c r="AJ368" s="24"/>
      <c r="AK368" s="24"/>
      <c r="AL368" s="24"/>
      <c r="AM368" s="24"/>
      <c r="AN368" s="24"/>
      <c r="AO368" s="25"/>
      <c r="AP368" s="26"/>
      <c r="AQ368" s="24"/>
      <c r="AR368" s="24"/>
      <c r="AS368" s="24"/>
      <c r="AT368" s="24"/>
      <c r="AU368" s="24"/>
      <c r="AV368" s="24"/>
      <c r="AW368" s="24"/>
      <c r="AX368" s="24"/>
      <c r="AY368" s="24"/>
      <c r="AZ368" s="24"/>
      <c r="BA368" s="24"/>
      <c r="BB368" s="25"/>
      <c r="BC368" s="26"/>
      <c r="BD368" s="24"/>
      <c r="BE368" s="24"/>
      <c r="BF368" s="24"/>
      <c r="BG368" s="24"/>
      <c r="BH368" s="24"/>
      <c r="BI368" s="24"/>
      <c r="BJ368" s="24"/>
      <c r="BK368" s="24"/>
      <c r="BL368" s="24"/>
      <c r="BM368" s="24"/>
      <c r="BN368" s="24"/>
      <c r="BO368" s="25"/>
      <c r="BP368" s="26"/>
      <c r="BQ368" s="24"/>
      <c r="BR368" s="24"/>
      <c r="BS368" s="24"/>
      <c r="BT368" s="24"/>
      <c r="BU368" s="24"/>
      <c r="BV368" s="24"/>
      <c r="BW368" s="24"/>
      <c r="BX368" s="24"/>
      <c r="BY368" s="24"/>
      <c r="BZ368" s="24"/>
      <c r="CA368" s="24"/>
      <c r="CB368" s="25"/>
      <c r="CC368" s="26"/>
      <c r="CD368" s="24"/>
      <c r="CE368" s="24"/>
      <c r="CF368" s="24"/>
      <c r="CG368" s="24"/>
      <c r="CH368" s="24"/>
      <c r="CI368" s="24"/>
      <c r="CJ368" s="24"/>
      <c r="CK368" s="24"/>
      <c r="CL368" s="24"/>
      <c r="CM368" s="24"/>
      <c r="CN368" s="24"/>
      <c r="CO368" s="25"/>
      <c r="CP368" s="26"/>
      <c r="CQ368" s="24"/>
      <c r="CR368" s="24"/>
      <c r="CS368" s="24"/>
      <c r="CT368" s="24"/>
      <c r="CU368" s="24"/>
      <c r="CV368" s="24"/>
      <c r="CW368" s="24"/>
      <c r="CX368" s="24"/>
      <c r="CY368" s="24"/>
      <c r="CZ368" s="24"/>
      <c r="DA368" s="24"/>
      <c r="DB368" s="25"/>
      <c r="DC368" s="26"/>
      <c r="DD368" s="24"/>
      <c r="DE368" s="24"/>
      <c r="DF368" s="24"/>
      <c r="DG368" s="24"/>
      <c r="DH368" s="24"/>
      <c r="DI368" s="24"/>
      <c r="DJ368" s="24"/>
      <c r="DK368" s="24"/>
      <c r="DL368" s="24"/>
      <c r="DM368" s="24"/>
      <c r="DN368" s="24"/>
      <c r="DO368" s="25"/>
      <c r="DP368" s="26"/>
      <c r="DQ368" s="24"/>
      <c r="DR368" s="24"/>
      <c r="DS368" s="24"/>
      <c r="DT368" s="24"/>
      <c r="DU368" s="24"/>
      <c r="DV368" s="24"/>
      <c r="DW368" s="24"/>
      <c r="DX368" s="24"/>
      <c r="DY368" s="24"/>
      <c r="DZ368" s="24"/>
      <c r="EA368" s="24"/>
      <c r="EB368" s="25"/>
      <c r="EC368" s="26"/>
      <c r="ED368" s="24"/>
      <c r="EE368" s="24"/>
      <c r="EF368" s="24"/>
      <c r="EG368" s="24"/>
      <c r="EH368" s="24"/>
      <c r="EI368" s="24"/>
      <c r="EJ368" s="24"/>
      <c r="EK368" s="24"/>
      <c r="EL368" s="24"/>
      <c r="EM368" s="24"/>
      <c r="EN368" s="24"/>
      <c r="EO368" s="25"/>
      <c r="EP368" s="26"/>
      <c r="EQ368" s="24"/>
      <c r="ER368" s="24"/>
      <c r="ES368" s="24"/>
      <c r="ET368" s="24"/>
      <c r="EU368" s="24"/>
      <c r="EV368" s="24"/>
      <c r="EW368" s="24"/>
      <c r="EX368" s="24"/>
      <c r="EY368" s="24"/>
      <c r="EZ368" s="24"/>
      <c r="FA368" s="24"/>
      <c r="FB368" s="25"/>
      <c r="FC368" s="26"/>
      <c r="FD368" s="24"/>
      <c r="FE368" s="24"/>
      <c r="FF368" s="24"/>
      <c r="FG368" s="24"/>
      <c r="FH368" s="24"/>
      <c r="FI368" s="24"/>
      <c r="FJ368" s="24"/>
      <c r="FK368" s="24"/>
      <c r="FL368" s="24"/>
      <c r="FM368" s="24"/>
      <c r="FN368" s="24"/>
      <c r="FO368" s="27">
        <f t="shared" ref="FO368:FV368" si="361">IFERROR(R368*1,0)+IFERROR(AE368*1,0)+IFERROR(AR368*1,0)+IFERROR(BE368*1,0)+IFERROR(BR368*1,0)+IFERROR(CE368*1,0)+IFERROR(CR368*1,0)+IFERROR(DE368*1,0)+IFERROR(DR368*1,0)+IFERROR(EE368*1,0)+IFERROR(ER368*1,0)+IFERROR(FE368*1,0)</f>
        <v>0</v>
      </c>
      <c r="FP368" s="27">
        <f t="shared" si="361"/>
        <v>0</v>
      </c>
      <c r="FQ368" s="27">
        <f t="shared" si="361"/>
        <v>0</v>
      </c>
      <c r="FR368" s="27">
        <f t="shared" si="361"/>
        <v>0</v>
      </c>
      <c r="FS368" s="27">
        <f t="shared" si="361"/>
        <v>0</v>
      </c>
      <c r="FT368" s="27">
        <f t="shared" si="361"/>
        <v>0</v>
      </c>
      <c r="FU368" s="27">
        <f t="shared" si="361"/>
        <v>0</v>
      </c>
      <c r="FV368" s="27">
        <f t="shared" si="361"/>
        <v>0</v>
      </c>
      <c r="FW368" s="28"/>
      <c r="FX368" s="29">
        <f t="shared" si="3"/>
        <v>0</v>
      </c>
    </row>
    <row r="369" spans="1:180" ht="18" customHeight="1" x14ac:dyDescent="0.25">
      <c r="A369" s="3" t="str">
        <f>IF(C369&lt;&gt;"","DRG-"&amp;TEXT(364,"000"),"")</f>
        <v/>
      </c>
      <c r="B369" s="33"/>
      <c r="C369" s="33"/>
      <c r="D369" s="33"/>
      <c r="E369" s="33"/>
      <c r="F369" s="33"/>
      <c r="G369" s="33"/>
      <c r="H369" s="33"/>
      <c r="I369" s="33"/>
      <c r="J369" s="33"/>
      <c r="K369" s="33"/>
      <c r="L369" s="37">
        <v>4</v>
      </c>
      <c r="M369" s="30" t="str">
        <f t="shared" si="0"/>
        <v>✘ Pending</v>
      </c>
      <c r="N369" s="30">
        <f t="shared" si="1"/>
        <v>0</v>
      </c>
      <c r="O369" s="31"/>
      <c r="P369" s="32"/>
      <c r="Q369" s="33"/>
      <c r="R369" s="33"/>
      <c r="S369" s="33"/>
      <c r="T369" s="33"/>
      <c r="U369" s="33"/>
      <c r="V369" s="33"/>
      <c r="W369" s="33"/>
      <c r="X369" s="33"/>
      <c r="Y369" s="33"/>
      <c r="Z369" s="33"/>
      <c r="AA369" s="33"/>
      <c r="AB369" s="31"/>
      <c r="AC369" s="32"/>
      <c r="AD369" s="33"/>
      <c r="AE369" s="33"/>
      <c r="AF369" s="33"/>
      <c r="AG369" s="33"/>
      <c r="AH369" s="33"/>
      <c r="AI369" s="33"/>
      <c r="AJ369" s="33"/>
      <c r="AK369" s="33"/>
      <c r="AL369" s="33"/>
      <c r="AM369" s="33"/>
      <c r="AN369" s="33"/>
      <c r="AO369" s="31"/>
      <c r="AP369" s="32"/>
      <c r="AQ369" s="33"/>
      <c r="AR369" s="33"/>
      <c r="AS369" s="33"/>
      <c r="AT369" s="33"/>
      <c r="AU369" s="33"/>
      <c r="AV369" s="33"/>
      <c r="AW369" s="33"/>
      <c r="AX369" s="33"/>
      <c r="AY369" s="33"/>
      <c r="AZ369" s="33"/>
      <c r="BA369" s="33"/>
      <c r="BB369" s="31"/>
      <c r="BC369" s="32"/>
      <c r="BD369" s="33"/>
      <c r="BE369" s="33"/>
      <c r="BF369" s="33"/>
      <c r="BG369" s="33"/>
      <c r="BH369" s="33"/>
      <c r="BI369" s="33"/>
      <c r="BJ369" s="33"/>
      <c r="BK369" s="33"/>
      <c r="BL369" s="33"/>
      <c r="BM369" s="33"/>
      <c r="BN369" s="33"/>
      <c r="BO369" s="31"/>
      <c r="BP369" s="32"/>
      <c r="BQ369" s="33"/>
      <c r="BR369" s="33"/>
      <c r="BS369" s="33"/>
      <c r="BT369" s="33"/>
      <c r="BU369" s="33"/>
      <c r="BV369" s="33"/>
      <c r="BW369" s="33"/>
      <c r="BX369" s="33"/>
      <c r="BY369" s="33"/>
      <c r="BZ369" s="33"/>
      <c r="CA369" s="33"/>
      <c r="CB369" s="31"/>
      <c r="CC369" s="32"/>
      <c r="CD369" s="33"/>
      <c r="CE369" s="33"/>
      <c r="CF369" s="33"/>
      <c r="CG369" s="33"/>
      <c r="CH369" s="33"/>
      <c r="CI369" s="33"/>
      <c r="CJ369" s="33"/>
      <c r="CK369" s="33"/>
      <c r="CL369" s="33"/>
      <c r="CM369" s="33"/>
      <c r="CN369" s="33"/>
      <c r="CO369" s="31"/>
      <c r="CP369" s="32"/>
      <c r="CQ369" s="33"/>
      <c r="CR369" s="33"/>
      <c r="CS369" s="33"/>
      <c r="CT369" s="33"/>
      <c r="CU369" s="33"/>
      <c r="CV369" s="33"/>
      <c r="CW369" s="33"/>
      <c r="CX369" s="33"/>
      <c r="CY369" s="33"/>
      <c r="CZ369" s="33"/>
      <c r="DA369" s="33"/>
      <c r="DB369" s="31"/>
      <c r="DC369" s="32"/>
      <c r="DD369" s="33"/>
      <c r="DE369" s="33"/>
      <c r="DF369" s="33"/>
      <c r="DG369" s="33"/>
      <c r="DH369" s="33"/>
      <c r="DI369" s="33"/>
      <c r="DJ369" s="33"/>
      <c r="DK369" s="33"/>
      <c r="DL369" s="33"/>
      <c r="DM369" s="33"/>
      <c r="DN369" s="33"/>
      <c r="DO369" s="31"/>
      <c r="DP369" s="32"/>
      <c r="DQ369" s="33"/>
      <c r="DR369" s="33"/>
      <c r="DS369" s="33"/>
      <c r="DT369" s="33"/>
      <c r="DU369" s="33"/>
      <c r="DV369" s="33"/>
      <c r="DW369" s="33"/>
      <c r="DX369" s="33"/>
      <c r="DY369" s="33"/>
      <c r="DZ369" s="33"/>
      <c r="EA369" s="33"/>
      <c r="EB369" s="31"/>
      <c r="EC369" s="32"/>
      <c r="ED369" s="33"/>
      <c r="EE369" s="33"/>
      <c r="EF369" s="33"/>
      <c r="EG369" s="33"/>
      <c r="EH369" s="33"/>
      <c r="EI369" s="33"/>
      <c r="EJ369" s="33"/>
      <c r="EK369" s="33"/>
      <c r="EL369" s="33"/>
      <c r="EM369" s="33"/>
      <c r="EN369" s="33"/>
      <c r="EO369" s="31"/>
      <c r="EP369" s="32"/>
      <c r="EQ369" s="33"/>
      <c r="ER369" s="33"/>
      <c r="ES369" s="33"/>
      <c r="ET369" s="33"/>
      <c r="EU369" s="33"/>
      <c r="EV369" s="33"/>
      <c r="EW369" s="33"/>
      <c r="EX369" s="33"/>
      <c r="EY369" s="33"/>
      <c r="EZ369" s="33"/>
      <c r="FA369" s="33"/>
      <c r="FB369" s="31"/>
      <c r="FC369" s="32"/>
      <c r="FD369" s="33"/>
      <c r="FE369" s="33"/>
      <c r="FF369" s="33"/>
      <c r="FG369" s="33"/>
      <c r="FH369" s="33"/>
      <c r="FI369" s="33"/>
      <c r="FJ369" s="33"/>
      <c r="FK369" s="33"/>
      <c r="FL369" s="33"/>
      <c r="FM369" s="33"/>
      <c r="FN369" s="33"/>
      <c r="FO369" s="34">
        <f t="shared" ref="FO369:FV369" si="362">IFERROR(R369*1,0)+IFERROR(AE369*1,0)+IFERROR(AR369*1,0)+IFERROR(BE369*1,0)+IFERROR(BR369*1,0)+IFERROR(CE369*1,0)+IFERROR(CR369*1,0)+IFERROR(DE369*1,0)+IFERROR(DR369*1,0)+IFERROR(EE369*1,0)+IFERROR(ER369*1,0)+IFERROR(FE369*1,0)</f>
        <v>0</v>
      </c>
      <c r="FP369" s="34">
        <f t="shared" si="362"/>
        <v>0</v>
      </c>
      <c r="FQ369" s="34">
        <f t="shared" si="362"/>
        <v>0</v>
      </c>
      <c r="FR369" s="34">
        <f t="shared" si="362"/>
        <v>0</v>
      </c>
      <c r="FS369" s="34">
        <f t="shared" si="362"/>
        <v>0</v>
      </c>
      <c r="FT369" s="34">
        <f t="shared" si="362"/>
        <v>0</v>
      </c>
      <c r="FU369" s="34">
        <f t="shared" si="362"/>
        <v>0</v>
      </c>
      <c r="FV369" s="34">
        <f t="shared" si="362"/>
        <v>0</v>
      </c>
      <c r="FW369" s="28"/>
      <c r="FX369" s="29">
        <f t="shared" si="3"/>
        <v>0</v>
      </c>
    </row>
    <row r="370" spans="1:180" ht="18" customHeight="1" x14ac:dyDescent="0.25">
      <c r="A370" s="3" t="str">
        <f>IF(C370&lt;&gt;"","DRG-"&amp;TEXT(365,"000"),"")</f>
        <v/>
      </c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38">
        <v>4</v>
      </c>
      <c r="M370" s="23" t="str">
        <f t="shared" si="0"/>
        <v>✘ Pending</v>
      </c>
      <c r="N370" s="23">
        <f t="shared" si="1"/>
        <v>0</v>
      </c>
      <c r="O370" s="25"/>
      <c r="P370" s="26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  <c r="AB370" s="25"/>
      <c r="AC370" s="26"/>
      <c r="AD370" s="24"/>
      <c r="AE370" s="24"/>
      <c r="AF370" s="24"/>
      <c r="AG370" s="24"/>
      <c r="AH370" s="24"/>
      <c r="AI370" s="24"/>
      <c r="AJ370" s="24"/>
      <c r="AK370" s="24"/>
      <c r="AL370" s="24"/>
      <c r="AM370" s="24"/>
      <c r="AN370" s="24"/>
      <c r="AO370" s="25"/>
      <c r="AP370" s="26"/>
      <c r="AQ370" s="24"/>
      <c r="AR370" s="24"/>
      <c r="AS370" s="24"/>
      <c r="AT370" s="24"/>
      <c r="AU370" s="24"/>
      <c r="AV370" s="24"/>
      <c r="AW370" s="24"/>
      <c r="AX370" s="24"/>
      <c r="AY370" s="24"/>
      <c r="AZ370" s="24"/>
      <c r="BA370" s="24"/>
      <c r="BB370" s="25"/>
      <c r="BC370" s="26"/>
      <c r="BD370" s="24"/>
      <c r="BE370" s="24"/>
      <c r="BF370" s="24"/>
      <c r="BG370" s="24"/>
      <c r="BH370" s="24"/>
      <c r="BI370" s="24"/>
      <c r="BJ370" s="24"/>
      <c r="BK370" s="24"/>
      <c r="BL370" s="24"/>
      <c r="BM370" s="24"/>
      <c r="BN370" s="24"/>
      <c r="BO370" s="25"/>
      <c r="BP370" s="26"/>
      <c r="BQ370" s="24"/>
      <c r="BR370" s="24"/>
      <c r="BS370" s="24"/>
      <c r="BT370" s="24"/>
      <c r="BU370" s="24"/>
      <c r="BV370" s="24"/>
      <c r="BW370" s="24"/>
      <c r="BX370" s="24"/>
      <c r="BY370" s="24"/>
      <c r="BZ370" s="24"/>
      <c r="CA370" s="24"/>
      <c r="CB370" s="25"/>
      <c r="CC370" s="26"/>
      <c r="CD370" s="24"/>
      <c r="CE370" s="24"/>
      <c r="CF370" s="24"/>
      <c r="CG370" s="24"/>
      <c r="CH370" s="24"/>
      <c r="CI370" s="24"/>
      <c r="CJ370" s="24"/>
      <c r="CK370" s="24"/>
      <c r="CL370" s="24"/>
      <c r="CM370" s="24"/>
      <c r="CN370" s="24"/>
      <c r="CO370" s="25"/>
      <c r="CP370" s="26"/>
      <c r="CQ370" s="24"/>
      <c r="CR370" s="24"/>
      <c r="CS370" s="24"/>
      <c r="CT370" s="24"/>
      <c r="CU370" s="24"/>
      <c r="CV370" s="24"/>
      <c r="CW370" s="24"/>
      <c r="CX370" s="24"/>
      <c r="CY370" s="24"/>
      <c r="CZ370" s="24"/>
      <c r="DA370" s="24"/>
      <c r="DB370" s="25"/>
      <c r="DC370" s="26"/>
      <c r="DD370" s="24"/>
      <c r="DE370" s="24"/>
      <c r="DF370" s="24"/>
      <c r="DG370" s="24"/>
      <c r="DH370" s="24"/>
      <c r="DI370" s="24"/>
      <c r="DJ370" s="24"/>
      <c r="DK370" s="24"/>
      <c r="DL370" s="24"/>
      <c r="DM370" s="24"/>
      <c r="DN370" s="24"/>
      <c r="DO370" s="25"/>
      <c r="DP370" s="26"/>
      <c r="DQ370" s="24"/>
      <c r="DR370" s="24"/>
      <c r="DS370" s="24"/>
      <c r="DT370" s="24"/>
      <c r="DU370" s="24"/>
      <c r="DV370" s="24"/>
      <c r="DW370" s="24"/>
      <c r="DX370" s="24"/>
      <c r="DY370" s="24"/>
      <c r="DZ370" s="24"/>
      <c r="EA370" s="24"/>
      <c r="EB370" s="25"/>
      <c r="EC370" s="26"/>
      <c r="ED370" s="24"/>
      <c r="EE370" s="24"/>
      <c r="EF370" s="24"/>
      <c r="EG370" s="24"/>
      <c r="EH370" s="24"/>
      <c r="EI370" s="24"/>
      <c r="EJ370" s="24"/>
      <c r="EK370" s="24"/>
      <c r="EL370" s="24"/>
      <c r="EM370" s="24"/>
      <c r="EN370" s="24"/>
      <c r="EO370" s="25"/>
      <c r="EP370" s="26"/>
      <c r="EQ370" s="24"/>
      <c r="ER370" s="24"/>
      <c r="ES370" s="24"/>
      <c r="ET370" s="24"/>
      <c r="EU370" s="24"/>
      <c r="EV370" s="24"/>
      <c r="EW370" s="24"/>
      <c r="EX370" s="24"/>
      <c r="EY370" s="24"/>
      <c r="EZ370" s="24"/>
      <c r="FA370" s="24"/>
      <c r="FB370" s="25"/>
      <c r="FC370" s="26"/>
      <c r="FD370" s="24"/>
      <c r="FE370" s="24"/>
      <c r="FF370" s="24"/>
      <c r="FG370" s="24"/>
      <c r="FH370" s="24"/>
      <c r="FI370" s="24"/>
      <c r="FJ370" s="24"/>
      <c r="FK370" s="24"/>
      <c r="FL370" s="24"/>
      <c r="FM370" s="24"/>
      <c r="FN370" s="24"/>
      <c r="FO370" s="27">
        <f t="shared" ref="FO370:FV370" si="363">IFERROR(R370*1,0)+IFERROR(AE370*1,0)+IFERROR(AR370*1,0)+IFERROR(BE370*1,0)+IFERROR(BR370*1,0)+IFERROR(CE370*1,0)+IFERROR(CR370*1,0)+IFERROR(DE370*1,0)+IFERROR(DR370*1,0)+IFERROR(EE370*1,0)+IFERROR(ER370*1,0)+IFERROR(FE370*1,0)</f>
        <v>0</v>
      </c>
      <c r="FP370" s="27">
        <f t="shared" si="363"/>
        <v>0</v>
      </c>
      <c r="FQ370" s="27">
        <f t="shared" si="363"/>
        <v>0</v>
      </c>
      <c r="FR370" s="27">
        <f t="shared" si="363"/>
        <v>0</v>
      </c>
      <c r="FS370" s="27">
        <f t="shared" si="363"/>
        <v>0</v>
      </c>
      <c r="FT370" s="27">
        <f t="shared" si="363"/>
        <v>0</v>
      </c>
      <c r="FU370" s="27">
        <f t="shared" si="363"/>
        <v>0</v>
      </c>
      <c r="FV370" s="27">
        <f t="shared" si="363"/>
        <v>0</v>
      </c>
      <c r="FW370" s="28"/>
      <c r="FX370" s="29">
        <f t="shared" si="3"/>
        <v>0</v>
      </c>
    </row>
    <row r="371" spans="1:180" ht="18" customHeight="1" x14ac:dyDescent="0.25">
      <c r="A371" s="3" t="str">
        <f>IF(C371&lt;&gt;"","DRG-"&amp;TEXT(366,"000"),"")</f>
        <v/>
      </c>
      <c r="B371" s="33"/>
      <c r="C371" s="33"/>
      <c r="D371" s="33"/>
      <c r="E371" s="33"/>
      <c r="F371" s="33"/>
      <c r="G371" s="33"/>
      <c r="H371" s="33"/>
      <c r="I371" s="33"/>
      <c r="J371" s="33"/>
      <c r="K371" s="33"/>
      <c r="L371" s="37">
        <v>4</v>
      </c>
      <c r="M371" s="30" t="str">
        <f t="shared" si="0"/>
        <v>✘ Pending</v>
      </c>
      <c r="N371" s="30">
        <f t="shared" si="1"/>
        <v>0</v>
      </c>
      <c r="O371" s="31"/>
      <c r="P371" s="32"/>
      <c r="Q371" s="33"/>
      <c r="R371" s="33"/>
      <c r="S371" s="33"/>
      <c r="T371" s="33"/>
      <c r="U371" s="33"/>
      <c r="V371" s="33"/>
      <c r="W371" s="33"/>
      <c r="X371" s="33"/>
      <c r="Y371" s="33"/>
      <c r="Z371" s="33"/>
      <c r="AA371" s="33"/>
      <c r="AB371" s="31"/>
      <c r="AC371" s="32"/>
      <c r="AD371" s="33"/>
      <c r="AE371" s="33"/>
      <c r="AF371" s="33"/>
      <c r="AG371" s="33"/>
      <c r="AH371" s="33"/>
      <c r="AI371" s="33"/>
      <c r="AJ371" s="33"/>
      <c r="AK371" s="33"/>
      <c r="AL371" s="33"/>
      <c r="AM371" s="33"/>
      <c r="AN371" s="33"/>
      <c r="AO371" s="31"/>
      <c r="AP371" s="32"/>
      <c r="AQ371" s="33"/>
      <c r="AR371" s="33"/>
      <c r="AS371" s="33"/>
      <c r="AT371" s="33"/>
      <c r="AU371" s="33"/>
      <c r="AV371" s="33"/>
      <c r="AW371" s="33"/>
      <c r="AX371" s="33"/>
      <c r="AY371" s="33"/>
      <c r="AZ371" s="33"/>
      <c r="BA371" s="33"/>
      <c r="BB371" s="31"/>
      <c r="BC371" s="32"/>
      <c r="BD371" s="33"/>
      <c r="BE371" s="33"/>
      <c r="BF371" s="33"/>
      <c r="BG371" s="33"/>
      <c r="BH371" s="33"/>
      <c r="BI371" s="33"/>
      <c r="BJ371" s="33"/>
      <c r="BK371" s="33"/>
      <c r="BL371" s="33"/>
      <c r="BM371" s="33"/>
      <c r="BN371" s="33"/>
      <c r="BO371" s="31"/>
      <c r="BP371" s="32"/>
      <c r="BQ371" s="33"/>
      <c r="BR371" s="33"/>
      <c r="BS371" s="33"/>
      <c r="BT371" s="33"/>
      <c r="BU371" s="33"/>
      <c r="BV371" s="33"/>
      <c r="BW371" s="33"/>
      <c r="BX371" s="33"/>
      <c r="BY371" s="33"/>
      <c r="BZ371" s="33"/>
      <c r="CA371" s="33"/>
      <c r="CB371" s="31"/>
      <c r="CC371" s="32"/>
      <c r="CD371" s="33"/>
      <c r="CE371" s="33"/>
      <c r="CF371" s="33"/>
      <c r="CG371" s="33"/>
      <c r="CH371" s="33"/>
      <c r="CI371" s="33"/>
      <c r="CJ371" s="33"/>
      <c r="CK371" s="33"/>
      <c r="CL371" s="33"/>
      <c r="CM371" s="33"/>
      <c r="CN371" s="33"/>
      <c r="CO371" s="31"/>
      <c r="CP371" s="32"/>
      <c r="CQ371" s="33"/>
      <c r="CR371" s="33"/>
      <c r="CS371" s="33"/>
      <c r="CT371" s="33"/>
      <c r="CU371" s="33"/>
      <c r="CV371" s="33"/>
      <c r="CW371" s="33"/>
      <c r="CX371" s="33"/>
      <c r="CY371" s="33"/>
      <c r="CZ371" s="33"/>
      <c r="DA371" s="33"/>
      <c r="DB371" s="31"/>
      <c r="DC371" s="32"/>
      <c r="DD371" s="33"/>
      <c r="DE371" s="33"/>
      <c r="DF371" s="33"/>
      <c r="DG371" s="33"/>
      <c r="DH371" s="33"/>
      <c r="DI371" s="33"/>
      <c r="DJ371" s="33"/>
      <c r="DK371" s="33"/>
      <c r="DL371" s="33"/>
      <c r="DM371" s="33"/>
      <c r="DN371" s="33"/>
      <c r="DO371" s="31"/>
      <c r="DP371" s="32"/>
      <c r="DQ371" s="33"/>
      <c r="DR371" s="33"/>
      <c r="DS371" s="33"/>
      <c r="DT371" s="33"/>
      <c r="DU371" s="33"/>
      <c r="DV371" s="33"/>
      <c r="DW371" s="33"/>
      <c r="DX371" s="33"/>
      <c r="DY371" s="33"/>
      <c r="DZ371" s="33"/>
      <c r="EA371" s="33"/>
      <c r="EB371" s="31"/>
      <c r="EC371" s="32"/>
      <c r="ED371" s="33"/>
      <c r="EE371" s="33"/>
      <c r="EF371" s="33"/>
      <c r="EG371" s="33"/>
      <c r="EH371" s="33"/>
      <c r="EI371" s="33"/>
      <c r="EJ371" s="33"/>
      <c r="EK371" s="33"/>
      <c r="EL371" s="33"/>
      <c r="EM371" s="33"/>
      <c r="EN371" s="33"/>
      <c r="EO371" s="31"/>
      <c r="EP371" s="32"/>
      <c r="EQ371" s="33"/>
      <c r="ER371" s="33"/>
      <c r="ES371" s="33"/>
      <c r="ET371" s="33"/>
      <c r="EU371" s="33"/>
      <c r="EV371" s="33"/>
      <c r="EW371" s="33"/>
      <c r="EX371" s="33"/>
      <c r="EY371" s="33"/>
      <c r="EZ371" s="33"/>
      <c r="FA371" s="33"/>
      <c r="FB371" s="31"/>
      <c r="FC371" s="32"/>
      <c r="FD371" s="33"/>
      <c r="FE371" s="33"/>
      <c r="FF371" s="33"/>
      <c r="FG371" s="33"/>
      <c r="FH371" s="33"/>
      <c r="FI371" s="33"/>
      <c r="FJ371" s="33"/>
      <c r="FK371" s="33"/>
      <c r="FL371" s="33"/>
      <c r="FM371" s="33"/>
      <c r="FN371" s="33"/>
      <c r="FO371" s="34">
        <f t="shared" ref="FO371:FV371" si="364">IFERROR(R371*1,0)+IFERROR(AE371*1,0)+IFERROR(AR371*1,0)+IFERROR(BE371*1,0)+IFERROR(BR371*1,0)+IFERROR(CE371*1,0)+IFERROR(CR371*1,0)+IFERROR(DE371*1,0)+IFERROR(DR371*1,0)+IFERROR(EE371*1,0)+IFERROR(ER371*1,0)+IFERROR(FE371*1,0)</f>
        <v>0</v>
      </c>
      <c r="FP371" s="34">
        <f t="shared" si="364"/>
        <v>0</v>
      </c>
      <c r="FQ371" s="34">
        <f t="shared" si="364"/>
        <v>0</v>
      </c>
      <c r="FR371" s="34">
        <f t="shared" si="364"/>
        <v>0</v>
      </c>
      <c r="FS371" s="34">
        <f t="shared" si="364"/>
        <v>0</v>
      </c>
      <c r="FT371" s="34">
        <f t="shared" si="364"/>
        <v>0</v>
      </c>
      <c r="FU371" s="34">
        <f t="shared" si="364"/>
        <v>0</v>
      </c>
      <c r="FV371" s="34">
        <f t="shared" si="364"/>
        <v>0</v>
      </c>
      <c r="FW371" s="28"/>
      <c r="FX371" s="29">
        <f t="shared" si="3"/>
        <v>0</v>
      </c>
    </row>
    <row r="372" spans="1:180" ht="18" customHeight="1" x14ac:dyDescent="0.25">
      <c r="A372" s="3" t="str">
        <f>IF(C372&lt;&gt;"","DRG-"&amp;TEXT(367,"000"),"")</f>
        <v/>
      </c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38">
        <v>4</v>
      </c>
      <c r="M372" s="23" t="str">
        <f t="shared" si="0"/>
        <v>✘ Pending</v>
      </c>
      <c r="N372" s="23">
        <f t="shared" si="1"/>
        <v>0</v>
      </c>
      <c r="O372" s="25"/>
      <c r="P372" s="26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  <c r="AB372" s="25"/>
      <c r="AC372" s="26"/>
      <c r="AD372" s="24"/>
      <c r="AE372" s="24"/>
      <c r="AF372" s="24"/>
      <c r="AG372" s="24"/>
      <c r="AH372" s="24"/>
      <c r="AI372" s="24"/>
      <c r="AJ372" s="24"/>
      <c r="AK372" s="24"/>
      <c r="AL372" s="24"/>
      <c r="AM372" s="24"/>
      <c r="AN372" s="24"/>
      <c r="AO372" s="25"/>
      <c r="AP372" s="26"/>
      <c r="AQ372" s="24"/>
      <c r="AR372" s="24"/>
      <c r="AS372" s="24"/>
      <c r="AT372" s="24"/>
      <c r="AU372" s="24"/>
      <c r="AV372" s="24"/>
      <c r="AW372" s="24"/>
      <c r="AX372" s="24"/>
      <c r="AY372" s="24"/>
      <c r="AZ372" s="24"/>
      <c r="BA372" s="24"/>
      <c r="BB372" s="25"/>
      <c r="BC372" s="26"/>
      <c r="BD372" s="24"/>
      <c r="BE372" s="24"/>
      <c r="BF372" s="24"/>
      <c r="BG372" s="24"/>
      <c r="BH372" s="24"/>
      <c r="BI372" s="24"/>
      <c r="BJ372" s="24"/>
      <c r="BK372" s="24"/>
      <c r="BL372" s="24"/>
      <c r="BM372" s="24"/>
      <c r="BN372" s="24"/>
      <c r="BO372" s="25"/>
      <c r="BP372" s="26"/>
      <c r="BQ372" s="24"/>
      <c r="BR372" s="24"/>
      <c r="BS372" s="24"/>
      <c r="BT372" s="24"/>
      <c r="BU372" s="24"/>
      <c r="BV372" s="24"/>
      <c r="BW372" s="24"/>
      <c r="BX372" s="24"/>
      <c r="BY372" s="24"/>
      <c r="BZ372" s="24"/>
      <c r="CA372" s="24"/>
      <c r="CB372" s="25"/>
      <c r="CC372" s="26"/>
      <c r="CD372" s="24"/>
      <c r="CE372" s="24"/>
      <c r="CF372" s="24"/>
      <c r="CG372" s="24"/>
      <c r="CH372" s="24"/>
      <c r="CI372" s="24"/>
      <c r="CJ372" s="24"/>
      <c r="CK372" s="24"/>
      <c r="CL372" s="24"/>
      <c r="CM372" s="24"/>
      <c r="CN372" s="24"/>
      <c r="CO372" s="25"/>
      <c r="CP372" s="26"/>
      <c r="CQ372" s="24"/>
      <c r="CR372" s="24"/>
      <c r="CS372" s="24"/>
      <c r="CT372" s="24"/>
      <c r="CU372" s="24"/>
      <c r="CV372" s="24"/>
      <c r="CW372" s="24"/>
      <c r="CX372" s="24"/>
      <c r="CY372" s="24"/>
      <c r="CZ372" s="24"/>
      <c r="DA372" s="24"/>
      <c r="DB372" s="25"/>
      <c r="DC372" s="26"/>
      <c r="DD372" s="24"/>
      <c r="DE372" s="24"/>
      <c r="DF372" s="24"/>
      <c r="DG372" s="24"/>
      <c r="DH372" s="24"/>
      <c r="DI372" s="24"/>
      <c r="DJ372" s="24"/>
      <c r="DK372" s="24"/>
      <c r="DL372" s="24"/>
      <c r="DM372" s="24"/>
      <c r="DN372" s="24"/>
      <c r="DO372" s="25"/>
      <c r="DP372" s="26"/>
      <c r="DQ372" s="24"/>
      <c r="DR372" s="24"/>
      <c r="DS372" s="24"/>
      <c r="DT372" s="24"/>
      <c r="DU372" s="24"/>
      <c r="DV372" s="24"/>
      <c r="DW372" s="24"/>
      <c r="DX372" s="24"/>
      <c r="DY372" s="24"/>
      <c r="DZ372" s="24"/>
      <c r="EA372" s="24"/>
      <c r="EB372" s="25"/>
      <c r="EC372" s="26"/>
      <c r="ED372" s="24"/>
      <c r="EE372" s="24"/>
      <c r="EF372" s="24"/>
      <c r="EG372" s="24"/>
      <c r="EH372" s="24"/>
      <c r="EI372" s="24"/>
      <c r="EJ372" s="24"/>
      <c r="EK372" s="24"/>
      <c r="EL372" s="24"/>
      <c r="EM372" s="24"/>
      <c r="EN372" s="24"/>
      <c r="EO372" s="25"/>
      <c r="EP372" s="26"/>
      <c r="EQ372" s="24"/>
      <c r="ER372" s="24"/>
      <c r="ES372" s="24"/>
      <c r="ET372" s="24"/>
      <c r="EU372" s="24"/>
      <c r="EV372" s="24"/>
      <c r="EW372" s="24"/>
      <c r="EX372" s="24"/>
      <c r="EY372" s="24"/>
      <c r="EZ372" s="24"/>
      <c r="FA372" s="24"/>
      <c r="FB372" s="25"/>
      <c r="FC372" s="26"/>
      <c r="FD372" s="24"/>
      <c r="FE372" s="24"/>
      <c r="FF372" s="24"/>
      <c r="FG372" s="24"/>
      <c r="FH372" s="24"/>
      <c r="FI372" s="24"/>
      <c r="FJ372" s="24"/>
      <c r="FK372" s="24"/>
      <c r="FL372" s="24"/>
      <c r="FM372" s="24"/>
      <c r="FN372" s="24"/>
      <c r="FO372" s="27">
        <f t="shared" ref="FO372:FV372" si="365">IFERROR(R372*1,0)+IFERROR(AE372*1,0)+IFERROR(AR372*1,0)+IFERROR(BE372*1,0)+IFERROR(BR372*1,0)+IFERROR(CE372*1,0)+IFERROR(CR372*1,0)+IFERROR(DE372*1,0)+IFERROR(DR372*1,0)+IFERROR(EE372*1,0)+IFERROR(ER372*1,0)+IFERROR(FE372*1,0)</f>
        <v>0</v>
      </c>
      <c r="FP372" s="27">
        <f t="shared" si="365"/>
        <v>0</v>
      </c>
      <c r="FQ372" s="27">
        <f t="shared" si="365"/>
        <v>0</v>
      </c>
      <c r="FR372" s="27">
        <f t="shared" si="365"/>
        <v>0</v>
      </c>
      <c r="FS372" s="27">
        <f t="shared" si="365"/>
        <v>0</v>
      </c>
      <c r="FT372" s="27">
        <f t="shared" si="365"/>
        <v>0</v>
      </c>
      <c r="FU372" s="27">
        <f t="shared" si="365"/>
        <v>0</v>
      </c>
      <c r="FV372" s="27">
        <f t="shared" si="365"/>
        <v>0</v>
      </c>
      <c r="FW372" s="28"/>
      <c r="FX372" s="29">
        <f t="shared" si="3"/>
        <v>0</v>
      </c>
    </row>
    <row r="373" spans="1:180" ht="18" customHeight="1" x14ac:dyDescent="0.25">
      <c r="A373" s="3" t="str">
        <f>IF(C373&lt;&gt;"","DRG-"&amp;TEXT(368,"000"),"")</f>
        <v/>
      </c>
      <c r="B373" s="33"/>
      <c r="C373" s="33"/>
      <c r="D373" s="33"/>
      <c r="E373" s="33"/>
      <c r="F373" s="33"/>
      <c r="G373" s="33"/>
      <c r="H373" s="33"/>
      <c r="I373" s="33"/>
      <c r="J373" s="33"/>
      <c r="K373" s="33"/>
      <c r="L373" s="37">
        <v>4</v>
      </c>
      <c r="M373" s="30" t="str">
        <f t="shared" si="0"/>
        <v>✘ Pending</v>
      </c>
      <c r="N373" s="30">
        <f t="shared" si="1"/>
        <v>0</v>
      </c>
      <c r="O373" s="31"/>
      <c r="P373" s="32"/>
      <c r="Q373" s="33"/>
      <c r="R373" s="33"/>
      <c r="S373" s="33"/>
      <c r="T373" s="33"/>
      <c r="U373" s="33"/>
      <c r="V373" s="33"/>
      <c r="W373" s="33"/>
      <c r="X373" s="33"/>
      <c r="Y373" s="33"/>
      <c r="Z373" s="33"/>
      <c r="AA373" s="33"/>
      <c r="AB373" s="31"/>
      <c r="AC373" s="32"/>
      <c r="AD373" s="33"/>
      <c r="AE373" s="33"/>
      <c r="AF373" s="33"/>
      <c r="AG373" s="33"/>
      <c r="AH373" s="33"/>
      <c r="AI373" s="33"/>
      <c r="AJ373" s="33"/>
      <c r="AK373" s="33"/>
      <c r="AL373" s="33"/>
      <c r="AM373" s="33"/>
      <c r="AN373" s="33"/>
      <c r="AO373" s="31"/>
      <c r="AP373" s="32"/>
      <c r="AQ373" s="33"/>
      <c r="AR373" s="33"/>
      <c r="AS373" s="33"/>
      <c r="AT373" s="33"/>
      <c r="AU373" s="33"/>
      <c r="AV373" s="33"/>
      <c r="AW373" s="33"/>
      <c r="AX373" s="33"/>
      <c r="AY373" s="33"/>
      <c r="AZ373" s="33"/>
      <c r="BA373" s="33"/>
      <c r="BB373" s="31"/>
      <c r="BC373" s="32"/>
      <c r="BD373" s="33"/>
      <c r="BE373" s="33"/>
      <c r="BF373" s="33"/>
      <c r="BG373" s="33"/>
      <c r="BH373" s="33"/>
      <c r="BI373" s="33"/>
      <c r="BJ373" s="33"/>
      <c r="BK373" s="33"/>
      <c r="BL373" s="33"/>
      <c r="BM373" s="33"/>
      <c r="BN373" s="33"/>
      <c r="BO373" s="31"/>
      <c r="BP373" s="32"/>
      <c r="BQ373" s="33"/>
      <c r="BR373" s="33"/>
      <c r="BS373" s="33"/>
      <c r="BT373" s="33"/>
      <c r="BU373" s="33"/>
      <c r="BV373" s="33"/>
      <c r="BW373" s="33"/>
      <c r="BX373" s="33"/>
      <c r="BY373" s="33"/>
      <c r="BZ373" s="33"/>
      <c r="CA373" s="33"/>
      <c r="CB373" s="31"/>
      <c r="CC373" s="32"/>
      <c r="CD373" s="33"/>
      <c r="CE373" s="33"/>
      <c r="CF373" s="33"/>
      <c r="CG373" s="33"/>
      <c r="CH373" s="33"/>
      <c r="CI373" s="33"/>
      <c r="CJ373" s="33"/>
      <c r="CK373" s="33"/>
      <c r="CL373" s="33"/>
      <c r="CM373" s="33"/>
      <c r="CN373" s="33"/>
      <c r="CO373" s="31"/>
      <c r="CP373" s="32"/>
      <c r="CQ373" s="33"/>
      <c r="CR373" s="33"/>
      <c r="CS373" s="33"/>
      <c r="CT373" s="33"/>
      <c r="CU373" s="33"/>
      <c r="CV373" s="33"/>
      <c r="CW373" s="33"/>
      <c r="CX373" s="33"/>
      <c r="CY373" s="33"/>
      <c r="CZ373" s="33"/>
      <c r="DA373" s="33"/>
      <c r="DB373" s="31"/>
      <c r="DC373" s="32"/>
      <c r="DD373" s="33"/>
      <c r="DE373" s="33"/>
      <c r="DF373" s="33"/>
      <c r="DG373" s="33"/>
      <c r="DH373" s="33"/>
      <c r="DI373" s="33"/>
      <c r="DJ373" s="33"/>
      <c r="DK373" s="33"/>
      <c r="DL373" s="33"/>
      <c r="DM373" s="33"/>
      <c r="DN373" s="33"/>
      <c r="DO373" s="31"/>
      <c r="DP373" s="32"/>
      <c r="DQ373" s="33"/>
      <c r="DR373" s="33"/>
      <c r="DS373" s="33"/>
      <c r="DT373" s="33"/>
      <c r="DU373" s="33"/>
      <c r="DV373" s="33"/>
      <c r="DW373" s="33"/>
      <c r="DX373" s="33"/>
      <c r="DY373" s="33"/>
      <c r="DZ373" s="33"/>
      <c r="EA373" s="33"/>
      <c r="EB373" s="31"/>
      <c r="EC373" s="32"/>
      <c r="ED373" s="33"/>
      <c r="EE373" s="33"/>
      <c r="EF373" s="33"/>
      <c r="EG373" s="33"/>
      <c r="EH373" s="33"/>
      <c r="EI373" s="33"/>
      <c r="EJ373" s="33"/>
      <c r="EK373" s="33"/>
      <c r="EL373" s="33"/>
      <c r="EM373" s="33"/>
      <c r="EN373" s="33"/>
      <c r="EO373" s="31"/>
      <c r="EP373" s="32"/>
      <c r="EQ373" s="33"/>
      <c r="ER373" s="33"/>
      <c r="ES373" s="33"/>
      <c r="ET373" s="33"/>
      <c r="EU373" s="33"/>
      <c r="EV373" s="33"/>
      <c r="EW373" s="33"/>
      <c r="EX373" s="33"/>
      <c r="EY373" s="33"/>
      <c r="EZ373" s="33"/>
      <c r="FA373" s="33"/>
      <c r="FB373" s="31"/>
      <c r="FC373" s="32"/>
      <c r="FD373" s="33"/>
      <c r="FE373" s="33"/>
      <c r="FF373" s="33"/>
      <c r="FG373" s="33"/>
      <c r="FH373" s="33"/>
      <c r="FI373" s="33"/>
      <c r="FJ373" s="33"/>
      <c r="FK373" s="33"/>
      <c r="FL373" s="33"/>
      <c r="FM373" s="33"/>
      <c r="FN373" s="33"/>
      <c r="FO373" s="34">
        <f t="shared" ref="FO373:FV373" si="366">IFERROR(R373*1,0)+IFERROR(AE373*1,0)+IFERROR(AR373*1,0)+IFERROR(BE373*1,0)+IFERROR(BR373*1,0)+IFERROR(CE373*1,0)+IFERROR(CR373*1,0)+IFERROR(DE373*1,0)+IFERROR(DR373*1,0)+IFERROR(EE373*1,0)+IFERROR(ER373*1,0)+IFERROR(FE373*1,0)</f>
        <v>0</v>
      </c>
      <c r="FP373" s="34">
        <f t="shared" si="366"/>
        <v>0</v>
      </c>
      <c r="FQ373" s="34">
        <f t="shared" si="366"/>
        <v>0</v>
      </c>
      <c r="FR373" s="34">
        <f t="shared" si="366"/>
        <v>0</v>
      </c>
      <c r="FS373" s="34">
        <f t="shared" si="366"/>
        <v>0</v>
      </c>
      <c r="FT373" s="34">
        <f t="shared" si="366"/>
        <v>0</v>
      </c>
      <c r="FU373" s="34">
        <f t="shared" si="366"/>
        <v>0</v>
      </c>
      <c r="FV373" s="34">
        <f t="shared" si="366"/>
        <v>0</v>
      </c>
      <c r="FW373" s="28"/>
      <c r="FX373" s="29">
        <f t="shared" si="3"/>
        <v>0</v>
      </c>
    </row>
    <row r="374" spans="1:180" ht="18" customHeight="1" x14ac:dyDescent="0.25">
      <c r="A374" s="3" t="str">
        <f>IF(C374&lt;&gt;"","DRG-"&amp;TEXT(369,"000"),"")</f>
        <v/>
      </c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38">
        <v>4</v>
      </c>
      <c r="M374" s="23" t="str">
        <f t="shared" si="0"/>
        <v>✘ Pending</v>
      </c>
      <c r="N374" s="23">
        <f t="shared" si="1"/>
        <v>0</v>
      </c>
      <c r="O374" s="25"/>
      <c r="P374" s="26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  <c r="AB374" s="25"/>
      <c r="AC374" s="26"/>
      <c r="AD374" s="24"/>
      <c r="AE374" s="24"/>
      <c r="AF374" s="24"/>
      <c r="AG374" s="24"/>
      <c r="AH374" s="24"/>
      <c r="AI374" s="24"/>
      <c r="AJ374" s="24"/>
      <c r="AK374" s="24"/>
      <c r="AL374" s="24"/>
      <c r="AM374" s="24"/>
      <c r="AN374" s="24"/>
      <c r="AO374" s="25"/>
      <c r="AP374" s="26"/>
      <c r="AQ374" s="24"/>
      <c r="AR374" s="24"/>
      <c r="AS374" s="24"/>
      <c r="AT374" s="24"/>
      <c r="AU374" s="24"/>
      <c r="AV374" s="24"/>
      <c r="AW374" s="24"/>
      <c r="AX374" s="24"/>
      <c r="AY374" s="24"/>
      <c r="AZ374" s="24"/>
      <c r="BA374" s="24"/>
      <c r="BB374" s="25"/>
      <c r="BC374" s="26"/>
      <c r="BD374" s="24"/>
      <c r="BE374" s="24"/>
      <c r="BF374" s="24"/>
      <c r="BG374" s="24"/>
      <c r="BH374" s="24"/>
      <c r="BI374" s="24"/>
      <c r="BJ374" s="24"/>
      <c r="BK374" s="24"/>
      <c r="BL374" s="24"/>
      <c r="BM374" s="24"/>
      <c r="BN374" s="24"/>
      <c r="BO374" s="25"/>
      <c r="BP374" s="26"/>
      <c r="BQ374" s="24"/>
      <c r="BR374" s="24"/>
      <c r="BS374" s="24"/>
      <c r="BT374" s="24"/>
      <c r="BU374" s="24"/>
      <c r="BV374" s="24"/>
      <c r="BW374" s="24"/>
      <c r="BX374" s="24"/>
      <c r="BY374" s="24"/>
      <c r="BZ374" s="24"/>
      <c r="CA374" s="24"/>
      <c r="CB374" s="25"/>
      <c r="CC374" s="26"/>
      <c r="CD374" s="24"/>
      <c r="CE374" s="24"/>
      <c r="CF374" s="24"/>
      <c r="CG374" s="24"/>
      <c r="CH374" s="24"/>
      <c r="CI374" s="24"/>
      <c r="CJ374" s="24"/>
      <c r="CK374" s="24"/>
      <c r="CL374" s="24"/>
      <c r="CM374" s="24"/>
      <c r="CN374" s="24"/>
      <c r="CO374" s="25"/>
      <c r="CP374" s="26"/>
      <c r="CQ374" s="24"/>
      <c r="CR374" s="24"/>
      <c r="CS374" s="24"/>
      <c r="CT374" s="24"/>
      <c r="CU374" s="24"/>
      <c r="CV374" s="24"/>
      <c r="CW374" s="24"/>
      <c r="CX374" s="24"/>
      <c r="CY374" s="24"/>
      <c r="CZ374" s="24"/>
      <c r="DA374" s="24"/>
      <c r="DB374" s="25"/>
      <c r="DC374" s="26"/>
      <c r="DD374" s="24"/>
      <c r="DE374" s="24"/>
      <c r="DF374" s="24"/>
      <c r="DG374" s="24"/>
      <c r="DH374" s="24"/>
      <c r="DI374" s="24"/>
      <c r="DJ374" s="24"/>
      <c r="DK374" s="24"/>
      <c r="DL374" s="24"/>
      <c r="DM374" s="24"/>
      <c r="DN374" s="24"/>
      <c r="DO374" s="25"/>
      <c r="DP374" s="26"/>
      <c r="DQ374" s="24"/>
      <c r="DR374" s="24"/>
      <c r="DS374" s="24"/>
      <c r="DT374" s="24"/>
      <c r="DU374" s="24"/>
      <c r="DV374" s="24"/>
      <c r="DW374" s="24"/>
      <c r="DX374" s="24"/>
      <c r="DY374" s="24"/>
      <c r="DZ374" s="24"/>
      <c r="EA374" s="24"/>
      <c r="EB374" s="25"/>
      <c r="EC374" s="26"/>
      <c r="ED374" s="24"/>
      <c r="EE374" s="24"/>
      <c r="EF374" s="24"/>
      <c r="EG374" s="24"/>
      <c r="EH374" s="24"/>
      <c r="EI374" s="24"/>
      <c r="EJ374" s="24"/>
      <c r="EK374" s="24"/>
      <c r="EL374" s="24"/>
      <c r="EM374" s="24"/>
      <c r="EN374" s="24"/>
      <c r="EO374" s="25"/>
      <c r="EP374" s="26"/>
      <c r="EQ374" s="24"/>
      <c r="ER374" s="24"/>
      <c r="ES374" s="24"/>
      <c r="ET374" s="24"/>
      <c r="EU374" s="24"/>
      <c r="EV374" s="24"/>
      <c r="EW374" s="24"/>
      <c r="EX374" s="24"/>
      <c r="EY374" s="24"/>
      <c r="EZ374" s="24"/>
      <c r="FA374" s="24"/>
      <c r="FB374" s="25"/>
      <c r="FC374" s="26"/>
      <c r="FD374" s="24"/>
      <c r="FE374" s="24"/>
      <c r="FF374" s="24"/>
      <c r="FG374" s="24"/>
      <c r="FH374" s="24"/>
      <c r="FI374" s="24"/>
      <c r="FJ374" s="24"/>
      <c r="FK374" s="24"/>
      <c r="FL374" s="24"/>
      <c r="FM374" s="24"/>
      <c r="FN374" s="24"/>
      <c r="FO374" s="27">
        <f t="shared" ref="FO374:FV374" si="367">IFERROR(R374*1,0)+IFERROR(AE374*1,0)+IFERROR(AR374*1,0)+IFERROR(BE374*1,0)+IFERROR(BR374*1,0)+IFERROR(CE374*1,0)+IFERROR(CR374*1,0)+IFERROR(DE374*1,0)+IFERROR(DR374*1,0)+IFERROR(EE374*1,0)+IFERROR(ER374*1,0)+IFERROR(FE374*1,0)</f>
        <v>0</v>
      </c>
      <c r="FP374" s="27">
        <f t="shared" si="367"/>
        <v>0</v>
      </c>
      <c r="FQ374" s="27">
        <f t="shared" si="367"/>
        <v>0</v>
      </c>
      <c r="FR374" s="27">
        <f t="shared" si="367"/>
        <v>0</v>
      </c>
      <c r="FS374" s="27">
        <f t="shared" si="367"/>
        <v>0</v>
      </c>
      <c r="FT374" s="27">
        <f t="shared" si="367"/>
        <v>0</v>
      </c>
      <c r="FU374" s="27">
        <f t="shared" si="367"/>
        <v>0</v>
      </c>
      <c r="FV374" s="27">
        <f t="shared" si="367"/>
        <v>0</v>
      </c>
      <c r="FW374" s="28"/>
      <c r="FX374" s="29">
        <f t="shared" si="3"/>
        <v>0</v>
      </c>
    </row>
    <row r="375" spans="1:180" ht="18" customHeight="1" x14ac:dyDescent="0.25">
      <c r="A375" s="3" t="str">
        <f>IF(C375&lt;&gt;"","DRG-"&amp;TEXT(370,"000"),"")</f>
        <v/>
      </c>
      <c r="B375" s="33"/>
      <c r="C375" s="33"/>
      <c r="D375" s="33"/>
      <c r="E375" s="33"/>
      <c r="F375" s="33"/>
      <c r="G375" s="33"/>
      <c r="H375" s="33"/>
      <c r="I375" s="33"/>
      <c r="J375" s="33"/>
      <c r="K375" s="33"/>
      <c r="L375" s="37">
        <v>4</v>
      </c>
      <c r="M375" s="30" t="str">
        <f t="shared" si="0"/>
        <v>✘ Pending</v>
      </c>
      <c r="N375" s="30">
        <f t="shared" si="1"/>
        <v>0</v>
      </c>
      <c r="O375" s="31"/>
      <c r="P375" s="32"/>
      <c r="Q375" s="33"/>
      <c r="R375" s="33"/>
      <c r="S375" s="33"/>
      <c r="T375" s="33"/>
      <c r="U375" s="33"/>
      <c r="V375" s="33"/>
      <c r="W375" s="33"/>
      <c r="X375" s="33"/>
      <c r="Y375" s="33"/>
      <c r="Z375" s="33"/>
      <c r="AA375" s="33"/>
      <c r="AB375" s="31"/>
      <c r="AC375" s="32"/>
      <c r="AD375" s="33"/>
      <c r="AE375" s="33"/>
      <c r="AF375" s="33"/>
      <c r="AG375" s="33"/>
      <c r="AH375" s="33"/>
      <c r="AI375" s="33"/>
      <c r="AJ375" s="33"/>
      <c r="AK375" s="33"/>
      <c r="AL375" s="33"/>
      <c r="AM375" s="33"/>
      <c r="AN375" s="33"/>
      <c r="AO375" s="31"/>
      <c r="AP375" s="32"/>
      <c r="AQ375" s="33"/>
      <c r="AR375" s="33"/>
      <c r="AS375" s="33"/>
      <c r="AT375" s="33"/>
      <c r="AU375" s="33"/>
      <c r="AV375" s="33"/>
      <c r="AW375" s="33"/>
      <c r="AX375" s="33"/>
      <c r="AY375" s="33"/>
      <c r="AZ375" s="33"/>
      <c r="BA375" s="33"/>
      <c r="BB375" s="31"/>
      <c r="BC375" s="32"/>
      <c r="BD375" s="33"/>
      <c r="BE375" s="33"/>
      <c r="BF375" s="33"/>
      <c r="BG375" s="33"/>
      <c r="BH375" s="33"/>
      <c r="BI375" s="33"/>
      <c r="BJ375" s="33"/>
      <c r="BK375" s="33"/>
      <c r="BL375" s="33"/>
      <c r="BM375" s="33"/>
      <c r="BN375" s="33"/>
      <c r="BO375" s="31"/>
      <c r="BP375" s="32"/>
      <c r="BQ375" s="33"/>
      <c r="BR375" s="33"/>
      <c r="BS375" s="33"/>
      <c r="BT375" s="33"/>
      <c r="BU375" s="33"/>
      <c r="BV375" s="33"/>
      <c r="BW375" s="33"/>
      <c r="BX375" s="33"/>
      <c r="BY375" s="33"/>
      <c r="BZ375" s="33"/>
      <c r="CA375" s="33"/>
      <c r="CB375" s="31"/>
      <c r="CC375" s="32"/>
      <c r="CD375" s="33"/>
      <c r="CE375" s="33"/>
      <c r="CF375" s="33"/>
      <c r="CG375" s="33"/>
      <c r="CH375" s="33"/>
      <c r="CI375" s="33"/>
      <c r="CJ375" s="33"/>
      <c r="CK375" s="33"/>
      <c r="CL375" s="33"/>
      <c r="CM375" s="33"/>
      <c r="CN375" s="33"/>
      <c r="CO375" s="31"/>
      <c r="CP375" s="32"/>
      <c r="CQ375" s="33"/>
      <c r="CR375" s="33"/>
      <c r="CS375" s="33"/>
      <c r="CT375" s="33"/>
      <c r="CU375" s="33"/>
      <c r="CV375" s="33"/>
      <c r="CW375" s="33"/>
      <c r="CX375" s="33"/>
      <c r="CY375" s="33"/>
      <c r="CZ375" s="33"/>
      <c r="DA375" s="33"/>
      <c r="DB375" s="31"/>
      <c r="DC375" s="32"/>
      <c r="DD375" s="33"/>
      <c r="DE375" s="33"/>
      <c r="DF375" s="33"/>
      <c r="DG375" s="33"/>
      <c r="DH375" s="33"/>
      <c r="DI375" s="33"/>
      <c r="DJ375" s="33"/>
      <c r="DK375" s="33"/>
      <c r="DL375" s="33"/>
      <c r="DM375" s="33"/>
      <c r="DN375" s="33"/>
      <c r="DO375" s="31"/>
      <c r="DP375" s="32"/>
      <c r="DQ375" s="33"/>
      <c r="DR375" s="33"/>
      <c r="DS375" s="33"/>
      <c r="DT375" s="33"/>
      <c r="DU375" s="33"/>
      <c r="DV375" s="33"/>
      <c r="DW375" s="33"/>
      <c r="DX375" s="33"/>
      <c r="DY375" s="33"/>
      <c r="DZ375" s="33"/>
      <c r="EA375" s="33"/>
      <c r="EB375" s="31"/>
      <c r="EC375" s="32"/>
      <c r="ED375" s="33"/>
      <c r="EE375" s="33"/>
      <c r="EF375" s="33"/>
      <c r="EG375" s="33"/>
      <c r="EH375" s="33"/>
      <c r="EI375" s="33"/>
      <c r="EJ375" s="33"/>
      <c r="EK375" s="33"/>
      <c r="EL375" s="33"/>
      <c r="EM375" s="33"/>
      <c r="EN375" s="33"/>
      <c r="EO375" s="31"/>
      <c r="EP375" s="32"/>
      <c r="EQ375" s="33"/>
      <c r="ER375" s="33"/>
      <c r="ES375" s="33"/>
      <c r="ET375" s="33"/>
      <c r="EU375" s="33"/>
      <c r="EV375" s="33"/>
      <c r="EW375" s="33"/>
      <c r="EX375" s="33"/>
      <c r="EY375" s="33"/>
      <c r="EZ375" s="33"/>
      <c r="FA375" s="33"/>
      <c r="FB375" s="31"/>
      <c r="FC375" s="32"/>
      <c r="FD375" s="33"/>
      <c r="FE375" s="33"/>
      <c r="FF375" s="33"/>
      <c r="FG375" s="33"/>
      <c r="FH375" s="33"/>
      <c r="FI375" s="33"/>
      <c r="FJ375" s="33"/>
      <c r="FK375" s="33"/>
      <c r="FL375" s="33"/>
      <c r="FM375" s="33"/>
      <c r="FN375" s="33"/>
      <c r="FO375" s="34">
        <f t="shared" ref="FO375:FV375" si="368">IFERROR(R375*1,0)+IFERROR(AE375*1,0)+IFERROR(AR375*1,0)+IFERROR(BE375*1,0)+IFERROR(BR375*1,0)+IFERROR(CE375*1,0)+IFERROR(CR375*1,0)+IFERROR(DE375*1,0)+IFERROR(DR375*1,0)+IFERROR(EE375*1,0)+IFERROR(ER375*1,0)+IFERROR(FE375*1,0)</f>
        <v>0</v>
      </c>
      <c r="FP375" s="34">
        <f t="shared" si="368"/>
        <v>0</v>
      </c>
      <c r="FQ375" s="34">
        <f t="shared" si="368"/>
        <v>0</v>
      </c>
      <c r="FR375" s="34">
        <f t="shared" si="368"/>
        <v>0</v>
      </c>
      <c r="FS375" s="34">
        <f t="shared" si="368"/>
        <v>0</v>
      </c>
      <c r="FT375" s="34">
        <f t="shared" si="368"/>
        <v>0</v>
      </c>
      <c r="FU375" s="34">
        <f t="shared" si="368"/>
        <v>0</v>
      </c>
      <c r="FV375" s="34">
        <f t="shared" si="368"/>
        <v>0</v>
      </c>
      <c r="FW375" s="28"/>
      <c r="FX375" s="29">
        <f t="shared" si="3"/>
        <v>0</v>
      </c>
    </row>
    <row r="376" spans="1:180" ht="18" customHeight="1" x14ac:dyDescent="0.25">
      <c r="A376" s="3" t="str">
        <f>IF(C376&lt;&gt;"","DRG-"&amp;TEXT(371,"000"),"")</f>
        <v/>
      </c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38">
        <v>4</v>
      </c>
      <c r="M376" s="23" t="str">
        <f t="shared" si="0"/>
        <v>✘ Pending</v>
      </c>
      <c r="N376" s="23">
        <f t="shared" si="1"/>
        <v>0</v>
      </c>
      <c r="O376" s="25"/>
      <c r="P376" s="26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  <c r="AB376" s="25"/>
      <c r="AC376" s="26"/>
      <c r="AD376" s="24"/>
      <c r="AE376" s="24"/>
      <c r="AF376" s="24"/>
      <c r="AG376" s="24"/>
      <c r="AH376" s="24"/>
      <c r="AI376" s="24"/>
      <c r="AJ376" s="24"/>
      <c r="AK376" s="24"/>
      <c r="AL376" s="24"/>
      <c r="AM376" s="24"/>
      <c r="AN376" s="24"/>
      <c r="AO376" s="25"/>
      <c r="AP376" s="26"/>
      <c r="AQ376" s="24"/>
      <c r="AR376" s="24"/>
      <c r="AS376" s="24"/>
      <c r="AT376" s="24"/>
      <c r="AU376" s="24"/>
      <c r="AV376" s="24"/>
      <c r="AW376" s="24"/>
      <c r="AX376" s="24"/>
      <c r="AY376" s="24"/>
      <c r="AZ376" s="24"/>
      <c r="BA376" s="24"/>
      <c r="BB376" s="25"/>
      <c r="BC376" s="26"/>
      <c r="BD376" s="24"/>
      <c r="BE376" s="24"/>
      <c r="BF376" s="24"/>
      <c r="BG376" s="24"/>
      <c r="BH376" s="24"/>
      <c r="BI376" s="24"/>
      <c r="BJ376" s="24"/>
      <c r="BK376" s="24"/>
      <c r="BL376" s="24"/>
      <c r="BM376" s="24"/>
      <c r="BN376" s="24"/>
      <c r="BO376" s="25"/>
      <c r="BP376" s="26"/>
      <c r="BQ376" s="24"/>
      <c r="BR376" s="24"/>
      <c r="BS376" s="24"/>
      <c r="BT376" s="24"/>
      <c r="BU376" s="24"/>
      <c r="BV376" s="24"/>
      <c r="BW376" s="24"/>
      <c r="BX376" s="24"/>
      <c r="BY376" s="24"/>
      <c r="BZ376" s="24"/>
      <c r="CA376" s="24"/>
      <c r="CB376" s="25"/>
      <c r="CC376" s="26"/>
      <c r="CD376" s="24"/>
      <c r="CE376" s="24"/>
      <c r="CF376" s="24"/>
      <c r="CG376" s="24"/>
      <c r="CH376" s="24"/>
      <c r="CI376" s="24"/>
      <c r="CJ376" s="24"/>
      <c r="CK376" s="24"/>
      <c r="CL376" s="24"/>
      <c r="CM376" s="24"/>
      <c r="CN376" s="24"/>
      <c r="CO376" s="25"/>
      <c r="CP376" s="26"/>
      <c r="CQ376" s="24"/>
      <c r="CR376" s="24"/>
      <c r="CS376" s="24"/>
      <c r="CT376" s="24"/>
      <c r="CU376" s="24"/>
      <c r="CV376" s="24"/>
      <c r="CW376" s="24"/>
      <c r="CX376" s="24"/>
      <c r="CY376" s="24"/>
      <c r="CZ376" s="24"/>
      <c r="DA376" s="24"/>
      <c r="DB376" s="25"/>
      <c r="DC376" s="26"/>
      <c r="DD376" s="24"/>
      <c r="DE376" s="24"/>
      <c r="DF376" s="24"/>
      <c r="DG376" s="24"/>
      <c r="DH376" s="24"/>
      <c r="DI376" s="24"/>
      <c r="DJ376" s="24"/>
      <c r="DK376" s="24"/>
      <c r="DL376" s="24"/>
      <c r="DM376" s="24"/>
      <c r="DN376" s="24"/>
      <c r="DO376" s="25"/>
      <c r="DP376" s="26"/>
      <c r="DQ376" s="24"/>
      <c r="DR376" s="24"/>
      <c r="DS376" s="24"/>
      <c r="DT376" s="24"/>
      <c r="DU376" s="24"/>
      <c r="DV376" s="24"/>
      <c r="DW376" s="24"/>
      <c r="DX376" s="24"/>
      <c r="DY376" s="24"/>
      <c r="DZ376" s="24"/>
      <c r="EA376" s="24"/>
      <c r="EB376" s="25"/>
      <c r="EC376" s="26"/>
      <c r="ED376" s="24"/>
      <c r="EE376" s="24"/>
      <c r="EF376" s="24"/>
      <c r="EG376" s="24"/>
      <c r="EH376" s="24"/>
      <c r="EI376" s="24"/>
      <c r="EJ376" s="24"/>
      <c r="EK376" s="24"/>
      <c r="EL376" s="24"/>
      <c r="EM376" s="24"/>
      <c r="EN376" s="24"/>
      <c r="EO376" s="25"/>
      <c r="EP376" s="26"/>
      <c r="EQ376" s="24"/>
      <c r="ER376" s="24"/>
      <c r="ES376" s="24"/>
      <c r="ET376" s="24"/>
      <c r="EU376" s="24"/>
      <c r="EV376" s="24"/>
      <c r="EW376" s="24"/>
      <c r="EX376" s="24"/>
      <c r="EY376" s="24"/>
      <c r="EZ376" s="24"/>
      <c r="FA376" s="24"/>
      <c r="FB376" s="25"/>
      <c r="FC376" s="26"/>
      <c r="FD376" s="24"/>
      <c r="FE376" s="24"/>
      <c r="FF376" s="24"/>
      <c r="FG376" s="24"/>
      <c r="FH376" s="24"/>
      <c r="FI376" s="24"/>
      <c r="FJ376" s="24"/>
      <c r="FK376" s="24"/>
      <c r="FL376" s="24"/>
      <c r="FM376" s="24"/>
      <c r="FN376" s="24"/>
      <c r="FO376" s="27">
        <f t="shared" ref="FO376:FV376" si="369">IFERROR(R376*1,0)+IFERROR(AE376*1,0)+IFERROR(AR376*1,0)+IFERROR(BE376*1,0)+IFERROR(BR376*1,0)+IFERROR(CE376*1,0)+IFERROR(CR376*1,0)+IFERROR(DE376*1,0)+IFERROR(DR376*1,0)+IFERROR(EE376*1,0)+IFERROR(ER376*1,0)+IFERROR(FE376*1,0)</f>
        <v>0</v>
      </c>
      <c r="FP376" s="27">
        <f t="shared" si="369"/>
        <v>0</v>
      </c>
      <c r="FQ376" s="27">
        <f t="shared" si="369"/>
        <v>0</v>
      </c>
      <c r="FR376" s="27">
        <f t="shared" si="369"/>
        <v>0</v>
      </c>
      <c r="FS376" s="27">
        <f t="shared" si="369"/>
        <v>0</v>
      </c>
      <c r="FT376" s="27">
        <f t="shared" si="369"/>
        <v>0</v>
      </c>
      <c r="FU376" s="27">
        <f t="shared" si="369"/>
        <v>0</v>
      </c>
      <c r="FV376" s="27">
        <f t="shared" si="369"/>
        <v>0</v>
      </c>
      <c r="FW376" s="28"/>
      <c r="FX376" s="29">
        <f t="shared" si="3"/>
        <v>0</v>
      </c>
    </row>
    <row r="377" spans="1:180" ht="18" customHeight="1" x14ac:dyDescent="0.25">
      <c r="A377" s="3" t="str">
        <f>IF(C377&lt;&gt;"","DRG-"&amp;TEXT(372,"000"),"")</f>
        <v/>
      </c>
      <c r="B377" s="33"/>
      <c r="C377" s="33"/>
      <c r="D377" s="33"/>
      <c r="E377" s="33"/>
      <c r="F377" s="33"/>
      <c r="G377" s="33"/>
      <c r="H377" s="33"/>
      <c r="I377" s="33"/>
      <c r="J377" s="33"/>
      <c r="K377" s="33"/>
      <c r="L377" s="37">
        <v>4</v>
      </c>
      <c r="M377" s="30" t="str">
        <f t="shared" si="0"/>
        <v>✘ Pending</v>
      </c>
      <c r="N377" s="30">
        <f t="shared" si="1"/>
        <v>0</v>
      </c>
      <c r="O377" s="31"/>
      <c r="P377" s="32"/>
      <c r="Q377" s="33"/>
      <c r="R377" s="33"/>
      <c r="S377" s="33"/>
      <c r="T377" s="33"/>
      <c r="U377" s="33"/>
      <c r="V377" s="33"/>
      <c r="W377" s="33"/>
      <c r="X377" s="33"/>
      <c r="Y377" s="33"/>
      <c r="Z377" s="33"/>
      <c r="AA377" s="33"/>
      <c r="AB377" s="31"/>
      <c r="AC377" s="32"/>
      <c r="AD377" s="33"/>
      <c r="AE377" s="33"/>
      <c r="AF377" s="33"/>
      <c r="AG377" s="33"/>
      <c r="AH377" s="33"/>
      <c r="AI377" s="33"/>
      <c r="AJ377" s="33"/>
      <c r="AK377" s="33"/>
      <c r="AL377" s="33"/>
      <c r="AM377" s="33"/>
      <c r="AN377" s="33"/>
      <c r="AO377" s="31"/>
      <c r="AP377" s="32"/>
      <c r="AQ377" s="33"/>
      <c r="AR377" s="33"/>
      <c r="AS377" s="33"/>
      <c r="AT377" s="33"/>
      <c r="AU377" s="33"/>
      <c r="AV377" s="33"/>
      <c r="AW377" s="33"/>
      <c r="AX377" s="33"/>
      <c r="AY377" s="33"/>
      <c r="AZ377" s="33"/>
      <c r="BA377" s="33"/>
      <c r="BB377" s="31"/>
      <c r="BC377" s="32"/>
      <c r="BD377" s="33"/>
      <c r="BE377" s="33"/>
      <c r="BF377" s="33"/>
      <c r="BG377" s="33"/>
      <c r="BH377" s="33"/>
      <c r="BI377" s="33"/>
      <c r="BJ377" s="33"/>
      <c r="BK377" s="33"/>
      <c r="BL377" s="33"/>
      <c r="BM377" s="33"/>
      <c r="BN377" s="33"/>
      <c r="BO377" s="31"/>
      <c r="BP377" s="32"/>
      <c r="BQ377" s="33"/>
      <c r="BR377" s="33"/>
      <c r="BS377" s="33"/>
      <c r="BT377" s="33"/>
      <c r="BU377" s="33"/>
      <c r="BV377" s="33"/>
      <c r="BW377" s="33"/>
      <c r="BX377" s="33"/>
      <c r="BY377" s="33"/>
      <c r="BZ377" s="33"/>
      <c r="CA377" s="33"/>
      <c r="CB377" s="31"/>
      <c r="CC377" s="32"/>
      <c r="CD377" s="33"/>
      <c r="CE377" s="33"/>
      <c r="CF377" s="33"/>
      <c r="CG377" s="33"/>
      <c r="CH377" s="33"/>
      <c r="CI377" s="33"/>
      <c r="CJ377" s="33"/>
      <c r="CK377" s="33"/>
      <c r="CL377" s="33"/>
      <c r="CM377" s="33"/>
      <c r="CN377" s="33"/>
      <c r="CO377" s="31"/>
      <c r="CP377" s="32"/>
      <c r="CQ377" s="33"/>
      <c r="CR377" s="33"/>
      <c r="CS377" s="33"/>
      <c r="CT377" s="33"/>
      <c r="CU377" s="33"/>
      <c r="CV377" s="33"/>
      <c r="CW377" s="33"/>
      <c r="CX377" s="33"/>
      <c r="CY377" s="33"/>
      <c r="CZ377" s="33"/>
      <c r="DA377" s="33"/>
      <c r="DB377" s="31"/>
      <c r="DC377" s="32"/>
      <c r="DD377" s="33"/>
      <c r="DE377" s="33"/>
      <c r="DF377" s="33"/>
      <c r="DG377" s="33"/>
      <c r="DH377" s="33"/>
      <c r="DI377" s="33"/>
      <c r="DJ377" s="33"/>
      <c r="DK377" s="33"/>
      <c r="DL377" s="33"/>
      <c r="DM377" s="33"/>
      <c r="DN377" s="33"/>
      <c r="DO377" s="31"/>
      <c r="DP377" s="32"/>
      <c r="DQ377" s="33"/>
      <c r="DR377" s="33"/>
      <c r="DS377" s="33"/>
      <c r="DT377" s="33"/>
      <c r="DU377" s="33"/>
      <c r="DV377" s="33"/>
      <c r="DW377" s="33"/>
      <c r="DX377" s="33"/>
      <c r="DY377" s="33"/>
      <c r="DZ377" s="33"/>
      <c r="EA377" s="33"/>
      <c r="EB377" s="31"/>
      <c r="EC377" s="32"/>
      <c r="ED377" s="33"/>
      <c r="EE377" s="33"/>
      <c r="EF377" s="33"/>
      <c r="EG377" s="33"/>
      <c r="EH377" s="33"/>
      <c r="EI377" s="33"/>
      <c r="EJ377" s="33"/>
      <c r="EK377" s="33"/>
      <c r="EL377" s="33"/>
      <c r="EM377" s="33"/>
      <c r="EN377" s="33"/>
      <c r="EO377" s="31"/>
      <c r="EP377" s="32"/>
      <c r="EQ377" s="33"/>
      <c r="ER377" s="33"/>
      <c r="ES377" s="33"/>
      <c r="ET377" s="33"/>
      <c r="EU377" s="33"/>
      <c r="EV377" s="33"/>
      <c r="EW377" s="33"/>
      <c r="EX377" s="33"/>
      <c r="EY377" s="33"/>
      <c r="EZ377" s="33"/>
      <c r="FA377" s="33"/>
      <c r="FB377" s="31"/>
      <c r="FC377" s="32"/>
      <c r="FD377" s="33"/>
      <c r="FE377" s="33"/>
      <c r="FF377" s="33"/>
      <c r="FG377" s="33"/>
      <c r="FH377" s="33"/>
      <c r="FI377" s="33"/>
      <c r="FJ377" s="33"/>
      <c r="FK377" s="33"/>
      <c r="FL377" s="33"/>
      <c r="FM377" s="33"/>
      <c r="FN377" s="33"/>
      <c r="FO377" s="34">
        <f t="shared" ref="FO377:FV377" si="370">IFERROR(R377*1,0)+IFERROR(AE377*1,0)+IFERROR(AR377*1,0)+IFERROR(BE377*1,0)+IFERROR(BR377*1,0)+IFERROR(CE377*1,0)+IFERROR(CR377*1,0)+IFERROR(DE377*1,0)+IFERROR(DR377*1,0)+IFERROR(EE377*1,0)+IFERROR(ER377*1,0)+IFERROR(FE377*1,0)</f>
        <v>0</v>
      </c>
      <c r="FP377" s="34">
        <f t="shared" si="370"/>
        <v>0</v>
      </c>
      <c r="FQ377" s="34">
        <f t="shared" si="370"/>
        <v>0</v>
      </c>
      <c r="FR377" s="34">
        <f t="shared" si="370"/>
        <v>0</v>
      </c>
      <c r="FS377" s="34">
        <f t="shared" si="370"/>
        <v>0</v>
      </c>
      <c r="FT377" s="34">
        <f t="shared" si="370"/>
        <v>0</v>
      </c>
      <c r="FU377" s="34">
        <f t="shared" si="370"/>
        <v>0</v>
      </c>
      <c r="FV377" s="34">
        <f t="shared" si="370"/>
        <v>0</v>
      </c>
      <c r="FW377" s="28"/>
      <c r="FX377" s="29">
        <f t="shared" si="3"/>
        <v>0</v>
      </c>
    </row>
    <row r="378" spans="1:180" ht="18" customHeight="1" x14ac:dyDescent="0.25">
      <c r="A378" s="3" t="str">
        <f>IF(C378&lt;&gt;"","DRG-"&amp;TEXT(373,"000"),"")</f>
        <v/>
      </c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38">
        <v>4</v>
      </c>
      <c r="M378" s="23" t="str">
        <f t="shared" si="0"/>
        <v>✘ Pending</v>
      </c>
      <c r="N378" s="23">
        <f t="shared" si="1"/>
        <v>0</v>
      </c>
      <c r="O378" s="25"/>
      <c r="P378" s="26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  <c r="AB378" s="25"/>
      <c r="AC378" s="26"/>
      <c r="AD378" s="24"/>
      <c r="AE378" s="24"/>
      <c r="AF378" s="24"/>
      <c r="AG378" s="24"/>
      <c r="AH378" s="24"/>
      <c r="AI378" s="24"/>
      <c r="AJ378" s="24"/>
      <c r="AK378" s="24"/>
      <c r="AL378" s="24"/>
      <c r="AM378" s="24"/>
      <c r="AN378" s="24"/>
      <c r="AO378" s="25"/>
      <c r="AP378" s="26"/>
      <c r="AQ378" s="24"/>
      <c r="AR378" s="24"/>
      <c r="AS378" s="24"/>
      <c r="AT378" s="24"/>
      <c r="AU378" s="24"/>
      <c r="AV378" s="24"/>
      <c r="AW378" s="24"/>
      <c r="AX378" s="24"/>
      <c r="AY378" s="24"/>
      <c r="AZ378" s="24"/>
      <c r="BA378" s="24"/>
      <c r="BB378" s="25"/>
      <c r="BC378" s="26"/>
      <c r="BD378" s="24"/>
      <c r="BE378" s="24"/>
      <c r="BF378" s="24"/>
      <c r="BG378" s="24"/>
      <c r="BH378" s="24"/>
      <c r="BI378" s="24"/>
      <c r="BJ378" s="24"/>
      <c r="BK378" s="24"/>
      <c r="BL378" s="24"/>
      <c r="BM378" s="24"/>
      <c r="BN378" s="24"/>
      <c r="BO378" s="25"/>
      <c r="BP378" s="26"/>
      <c r="BQ378" s="24"/>
      <c r="BR378" s="24"/>
      <c r="BS378" s="24"/>
      <c r="BT378" s="24"/>
      <c r="BU378" s="24"/>
      <c r="BV378" s="24"/>
      <c r="BW378" s="24"/>
      <c r="BX378" s="24"/>
      <c r="BY378" s="24"/>
      <c r="BZ378" s="24"/>
      <c r="CA378" s="24"/>
      <c r="CB378" s="25"/>
      <c r="CC378" s="26"/>
      <c r="CD378" s="24"/>
      <c r="CE378" s="24"/>
      <c r="CF378" s="24"/>
      <c r="CG378" s="24"/>
      <c r="CH378" s="24"/>
      <c r="CI378" s="24"/>
      <c r="CJ378" s="24"/>
      <c r="CK378" s="24"/>
      <c r="CL378" s="24"/>
      <c r="CM378" s="24"/>
      <c r="CN378" s="24"/>
      <c r="CO378" s="25"/>
      <c r="CP378" s="26"/>
      <c r="CQ378" s="24"/>
      <c r="CR378" s="24"/>
      <c r="CS378" s="24"/>
      <c r="CT378" s="24"/>
      <c r="CU378" s="24"/>
      <c r="CV378" s="24"/>
      <c r="CW378" s="24"/>
      <c r="CX378" s="24"/>
      <c r="CY378" s="24"/>
      <c r="CZ378" s="24"/>
      <c r="DA378" s="24"/>
      <c r="DB378" s="25"/>
      <c r="DC378" s="26"/>
      <c r="DD378" s="24"/>
      <c r="DE378" s="24"/>
      <c r="DF378" s="24"/>
      <c r="DG378" s="24"/>
      <c r="DH378" s="24"/>
      <c r="DI378" s="24"/>
      <c r="DJ378" s="24"/>
      <c r="DK378" s="24"/>
      <c r="DL378" s="24"/>
      <c r="DM378" s="24"/>
      <c r="DN378" s="24"/>
      <c r="DO378" s="25"/>
      <c r="DP378" s="26"/>
      <c r="DQ378" s="24"/>
      <c r="DR378" s="24"/>
      <c r="DS378" s="24"/>
      <c r="DT378" s="24"/>
      <c r="DU378" s="24"/>
      <c r="DV378" s="24"/>
      <c r="DW378" s="24"/>
      <c r="DX378" s="24"/>
      <c r="DY378" s="24"/>
      <c r="DZ378" s="24"/>
      <c r="EA378" s="24"/>
      <c r="EB378" s="25"/>
      <c r="EC378" s="26"/>
      <c r="ED378" s="24"/>
      <c r="EE378" s="24"/>
      <c r="EF378" s="24"/>
      <c r="EG378" s="24"/>
      <c r="EH378" s="24"/>
      <c r="EI378" s="24"/>
      <c r="EJ378" s="24"/>
      <c r="EK378" s="24"/>
      <c r="EL378" s="24"/>
      <c r="EM378" s="24"/>
      <c r="EN378" s="24"/>
      <c r="EO378" s="25"/>
      <c r="EP378" s="26"/>
      <c r="EQ378" s="24"/>
      <c r="ER378" s="24"/>
      <c r="ES378" s="24"/>
      <c r="ET378" s="24"/>
      <c r="EU378" s="24"/>
      <c r="EV378" s="24"/>
      <c r="EW378" s="24"/>
      <c r="EX378" s="24"/>
      <c r="EY378" s="24"/>
      <c r="EZ378" s="24"/>
      <c r="FA378" s="24"/>
      <c r="FB378" s="25"/>
      <c r="FC378" s="26"/>
      <c r="FD378" s="24"/>
      <c r="FE378" s="24"/>
      <c r="FF378" s="24"/>
      <c r="FG378" s="24"/>
      <c r="FH378" s="24"/>
      <c r="FI378" s="24"/>
      <c r="FJ378" s="24"/>
      <c r="FK378" s="24"/>
      <c r="FL378" s="24"/>
      <c r="FM378" s="24"/>
      <c r="FN378" s="24"/>
      <c r="FO378" s="27">
        <f t="shared" ref="FO378:FV378" si="371">IFERROR(R378*1,0)+IFERROR(AE378*1,0)+IFERROR(AR378*1,0)+IFERROR(BE378*1,0)+IFERROR(BR378*1,0)+IFERROR(CE378*1,0)+IFERROR(CR378*1,0)+IFERROR(DE378*1,0)+IFERROR(DR378*1,0)+IFERROR(EE378*1,0)+IFERROR(ER378*1,0)+IFERROR(FE378*1,0)</f>
        <v>0</v>
      </c>
      <c r="FP378" s="27">
        <f t="shared" si="371"/>
        <v>0</v>
      </c>
      <c r="FQ378" s="27">
        <f t="shared" si="371"/>
        <v>0</v>
      </c>
      <c r="FR378" s="27">
        <f t="shared" si="371"/>
        <v>0</v>
      </c>
      <c r="FS378" s="27">
        <f t="shared" si="371"/>
        <v>0</v>
      </c>
      <c r="FT378" s="27">
        <f t="shared" si="371"/>
        <v>0</v>
      </c>
      <c r="FU378" s="27">
        <f t="shared" si="371"/>
        <v>0</v>
      </c>
      <c r="FV378" s="27">
        <f t="shared" si="371"/>
        <v>0</v>
      </c>
      <c r="FW378" s="28"/>
      <c r="FX378" s="29">
        <f t="shared" si="3"/>
        <v>0</v>
      </c>
    </row>
    <row r="379" spans="1:180" ht="18" customHeight="1" x14ac:dyDescent="0.25">
      <c r="A379" s="3" t="str">
        <f>IF(C379&lt;&gt;"","DRG-"&amp;TEXT(374,"000"),"")</f>
        <v/>
      </c>
      <c r="B379" s="33"/>
      <c r="C379" s="33"/>
      <c r="D379" s="33"/>
      <c r="E379" s="33"/>
      <c r="F379" s="33"/>
      <c r="G379" s="33"/>
      <c r="H379" s="33"/>
      <c r="I379" s="33"/>
      <c r="J379" s="33"/>
      <c r="K379" s="33"/>
      <c r="L379" s="37">
        <v>4</v>
      </c>
      <c r="M379" s="30" t="str">
        <f t="shared" si="0"/>
        <v>✘ Pending</v>
      </c>
      <c r="N379" s="30">
        <f t="shared" si="1"/>
        <v>0</v>
      </c>
      <c r="O379" s="31"/>
      <c r="P379" s="32"/>
      <c r="Q379" s="33"/>
      <c r="R379" s="33"/>
      <c r="S379" s="33"/>
      <c r="T379" s="33"/>
      <c r="U379" s="33"/>
      <c r="V379" s="33"/>
      <c r="W379" s="33"/>
      <c r="X379" s="33"/>
      <c r="Y379" s="33"/>
      <c r="Z379" s="33"/>
      <c r="AA379" s="33"/>
      <c r="AB379" s="31"/>
      <c r="AC379" s="32"/>
      <c r="AD379" s="33"/>
      <c r="AE379" s="33"/>
      <c r="AF379" s="33"/>
      <c r="AG379" s="33"/>
      <c r="AH379" s="33"/>
      <c r="AI379" s="33"/>
      <c r="AJ379" s="33"/>
      <c r="AK379" s="33"/>
      <c r="AL379" s="33"/>
      <c r="AM379" s="33"/>
      <c r="AN379" s="33"/>
      <c r="AO379" s="31"/>
      <c r="AP379" s="32"/>
      <c r="AQ379" s="33"/>
      <c r="AR379" s="33"/>
      <c r="AS379" s="33"/>
      <c r="AT379" s="33"/>
      <c r="AU379" s="33"/>
      <c r="AV379" s="33"/>
      <c r="AW379" s="33"/>
      <c r="AX379" s="33"/>
      <c r="AY379" s="33"/>
      <c r="AZ379" s="33"/>
      <c r="BA379" s="33"/>
      <c r="BB379" s="31"/>
      <c r="BC379" s="32"/>
      <c r="BD379" s="33"/>
      <c r="BE379" s="33"/>
      <c r="BF379" s="33"/>
      <c r="BG379" s="33"/>
      <c r="BH379" s="33"/>
      <c r="BI379" s="33"/>
      <c r="BJ379" s="33"/>
      <c r="BK379" s="33"/>
      <c r="BL379" s="33"/>
      <c r="BM379" s="33"/>
      <c r="BN379" s="33"/>
      <c r="BO379" s="31"/>
      <c r="BP379" s="32"/>
      <c r="BQ379" s="33"/>
      <c r="BR379" s="33"/>
      <c r="BS379" s="33"/>
      <c r="BT379" s="33"/>
      <c r="BU379" s="33"/>
      <c r="BV379" s="33"/>
      <c r="BW379" s="33"/>
      <c r="BX379" s="33"/>
      <c r="BY379" s="33"/>
      <c r="BZ379" s="33"/>
      <c r="CA379" s="33"/>
      <c r="CB379" s="31"/>
      <c r="CC379" s="32"/>
      <c r="CD379" s="33"/>
      <c r="CE379" s="33"/>
      <c r="CF379" s="33"/>
      <c r="CG379" s="33"/>
      <c r="CH379" s="33"/>
      <c r="CI379" s="33"/>
      <c r="CJ379" s="33"/>
      <c r="CK379" s="33"/>
      <c r="CL379" s="33"/>
      <c r="CM379" s="33"/>
      <c r="CN379" s="33"/>
      <c r="CO379" s="31"/>
      <c r="CP379" s="32"/>
      <c r="CQ379" s="33"/>
      <c r="CR379" s="33"/>
      <c r="CS379" s="33"/>
      <c r="CT379" s="33"/>
      <c r="CU379" s="33"/>
      <c r="CV379" s="33"/>
      <c r="CW379" s="33"/>
      <c r="CX379" s="33"/>
      <c r="CY379" s="33"/>
      <c r="CZ379" s="33"/>
      <c r="DA379" s="33"/>
      <c r="DB379" s="31"/>
      <c r="DC379" s="32"/>
      <c r="DD379" s="33"/>
      <c r="DE379" s="33"/>
      <c r="DF379" s="33"/>
      <c r="DG379" s="33"/>
      <c r="DH379" s="33"/>
      <c r="DI379" s="33"/>
      <c r="DJ379" s="33"/>
      <c r="DK379" s="33"/>
      <c r="DL379" s="33"/>
      <c r="DM379" s="33"/>
      <c r="DN379" s="33"/>
      <c r="DO379" s="31"/>
      <c r="DP379" s="32"/>
      <c r="DQ379" s="33"/>
      <c r="DR379" s="33"/>
      <c r="DS379" s="33"/>
      <c r="DT379" s="33"/>
      <c r="DU379" s="33"/>
      <c r="DV379" s="33"/>
      <c r="DW379" s="33"/>
      <c r="DX379" s="33"/>
      <c r="DY379" s="33"/>
      <c r="DZ379" s="33"/>
      <c r="EA379" s="33"/>
      <c r="EB379" s="31"/>
      <c r="EC379" s="32"/>
      <c r="ED379" s="33"/>
      <c r="EE379" s="33"/>
      <c r="EF379" s="33"/>
      <c r="EG379" s="33"/>
      <c r="EH379" s="33"/>
      <c r="EI379" s="33"/>
      <c r="EJ379" s="33"/>
      <c r="EK379" s="33"/>
      <c r="EL379" s="33"/>
      <c r="EM379" s="33"/>
      <c r="EN379" s="33"/>
      <c r="EO379" s="31"/>
      <c r="EP379" s="32"/>
      <c r="EQ379" s="33"/>
      <c r="ER379" s="33"/>
      <c r="ES379" s="33"/>
      <c r="ET379" s="33"/>
      <c r="EU379" s="33"/>
      <c r="EV379" s="33"/>
      <c r="EW379" s="33"/>
      <c r="EX379" s="33"/>
      <c r="EY379" s="33"/>
      <c r="EZ379" s="33"/>
      <c r="FA379" s="33"/>
      <c r="FB379" s="31"/>
      <c r="FC379" s="32"/>
      <c r="FD379" s="33"/>
      <c r="FE379" s="33"/>
      <c r="FF379" s="33"/>
      <c r="FG379" s="33"/>
      <c r="FH379" s="33"/>
      <c r="FI379" s="33"/>
      <c r="FJ379" s="33"/>
      <c r="FK379" s="33"/>
      <c r="FL379" s="33"/>
      <c r="FM379" s="33"/>
      <c r="FN379" s="33"/>
      <c r="FO379" s="34">
        <f t="shared" ref="FO379:FV379" si="372">IFERROR(R379*1,0)+IFERROR(AE379*1,0)+IFERROR(AR379*1,0)+IFERROR(BE379*1,0)+IFERROR(BR379*1,0)+IFERROR(CE379*1,0)+IFERROR(CR379*1,0)+IFERROR(DE379*1,0)+IFERROR(DR379*1,0)+IFERROR(EE379*1,0)+IFERROR(ER379*1,0)+IFERROR(FE379*1,0)</f>
        <v>0</v>
      </c>
      <c r="FP379" s="34">
        <f t="shared" si="372"/>
        <v>0</v>
      </c>
      <c r="FQ379" s="34">
        <f t="shared" si="372"/>
        <v>0</v>
      </c>
      <c r="FR379" s="34">
        <f t="shared" si="372"/>
        <v>0</v>
      </c>
      <c r="FS379" s="34">
        <f t="shared" si="372"/>
        <v>0</v>
      </c>
      <c r="FT379" s="34">
        <f t="shared" si="372"/>
        <v>0</v>
      </c>
      <c r="FU379" s="34">
        <f t="shared" si="372"/>
        <v>0</v>
      </c>
      <c r="FV379" s="34">
        <f t="shared" si="372"/>
        <v>0</v>
      </c>
      <c r="FW379" s="28"/>
      <c r="FX379" s="29">
        <f t="shared" si="3"/>
        <v>0</v>
      </c>
    </row>
    <row r="380" spans="1:180" ht="18" customHeight="1" x14ac:dyDescent="0.25">
      <c r="A380" s="3" t="str">
        <f>IF(C380&lt;&gt;"","DRG-"&amp;TEXT(375,"000"),"")</f>
        <v/>
      </c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38">
        <v>4</v>
      </c>
      <c r="M380" s="23" t="str">
        <f t="shared" si="0"/>
        <v>✘ Pending</v>
      </c>
      <c r="N380" s="23">
        <f t="shared" si="1"/>
        <v>0</v>
      </c>
      <c r="O380" s="25"/>
      <c r="P380" s="26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  <c r="AB380" s="25"/>
      <c r="AC380" s="26"/>
      <c r="AD380" s="24"/>
      <c r="AE380" s="24"/>
      <c r="AF380" s="24"/>
      <c r="AG380" s="24"/>
      <c r="AH380" s="24"/>
      <c r="AI380" s="24"/>
      <c r="AJ380" s="24"/>
      <c r="AK380" s="24"/>
      <c r="AL380" s="24"/>
      <c r="AM380" s="24"/>
      <c r="AN380" s="24"/>
      <c r="AO380" s="25"/>
      <c r="AP380" s="26"/>
      <c r="AQ380" s="24"/>
      <c r="AR380" s="24"/>
      <c r="AS380" s="24"/>
      <c r="AT380" s="24"/>
      <c r="AU380" s="24"/>
      <c r="AV380" s="24"/>
      <c r="AW380" s="24"/>
      <c r="AX380" s="24"/>
      <c r="AY380" s="24"/>
      <c r="AZ380" s="24"/>
      <c r="BA380" s="24"/>
      <c r="BB380" s="25"/>
      <c r="BC380" s="26"/>
      <c r="BD380" s="24"/>
      <c r="BE380" s="24"/>
      <c r="BF380" s="24"/>
      <c r="BG380" s="24"/>
      <c r="BH380" s="24"/>
      <c r="BI380" s="24"/>
      <c r="BJ380" s="24"/>
      <c r="BK380" s="24"/>
      <c r="BL380" s="24"/>
      <c r="BM380" s="24"/>
      <c r="BN380" s="24"/>
      <c r="BO380" s="25"/>
      <c r="BP380" s="26"/>
      <c r="BQ380" s="24"/>
      <c r="BR380" s="24"/>
      <c r="BS380" s="24"/>
      <c r="BT380" s="24"/>
      <c r="BU380" s="24"/>
      <c r="BV380" s="24"/>
      <c r="BW380" s="24"/>
      <c r="BX380" s="24"/>
      <c r="BY380" s="24"/>
      <c r="BZ380" s="24"/>
      <c r="CA380" s="24"/>
      <c r="CB380" s="25"/>
      <c r="CC380" s="26"/>
      <c r="CD380" s="24"/>
      <c r="CE380" s="24"/>
      <c r="CF380" s="24"/>
      <c r="CG380" s="24"/>
      <c r="CH380" s="24"/>
      <c r="CI380" s="24"/>
      <c r="CJ380" s="24"/>
      <c r="CK380" s="24"/>
      <c r="CL380" s="24"/>
      <c r="CM380" s="24"/>
      <c r="CN380" s="24"/>
      <c r="CO380" s="25"/>
      <c r="CP380" s="26"/>
      <c r="CQ380" s="24"/>
      <c r="CR380" s="24"/>
      <c r="CS380" s="24"/>
      <c r="CT380" s="24"/>
      <c r="CU380" s="24"/>
      <c r="CV380" s="24"/>
      <c r="CW380" s="24"/>
      <c r="CX380" s="24"/>
      <c r="CY380" s="24"/>
      <c r="CZ380" s="24"/>
      <c r="DA380" s="24"/>
      <c r="DB380" s="25"/>
      <c r="DC380" s="26"/>
      <c r="DD380" s="24"/>
      <c r="DE380" s="24"/>
      <c r="DF380" s="24"/>
      <c r="DG380" s="24"/>
      <c r="DH380" s="24"/>
      <c r="DI380" s="24"/>
      <c r="DJ380" s="24"/>
      <c r="DK380" s="24"/>
      <c r="DL380" s="24"/>
      <c r="DM380" s="24"/>
      <c r="DN380" s="24"/>
      <c r="DO380" s="25"/>
      <c r="DP380" s="26"/>
      <c r="DQ380" s="24"/>
      <c r="DR380" s="24"/>
      <c r="DS380" s="24"/>
      <c r="DT380" s="24"/>
      <c r="DU380" s="24"/>
      <c r="DV380" s="24"/>
      <c r="DW380" s="24"/>
      <c r="DX380" s="24"/>
      <c r="DY380" s="24"/>
      <c r="DZ380" s="24"/>
      <c r="EA380" s="24"/>
      <c r="EB380" s="25"/>
      <c r="EC380" s="26"/>
      <c r="ED380" s="24"/>
      <c r="EE380" s="24"/>
      <c r="EF380" s="24"/>
      <c r="EG380" s="24"/>
      <c r="EH380" s="24"/>
      <c r="EI380" s="24"/>
      <c r="EJ380" s="24"/>
      <c r="EK380" s="24"/>
      <c r="EL380" s="24"/>
      <c r="EM380" s="24"/>
      <c r="EN380" s="24"/>
      <c r="EO380" s="25"/>
      <c r="EP380" s="26"/>
      <c r="EQ380" s="24"/>
      <c r="ER380" s="24"/>
      <c r="ES380" s="24"/>
      <c r="ET380" s="24"/>
      <c r="EU380" s="24"/>
      <c r="EV380" s="24"/>
      <c r="EW380" s="24"/>
      <c r="EX380" s="24"/>
      <c r="EY380" s="24"/>
      <c r="EZ380" s="24"/>
      <c r="FA380" s="24"/>
      <c r="FB380" s="25"/>
      <c r="FC380" s="26"/>
      <c r="FD380" s="24"/>
      <c r="FE380" s="24"/>
      <c r="FF380" s="24"/>
      <c r="FG380" s="24"/>
      <c r="FH380" s="24"/>
      <c r="FI380" s="24"/>
      <c r="FJ380" s="24"/>
      <c r="FK380" s="24"/>
      <c r="FL380" s="24"/>
      <c r="FM380" s="24"/>
      <c r="FN380" s="24"/>
      <c r="FO380" s="27">
        <f t="shared" ref="FO380:FV380" si="373">IFERROR(R380*1,0)+IFERROR(AE380*1,0)+IFERROR(AR380*1,0)+IFERROR(BE380*1,0)+IFERROR(BR380*1,0)+IFERROR(CE380*1,0)+IFERROR(CR380*1,0)+IFERROR(DE380*1,0)+IFERROR(DR380*1,0)+IFERROR(EE380*1,0)+IFERROR(ER380*1,0)+IFERROR(FE380*1,0)</f>
        <v>0</v>
      </c>
      <c r="FP380" s="27">
        <f t="shared" si="373"/>
        <v>0</v>
      </c>
      <c r="FQ380" s="27">
        <f t="shared" si="373"/>
        <v>0</v>
      </c>
      <c r="FR380" s="27">
        <f t="shared" si="373"/>
        <v>0</v>
      </c>
      <c r="FS380" s="27">
        <f t="shared" si="373"/>
        <v>0</v>
      </c>
      <c r="FT380" s="27">
        <f t="shared" si="373"/>
        <v>0</v>
      </c>
      <c r="FU380" s="27">
        <f t="shared" si="373"/>
        <v>0</v>
      </c>
      <c r="FV380" s="27">
        <f t="shared" si="373"/>
        <v>0</v>
      </c>
      <c r="FW380" s="28"/>
      <c r="FX380" s="29">
        <f t="shared" si="3"/>
        <v>0</v>
      </c>
    </row>
    <row r="381" spans="1:180" ht="18" customHeight="1" x14ac:dyDescent="0.25">
      <c r="A381" s="3" t="str">
        <f>IF(C381&lt;&gt;"","DRG-"&amp;TEXT(376,"000"),"")</f>
        <v/>
      </c>
      <c r="B381" s="33"/>
      <c r="C381" s="33"/>
      <c r="D381" s="33"/>
      <c r="E381" s="33"/>
      <c r="F381" s="33"/>
      <c r="G381" s="33"/>
      <c r="H381" s="33"/>
      <c r="I381" s="33"/>
      <c r="J381" s="33"/>
      <c r="K381" s="33"/>
      <c r="L381" s="37">
        <v>4</v>
      </c>
      <c r="M381" s="30" t="str">
        <f t="shared" si="0"/>
        <v>✘ Pending</v>
      </c>
      <c r="N381" s="30">
        <f t="shared" si="1"/>
        <v>0</v>
      </c>
      <c r="O381" s="31"/>
      <c r="P381" s="32"/>
      <c r="Q381" s="33"/>
      <c r="R381" s="33"/>
      <c r="S381" s="33"/>
      <c r="T381" s="33"/>
      <c r="U381" s="33"/>
      <c r="V381" s="33"/>
      <c r="W381" s="33"/>
      <c r="X381" s="33"/>
      <c r="Y381" s="33"/>
      <c r="Z381" s="33"/>
      <c r="AA381" s="33"/>
      <c r="AB381" s="31"/>
      <c r="AC381" s="32"/>
      <c r="AD381" s="33"/>
      <c r="AE381" s="33"/>
      <c r="AF381" s="33"/>
      <c r="AG381" s="33"/>
      <c r="AH381" s="33"/>
      <c r="AI381" s="33"/>
      <c r="AJ381" s="33"/>
      <c r="AK381" s="33"/>
      <c r="AL381" s="33"/>
      <c r="AM381" s="33"/>
      <c r="AN381" s="33"/>
      <c r="AO381" s="31"/>
      <c r="AP381" s="32"/>
      <c r="AQ381" s="33"/>
      <c r="AR381" s="33"/>
      <c r="AS381" s="33"/>
      <c r="AT381" s="33"/>
      <c r="AU381" s="33"/>
      <c r="AV381" s="33"/>
      <c r="AW381" s="33"/>
      <c r="AX381" s="33"/>
      <c r="AY381" s="33"/>
      <c r="AZ381" s="33"/>
      <c r="BA381" s="33"/>
      <c r="BB381" s="31"/>
      <c r="BC381" s="32"/>
      <c r="BD381" s="33"/>
      <c r="BE381" s="33"/>
      <c r="BF381" s="33"/>
      <c r="BG381" s="33"/>
      <c r="BH381" s="33"/>
      <c r="BI381" s="33"/>
      <c r="BJ381" s="33"/>
      <c r="BK381" s="33"/>
      <c r="BL381" s="33"/>
      <c r="BM381" s="33"/>
      <c r="BN381" s="33"/>
      <c r="BO381" s="31"/>
      <c r="BP381" s="32"/>
      <c r="BQ381" s="33"/>
      <c r="BR381" s="33"/>
      <c r="BS381" s="33"/>
      <c r="BT381" s="33"/>
      <c r="BU381" s="33"/>
      <c r="BV381" s="33"/>
      <c r="BW381" s="33"/>
      <c r="BX381" s="33"/>
      <c r="BY381" s="33"/>
      <c r="BZ381" s="33"/>
      <c r="CA381" s="33"/>
      <c r="CB381" s="31"/>
      <c r="CC381" s="32"/>
      <c r="CD381" s="33"/>
      <c r="CE381" s="33"/>
      <c r="CF381" s="33"/>
      <c r="CG381" s="33"/>
      <c r="CH381" s="33"/>
      <c r="CI381" s="33"/>
      <c r="CJ381" s="33"/>
      <c r="CK381" s="33"/>
      <c r="CL381" s="33"/>
      <c r="CM381" s="33"/>
      <c r="CN381" s="33"/>
      <c r="CO381" s="31"/>
      <c r="CP381" s="32"/>
      <c r="CQ381" s="33"/>
      <c r="CR381" s="33"/>
      <c r="CS381" s="33"/>
      <c r="CT381" s="33"/>
      <c r="CU381" s="33"/>
      <c r="CV381" s="33"/>
      <c r="CW381" s="33"/>
      <c r="CX381" s="33"/>
      <c r="CY381" s="33"/>
      <c r="CZ381" s="33"/>
      <c r="DA381" s="33"/>
      <c r="DB381" s="31"/>
      <c r="DC381" s="32"/>
      <c r="DD381" s="33"/>
      <c r="DE381" s="33"/>
      <c r="DF381" s="33"/>
      <c r="DG381" s="33"/>
      <c r="DH381" s="33"/>
      <c r="DI381" s="33"/>
      <c r="DJ381" s="33"/>
      <c r="DK381" s="33"/>
      <c r="DL381" s="33"/>
      <c r="DM381" s="33"/>
      <c r="DN381" s="33"/>
      <c r="DO381" s="31"/>
      <c r="DP381" s="32"/>
      <c r="DQ381" s="33"/>
      <c r="DR381" s="33"/>
      <c r="DS381" s="33"/>
      <c r="DT381" s="33"/>
      <c r="DU381" s="33"/>
      <c r="DV381" s="33"/>
      <c r="DW381" s="33"/>
      <c r="DX381" s="33"/>
      <c r="DY381" s="33"/>
      <c r="DZ381" s="33"/>
      <c r="EA381" s="33"/>
      <c r="EB381" s="31"/>
      <c r="EC381" s="32"/>
      <c r="ED381" s="33"/>
      <c r="EE381" s="33"/>
      <c r="EF381" s="33"/>
      <c r="EG381" s="33"/>
      <c r="EH381" s="33"/>
      <c r="EI381" s="33"/>
      <c r="EJ381" s="33"/>
      <c r="EK381" s="33"/>
      <c r="EL381" s="33"/>
      <c r="EM381" s="33"/>
      <c r="EN381" s="33"/>
      <c r="EO381" s="31"/>
      <c r="EP381" s="32"/>
      <c r="EQ381" s="33"/>
      <c r="ER381" s="33"/>
      <c r="ES381" s="33"/>
      <c r="ET381" s="33"/>
      <c r="EU381" s="33"/>
      <c r="EV381" s="33"/>
      <c r="EW381" s="33"/>
      <c r="EX381" s="33"/>
      <c r="EY381" s="33"/>
      <c r="EZ381" s="33"/>
      <c r="FA381" s="33"/>
      <c r="FB381" s="31"/>
      <c r="FC381" s="32"/>
      <c r="FD381" s="33"/>
      <c r="FE381" s="33"/>
      <c r="FF381" s="33"/>
      <c r="FG381" s="33"/>
      <c r="FH381" s="33"/>
      <c r="FI381" s="33"/>
      <c r="FJ381" s="33"/>
      <c r="FK381" s="33"/>
      <c r="FL381" s="33"/>
      <c r="FM381" s="33"/>
      <c r="FN381" s="33"/>
      <c r="FO381" s="34">
        <f t="shared" ref="FO381:FV381" si="374">IFERROR(R381*1,0)+IFERROR(AE381*1,0)+IFERROR(AR381*1,0)+IFERROR(BE381*1,0)+IFERROR(BR381*1,0)+IFERROR(CE381*1,0)+IFERROR(CR381*1,0)+IFERROR(DE381*1,0)+IFERROR(DR381*1,0)+IFERROR(EE381*1,0)+IFERROR(ER381*1,0)+IFERROR(FE381*1,0)</f>
        <v>0</v>
      </c>
      <c r="FP381" s="34">
        <f t="shared" si="374"/>
        <v>0</v>
      </c>
      <c r="FQ381" s="34">
        <f t="shared" si="374"/>
        <v>0</v>
      </c>
      <c r="FR381" s="34">
        <f t="shared" si="374"/>
        <v>0</v>
      </c>
      <c r="FS381" s="34">
        <f t="shared" si="374"/>
        <v>0</v>
      </c>
      <c r="FT381" s="34">
        <f t="shared" si="374"/>
        <v>0</v>
      </c>
      <c r="FU381" s="34">
        <f t="shared" si="374"/>
        <v>0</v>
      </c>
      <c r="FV381" s="34">
        <f t="shared" si="374"/>
        <v>0</v>
      </c>
      <c r="FW381" s="28"/>
      <c r="FX381" s="29">
        <f t="shared" si="3"/>
        <v>0</v>
      </c>
    </row>
    <row r="382" spans="1:180" ht="18" customHeight="1" x14ac:dyDescent="0.25">
      <c r="A382" s="3" t="str">
        <f>IF(C382&lt;&gt;"","DRG-"&amp;TEXT(377,"000"),"")</f>
        <v/>
      </c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38">
        <v>4</v>
      </c>
      <c r="M382" s="23" t="str">
        <f t="shared" si="0"/>
        <v>✘ Pending</v>
      </c>
      <c r="N382" s="23">
        <f t="shared" si="1"/>
        <v>0</v>
      </c>
      <c r="O382" s="25"/>
      <c r="P382" s="26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  <c r="AB382" s="25"/>
      <c r="AC382" s="26"/>
      <c r="AD382" s="24"/>
      <c r="AE382" s="24"/>
      <c r="AF382" s="24"/>
      <c r="AG382" s="24"/>
      <c r="AH382" s="24"/>
      <c r="AI382" s="24"/>
      <c r="AJ382" s="24"/>
      <c r="AK382" s="24"/>
      <c r="AL382" s="24"/>
      <c r="AM382" s="24"/>
      <c r="AN382" s="24"/>
      <c r="AO382" s="25"/>
      <c r="AP382" s="26"/>
      <c r="AQ382" s="24"/>
      <c r="AR382" s="24"/>
      <c r="AS382" s="24"/>
      <c r="AT382" s="24"/>
      <c r="AU382" s="24"/>
      <c r="AV382" s="24"/>
      <c r="AW382" s="24"/>
      <c r="AX382" s="24"/>
      <c r="AY382" s="24"/>
      <c r="AZ382" s="24"/>
      <c r="BA382" s="24"/>
      <c r="BB382" s="25"/>
      <c r="BC382" s="26"/>
      <c r="BD382" s="24"/>
      <c r="BE382" s="24"/>
      <c r="BF382" s="24"/>
      <c r="BG382" s="24"/>
      <c r="BH382" s="24"/>
      <c r="BI382" s="24"/>
      <c r="BJ382" s="24"/>
      <c r="BK382" s="24"/>
      <c r="BL382" s="24"/>
      <c r="BM382" s="24"/>
      <c r="BN382" s="24"/>
      <c r="BO382" s="25"/>
      <c r="BP382" s="26"/>
      <c r="BQ382" s="24"/>
      <c r="BR382" s="24"/>
      <c r="BS382" s="24"/>
      <c r="BT382" s="24"/>
      <c r="BU382" s="24"/>
      <c r="BV382" s="24"/>
      <c r="BW382" s="24"/>
      <c r="BX382" s="24"/>
      <c r="BY382" s="24"/>
      <c r="BZ382" s="24"/>
      <c r="CA382" s="24"/>
      <c r="CB382" s="25"/>
      <c r="CC382" s="26"/>
      <c r="CD382" s="24"/>
      <c r="CE382" s="24"/>
      <c r="CF382" s="24"/>
      <c r="CG382" s="24"/>
      <c r="CH382" s="24"/>
      <c r="CI382" s="24"/>
      <c r="CJ382" s="24"/>
      <c r="CK382" s="24"/>
      <c r="CL382" s="24"/>
      <c r="CM382" s="24"/>
      <c r="CN382" s="24"/>
      <c r="CO382" s="25"/>
      <c r="CP382" s="26"/>
      <c r="CQ382" s="24"/>
      <c r="CR382" s="24"/>
      <c r="CS382" s="24"/>
      <c r="CT382" s="24"/>
      <c r="CU382" s="24"/>
      <c r="CV382" s="24"/>
      <c r="CW382" s="24"/>
      <c r="CX382" s="24"/>
      <c r="CY382" s="24"/>
      <c r="CZ382" s="24"/>
      <c r="DA382" s="24"/>
      <c r="DB382" s="25"/>
      <c r="DC382" s="26"/>
      <c r="DD382" s="24"/>
      <c r="DE382" s="24"/>
      <c r="DF382" s="24"/>
      <c r="DG382" s="24"/>
      <c r="DH382" s="24"/>
      <c r="DI382" s="24"/>
      <c r="DJ382" s="24"/>
      <c r="DK382" s="24"/>
      <c r="DL382" s="24"/>
      <c r="DM382" s="24"/>
      <c r="DN382" s="24"/>
      <c r="DO382" s="25"/>
      <c r="DP382" s="26"/>
      <c r="DQ382" s="24"/>
      <c r="DR382" s="24"/>
      <c r="DS382" s="24"/>
      <c r="DT382" s="24"/>
      <c r="DU382" s="24"/>
      <c r="DV382" s="24"/>
      <c r="DW382" s="24"/>
      <c r="DX382" s="24"/>
      <c r="DY382" s="24"/>
      <c r="DZ382" s="24"/>
      <c r="EA382" s="24"/>
      <c r="EB382" s="25"/>
      <c r="EC382" s="26"/>
      <c r="ED382" s="24"/>
      <c r="EE382" s="24"/>
      <c r="EF382" s="24"/>
      <c r="EG382" s="24"/>
      <c r="EH382" s="24"/>
      <c r="EI382" s="24"/>
      <c r="EJ382" s="24"/>
      <c r="EK382" s="24"/>
      <c r="EL382" s="24"/>
      <c r="EM382" s="24"/>
      <c r="EN382" s="24"/>
      <c r="EO382" s="25"/>
      <c r="EP382" s="26"/>
      <c r="EQ382" s="24"/>
      <c r="ER382" s="24"/>
      <c r="ES382" s="24"/>
      <c r="ET382" s="24"/>
      <c r="EU382" s="24"/>
      <c r="EV382" s="24"/>
      <c r="EW382" s="24"/>
      <c r="EX382" s="24"/>
      <c r="EY382" s="24"/>
      <c r="EZ382" s="24"/>
      <c r="FA382" s="24"/>
      <c r="FB382" s="25"/>
      <c r="FC382" s="26"/>
      <c r="FD382" s="24"/>
      <c r="FE382" s="24"/>
      <c r="FF382" s="24"/>
      <c r="FG382" s="24"/>
      <c r="FH382" s="24"/>
      <c r="FI382" s="24"/>
      <c r="FJ382" s="24"/>
      <c r="FK382" s="24"/>
      <c r="FL382" s="24"/>
      <c r="FM382" s="24"/>
      <c r="FN382" s="24"/>
      <c r="FO382" s="27">
        <f t="shared" ref="FO382:FV382" si="375">IFERROR(R382*1,0)+IFERROR(AE382*1,0)+IFERROR(AR382*1,0)+IFERROR(BE382*1,0)+IFERROR(BR382*1,0)+IFERROR(CE382*1,0)+IFERROR(CR382*1,0)+IFERROR(DE382*1,0)+IFERROR(DR382*1,0)+IFERROR(EE382*1,0)+IFERROR(ER382*1,0)+IFERROR(FE382*1,0)</f>
        <v>0</v>
      </c>
      <c r="FP382" s="27">
        <f t="shared" si="375"/>
        <v>0</v>
      </c>
      <c r="FQ382" s="27">
        <f t="shared" si="375"/>
        <v>0</v>
      </c>
      <c r="FR382" s="27">
        <f t="shared" si="375"/>
        <v>0</v>
      </c>
      <c r="FS382" s="27">
        <f t="shared" si="375"/>
        <v>0</v>
      </c>
      <c r="FT382" s="27">
        <f t="shared" si="375"/>
        <v>0</v>
      </c>
      <c r="FU382" s="27">
        <f t="shared" si="375"/>
        <v>0</v>
      </c>
      <c r="FV382" s="27">
        <f t="shared" si="375"/>
        <v>0</v>
      </c>
      <c r="FW382" s="28"/>
      <c r="FX382" s="29">
        <f t="shared" si="3"/>
        <v>0</v>
      </c>
    </row>
    <row r="383" spans="1:180" ht="18" customHeight="1" x14ac:dyDescent="0.25">
      <c r="A383" s="3" t="str">
        <f>IF(C383&lt;&gt;"","DRG-"&amp;TEXT(378,"000"),"")</f>
        <v/>
      </c>
      <c r="B383" s="33"/>
      <c r="C383" s="33"/>
      <c r="D383" s="33"/>
      <c r="E383" s="33"/>
      <c r="F383" s="33"/>
      <c r="G383" s="33"/>
      <c r="H383" s="33"/>
      <c r="I383" s="33"/>
      <c r="J383" s="33"/>
      <c r="K383" s="33"/>
      <c r="L383" s="37">
        <v>4</v>
      </c>
      <c r="M383" s="30" t="str">
        <f t="shared" si="0"/>
        <v>✘ Pending</v>
      </c>
      <c r="N383" s="30">
        <f t="shared" si="1"/>
        <v>0</v>
      </c>
      <c r="O383" s="31"/>
      <c r="P383" s="32"/>
      <c r="Q383" s="33"/>
      <c r="R383" s="33"/>
      <c r="S383" s="33"/>
      <c r="T383" s="33"/>
      <c r="U383" s="33"/>
      <c r="V383" s="33"/>
      <c r="W383" s="33"/>
      <c r="X383" s="33"/>
      <c r="Y383" s="33"/>
      <c r="Z383" s="33"/>
      <c r="AA383" s="33"/>
      <c r="AB383" s="31"/>
      <c r="AC383" s="32"/>
      <c r="AD383" s="33"/>
      <c r="AE383" s="33"/>
      <c r="AF383" s="33"/>
      <c r="AG383" s="33"/>
      <c r="AH383" s="33"/>
      <c r="AI383" s="33"/>
      <c r="AJ383" s="33"/>
      <c r="AK383" s="33"/>
      <c r="AL383" s="33"/>
      <c r="AM383" s="33"/>
      <c r="AN383" s="33"/>
      <c r="AO383" s="31"/>
      <c r="AP383" s="32"/>
      <c r="AQ383" s="33"/>
      <c r="AR383" s="33"/>
      <c r="AS383" s="33"/>
      <c r="AT383" s="33"/>
      <c r="AU383" s="33"/>
      <c r="AV383" s="33"/>
      <c r="AW383" s="33"/>
      <c r="AX383" s="33"/>
      <c r="AY383" s="33"/>
      <c r="AZ383" s="33"/>
      <c r="BA383" s="33"/>
      <c r="BB383" s="31"/>
      <c r="BC383" s="32"/>
      <c r="BD383" s="33"/>
      <c r="BE383" s="33"/>
      <c r="BF383" s="33"/>
      <c r="BG383" s="33"/>
      <c r="BH383" s="33"/>
      <c r="BI383" s="33"/>
      <c r="BJ383" s="33"/>
      <c r="BK383" s="33"/>
      <c r="BL383" s="33"/>
      <c r="BM383" s="33"/>
      <c r="BN383" s="33"/>
      <c r="BO383" s="31"/>
      <c r="BP383" s="32"/>
      <c r="BQ383" s="33"/>
      <c r="BR383" s="33"/>
      <c r="BS383" s="33"/>
      <c r="BT383" s="33"/>
      <c r="BU383" s="33"/>
      <c r="BV383" s="33"/>
      <c r="BW383" s="33"/>
      <c r="BX383" s="33"/>
      <c r="BY383" s="33"/>
      <c r="BZ383" s="33"/>
      <c r="CA383" s="33"/>
      <c r="CB383" s="31"/>
      <c r="CC383" s="32"/>
      <c r="CD383" s="33"/>
      <c r="CE383" s="33"/>
      <c r="CF383" s="33"/>
      <c r="CG383" s="33"/>
      <c r="CH383" s="33"/>
      <c r="CI383" s="33"/>
      <c r="CJ383" s="33"/>
      <c r="CK383" s="33"/>
      <c r="CL383" s="33"/>
      <c r="CM383" s="33"/>
      <c r="CN383" s="33"/>
      <c r="CO383" s="31"/>
      <c r="CP383" s="32"/>
      <c r="CQ383" s="33"/>
      <c r="CR383" s="33"/>
      <c r="CS383" s="33"/>
      <c r="CT383" s="33"/>
      <c r="CU383" s="33"/>
      <c r="CV383" s="33"/>
      <c r="CW383" s="33"/>
      <c r="CX383" s="33"/>
      <c r="CY383" s="33"/>
      <c r="CZ383" s="33"/>
      <c r="DA383" s="33"/>
      <c r="DB383" s="31"/>
      <c r="DC383" s="32"/>
      <c r="DD383" s="33"/>
      <c r="DE383" s="33"/>
      <c r="DF383" s="33"/>
      <c r="DG383" s="33"/>
      <c r="DH383" s="33"/>
      <c r="DI383" s="33"/>
      <c r="DJ383" s="33"/>
      <c r="DK383" s="33"/>
      <c r="DL383" s="33"/>
      <c r="DM383" s="33"/>
      <c r="DN383" s="33"/>
      <c r="DO383" s="31"/>
      <c r="DP383" s="32"/>
      <c r="DQ383" s="33"/>
      <c r="DR383" s="33"/>
      <c r="DS383" s="33"/>
      <c r="DT383" s="33"/>
      <c r="DU383" s="33"/>
      <c r="DV383" s="33"/>
      <c r="DW383" s="33"/>
      <c r="DX383" s="33"/>
      <c r="DY383" s="33"/>
      <c r="DZ383" s="33"/>
      <c r="EA383" s="33"/>
      <c r="EB383" s="31"/>
      <c r="EC383" s="32"/>
      <c r="ED383" s="33"/>
      <c r="EE383" s="33"/>
      <c r="EF383" s="33"/>
      <c r="EG383" s="33"/>
      <c r="EH383" s="33"/>
      <c r="EI383" s="33"/>
      <c r="EJ383" s="33"/>
      <c r="EK383" s="33"/>
      <c r="EL383" s="33"/>
      <c r="EM383" s="33"/>
      <c r="EN383" s="33"/>
      <c r="EO383" s="31"/>
      <c r="EP383" s="32"/>
      <c r="EQ383" s="33"/>
      <c r="ER383" s="33"/>
      <c r="ES383" s="33"/>
      <c r="ET383" s="33"/>
      <c r="EU383" s="33"/>
      <c r="EV383" s="33"/>
      <c r="EW383" s="33"/>
      <c r="EX383" s="33"/>
      <c r="EY383" s="33"/>
      <c r="EZ383" s="33"/>
      <c r="FA383" s="33"/>
      <c r="FB383" s="31"/>
      <c r="FC383" s="32"/>
      <c r="FD383" s="33"/>
      <c r="FE383" s="33"/>
      <c r="FF383" s="33"/>
      <c r="FG383" s="33"/>
      <c r="FH383" s="33"/>
      <c r="FI383" s="33"/>
      <c r="FJ383" s="33"/>
      <c r="FK383" s="33"/>
      <c r="FL383" s="33"/>
      <c r="FM383" s="33"/>
      <c r="FN383" s="33"/>
      <c r="FO383" s="34">
        <f t="shared" ref="FO383:FV383" si="376">IFERROR(R383*1,0)+IFERROR(AE383*1,0)+IFERROR(AR383*1,0)+IFERROR(BE383*1,0)+IFERROR(BR383*1,0)+IFERROR(CE383*1,0)+IFERROR(CR383*1,0)+IFERROR(DE383*1,0)+IFERROR(DR383*1,0)+IFERROR(EE383*1,0)+IFERROR(ER383*1,0)+IFERROR(FE383*1,0)</f>
        <v>0</v>
      </c>
      <c r="FP383" s="34">
        <f t="shared" si="376"/>
        <v>0</v>
      </c>
      <c r="FQ383" s="34">
        <f t="shared" si="376"/>
        <v>0</v>
      </c>
      <c r="FR383" s="34">
        <f t="shared" si="376"/>
        <v>0</v>
      </c>
      <c r="FS383" s="34">
        <f t="shared" si="376"/>
        <v>0</v>
      </c>
      <c r="FT383" s="34">
        <f t="shared" si="376"/>
        <v>0</v>
      </c>
      <c r="FU383" s="34">
        <f t="shared" si="376"/>
        <v>0</v>
      </c>
      <c r="FV383" s="34">
        <f t="shared" si="376"/>
        <v>0</v>
      </c>
      <c r="FW383" s="28"/>
      <c r="FX383" s="29">
        <f t="shared" si="3"/>
        <v>0</v>
      </c>
    </row>
    <row r="384" spans="1:180" ht="18" customHeight="1" x14ac:dyDescent="0.25">
      <c r="A384" s="3" t="str">
        <f>IF(C384&lt;&gt;"","DRG-"&amp;TEXT(379,"000"),"")</f>
        <v/>
      </c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38">
        <v>4</v>
      </c>
      <c r="M384" s="23" t="str">
        <f t="shared" si="0"/>
        <v>✘ Pending</v>
      </c>
      <c r="N384" s="23">
        <f t="shared" si="1"/>
        <v>0</v>
      </c>
      <c r="O384" s="25"/>
      <c r="P384" s="26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  <c r="AB384" s="25"/>
      <c r="AC384" s="26"/>
      <c r="AD384" s="24"/>
      <c r="AE384" s="24"/>
      <c r="AF384" s="24"/>
      <c r="AG384" s="24"/>
      <c r="AH384" s="24"/>
      <c r="AI384" s="24"/>
      <c r="AJ384" s="24"/>
      <c r="AK384" s="24"/>
      <c r="AL384" s="24"/>
      <c r="AM384" s="24"/>
      <c r="AN384" s="24"/>
      <c r="AO384" s="25"/>
      <c r="AP384" s="26"/>
      <c r="AQ384" s="24"/>
      <c r="AR384" s="24"/>
      <c r="AS384" s="24"/>
      <c r="AT384" s="24"/>
      <c r="AU384" s="24"/>
      <c r="AV384" s="24"/>
      <c r="AW384" s="24"/>
      <c r="AX384" s="24"/>
      <c r="AY384" s="24"/>
      <c r="AZ384" s="24"/>
      <c r="BA384" s="24"/>
      <c r="BB384" s="25"/>
      <c r="BC384" s="26"/>
      <c r="BD384" s="24"/>
      <c r="BE384" s="24"/>
      <c r="BF384" s="24"/>
      <c r="BG384" s="24"/>
      <c r="BH384" s="24"/>
      <c r="BI384" s="24"/>
      <c r="BJ384" s="24"/>
      <c r="BK384" s="24"/>
      <c r="BL384" s="24"/>
      <c r="BM384" s="24"/>
      <c r="BN384" s="24"/>
      <c r="BO384" s="25"/>
      <c r="BP384" s="26"/>
      <c r="BQ384" s="24"/>
      <c r="BR384" s="24"/>
      <c r="BS384" s="24"/>
      <c r="BT384" s="24"/>
      <c r="BU384" s="24"/>
      <c r="BV384" s="24"/>
      <c r="BW384" s="24"/>
      <c r="BX384" s="24"/>
      <c r="BY384" s="24"/>
      <c r="BZ384" s="24"/>
      <c r="CA384" s="24"/>
      <c r="CB384" s="25"/>
      <c r="CC384" s="26"/>
      <c r="CD384" s="24"/>
      <c r="CE384" s="24"/>
      <c r="CF384" s="24"/>
      <c r="CG384" s="24"/>
      <c r="CH384" s="24"/>
      <c r="CI384" s="24"/>
      <c r="CJ384" s="24"/>
      <c r="CK384" s="24"/>
      <c r="CL384" s="24"/>
      <c r="CM384" s="24"/>
      <c r="CN384" s="24"/>
      <c r="CO384" s="25"/>
      <c r="CP384" s="26"/>
      <c r="CQ384" s="24"/>
      <c r="CR384" s="24"/>
      <c r="CS384" s="24"/>
      <c r="CT384" s="24"/>
      <c r="CU384" s="24"/>
      <c r="CV384" s="24"/>
      <c r="CW384" s="24"/>
      <c r="CX384" s="24"/>
      <c r="CY384" s="24"/>
      <c r="CZ384" s="24"/>
      <c r="DA384" s="24"/>
      <c r="DB384" s="25"/>
      <c r="DC384" s="26"/>
      <c r="DD384" s="24"/>
      <c r="DE384" s="24"/>
      <c r="DF384" s="24"/>
      <c r="DG384" s="24"/>
      <c r="DH384" s="24"/>
      <c r="DI384" s="24"/>
      <c r="DJ384" s="24"/>
      <c r="DK384" s="24"/>
      <c r="DL384" s="24"/>
      <c r="DM384" s="24"/>
      <c r="DN384" s="24"/>
      <c r="DO384" s="25"/>
      <c r="DP384" s="26"/>
      <c r="DQ384" s="24"/>
      <c r="DR384" s="24"/>
      <c r="DS384" s="24"/>
      <c r="DT384" s="24"/>
      <c r="DU384" s="24"/>
      <c r="DV384" s="24"/>
      <c r="DW384" s="24"/>
      <c r="DX384" s="24"/>
      <c r="DY384" s="24"/>
      <c r="DZ384" s="24"/>
      <c r="EA384" s="24"/>
      <c r="EB384" s="25"/>
      <c r="EC384" s="26"/>
      <c r="ED384" s="24"/>
      <c r="EE384" s="24"/>
      <c r="EF384" s="24"/>
      <c r="EG384" s="24"/>
      <c r="EH384" s="24"/>
      <c r="EI384" s="24"/>
      <c r="EJ384" s="24"/>
      <c r="EK384" s="24"/>
      <c r="EL384" s="24"/>
      <c r="EM384" s="24"/>
      <c r="EN384" s="24"/>
      <c r="EO384" s="25"/>
      <c r="EP384" s="26"/>
      <c r="EQ384" s="24"/>
      <c r="ER384" s="24"/>
      <c r="ES384" s="24"/>
      <c r="ET384" s="24"/>
      <c r="EU384" s="24"/>
      <c r="EV384" s="24"/>
      <c r="EW384" s="24"/>
      <c r="EX384" s="24"/>
      <c r="EY384" s="24"/>
      <c r="EZ384" s="24"/>
      <c r="FA384" s="24"/>
      <c r="FB384" s="25"/>
      <c r="FC384" s="26"/>
      <c r="FD384" s="24"/>
      <c r="FE384" s="24"/>
      <c r="FF384" s="24"/>
      <c r="FG384" s="24"/>
      <c r="FH384" s="24"/>
      <c r="FI384" s="24"/>
      <c r="FJ384" s="24"/>
      <c r="FK384" s="24"/>
      <c r="FL384" s="24"/>
      <c r="FM384" s="24"/>
      <c r="FN384" s="24"/>
      <c r="FO384" s="27">
        <f t="shared" ref="FO384:FV384" si="377">IFERROR(R384*1,0)+IFERROR(AE384*1,0)+IFERROR(AR384*1,0)+IFERROR(BE384*1,0)+IFERROR(BR384*1,0)+IFERROR(CE384*1,0)+IFERROR(CR384*1,0)+IFERROR(DE384*1,0)+IFERROR(DR384*1,0)+IFERROR(EE384*1,0)+IFERROR(ER384*1,0)+IFERROR(FE384*1,0)</f>
        <v>0</v>
      </c>
      <c r="FP384" s="27">
        <f t="shared" si="377"/>
        <v>0</v>
      </c>
      <c r="FQ384" s="27">
        <f t="shared" si="377"/>
        <v>0</v>
      </c>
      <c r="FR384" s="27">
        <f t="shared" si="377"/>
        <v>0</v>
      </c>
      <c r="FS384" s="27">
        <f t="shared" si="377"/>
        <v>0</v>
      </c>
      <c r="FT384" s="27">
        <f t="shared" si="377"/>
        <v>0</v>
      </c>
      <c r="FU384" s="27">
        <f t="shared" si="377"/>
        <v>0</v>
      </c>
      <c r="FV384" s="27">
        <f t="shared" si="377"/>
        <v>0</v>
      </c>
      <c r="FW384" s="28"/>
      <c r="FX384" s="29">
        <f t="shared" si="3"/>
        <v>0</v>
      </c>
    </row>
    <row r="385" spans="1:180" ht="18" customHeight="1" x14ac:dyDescent="0.25">
      <c r="A385" s="3" t="str">
        <f>IF(C385&lt;&gt;"","DRG-"&amp;TEXT(380,"000"),"")</f>
        <v/>
      </c>
      <c r="B385" s="33"/>
      <c r="C385" s="33"/>
      <c r="D385" s="33"/>
      <c r="E385" s="33"/>
      <c r="F385" s="33"/>
      <c r="G385" s="33"/>
      <c r="H385" s="33"/>
      <c r="I385" s="33"/>
      <c r="J385" s="33"/>
      <c r="K385" s="33"/>
      <c r="L385" s="37">
        <v>4</v>
      </c>
      <c r="M385" s="30" t="str">
        <f t="shared" si="0"/>
        <v>✘ Pending</v>
      </c>
      <c r="N385" s="30">
        <f t="shared" si="1"/>
        <v>0</v>
      </c>
      <c r="O385" s="31"/>
      <c r="P385" s="32"/>
      <c r="Q385" s="33"/>
      <c r="R385" s="33"/>
      <c r="S385" s="33"/>
      <c r="T385" s="33"/>
      <c r="U385" s="33"/>
      <c r="V385" s="33"/>
      <c r="W385" s="33"/>
      <c r="X385" s="33"/>
      <c r="Y385" s="33"/>
      <c r="Z385" s="33"/>
      <c r="AA385" s="33"/>
      <c r="AB385" s="31"/>
      <c r="AC385" s="32"/>
      <c r="AD385" s="33"/>
      <c r="AE385" s="33"/>
      <c r="AF385" s="33"/>
      <c r="AG385" s="33"/>
      <c r="AH385" s="33"/>
      <c r="AI385" s="33"/>
      <c r="AJ385" s="33"/>
      <c r="AK385" s="33"/>
      <c r="AL385" s="33"/>
      <c r="AM385" s="33"/>
      <c r="AN385" s="33"/>
      <c r="AO385" s="31"/>
      <c r="AP385" s="32"/>
      <c r="AQ385" s="33"/>
      <c r="AR385" s="33"/>
      <c r="AS385" s="33"/>
      <c r="AT385" s="33"/>
      <c r="AU385" s="33"/>
      <c r="AV385" s="33"/>
      <c r="AW385" s="33"/>
      <c r="AX385" s="33"/>
      <c r="AY385" s="33"/>
      <c r="AZ385" s="33"/>
      <c r="BA385" s="33"/>
      <c r="BB385" s="31"/>
      <c r="BC385" s="32"/>
      <c r="BD385" s="33"/>
      <c r="BE385" s="33"/>
      <c r="BF385" s="33"/>
      <c r="BG385" s="33"/>
      <c r="BH385" s="33"/>
      <c r="BI385" s="33"/>
      <c r="BJ385" s="33"/>
      <c r="BK385" s="33"/>
      <c r="BL385" s="33"/>
      <c r="BM385" s="33"/>
      <c r="BN385" s="33"/>
      <c r="BO385" s="31"/>
      <c r="BP385" s="32"/>
      <c r="BQ385" s="33"/>
      <c r="BR385" s="33"/>
      <c r="BS385" s="33"/>
      <c r="BT385" s="33"/>
      <c r="BU385" s="33"/>
      <c r="BV385" s="33"/>
      <c r="BW385" s="33"/>
      <c r="BX385" s="33"/>
      <c r="BY385" s="33"/>
      <c r="BZ385" s="33"/>
      <c r="CA385" s="33"/>
      <c r="CB385" s="31"/>
      <c r="CC385" s="32"/>
      <c r="CD385" s="33"/>
      <c r="CE385" s="33"/>
      <c r="CF385" s="33"/>
      <c r="CG385" s="33"/>
      <c r="CH385" s="33"/>
      <c r="CI385" s="33"/>
      <c r="CJ385" s="33"/>
      <c r="CK385" s="33"/>
      <c r="CL385" s="33"/>
      <c r="CM385" s="33"/>
      <c r="CN385" s="33"/>
      <c r="CO385" s="31"/>
      <c r="CP385" s="32"/>
      <c r="CQ385" s="33"/>
      <c r="CR385" s="33"/>
      <c r="CS385" s="33"/>
      <c r="CT385" s="33"/>
      <c r="CU385" s="33"/>
      <c r="CV385" s="33"/>
      <c r="CW385" s="33"/>
      <c r="CX385" s="33"/>
      <c r="CY385" s="33"/>
      <c r="CZ385" s="33"/>
      <c r="DA385" s="33"/>
      <c r="DB385" s="31"/>
      <c r="DC385" s="32"/>
      <c r="DD385" s="33"/>
      <c r="DE385" s="33"/>
      <c r="DF385" s="33"/>
      <c r="DG385" s="33"/>
      <c r="DH385" s="33"/>
      <c r="DI385" s="33"/>
      <c r="DJ385" s="33"/>
      <c r="DK385" s="33"/>
      <c r="DL385" s="33"/>
      <c r="DM385" s="33"/>
      <c r="DN385" s="33"/>
      <c r="DO385" s="31"/>
      <c r="DP385" s="32"/>
      <c r="DQ385" s="33"/>
      <c r="DR385" s="33"/>
      <c r="DS385" s="33"/>
      <c r="DT385" s="33"/>
      <c r="DU385" s="33"/>
      <c r="DV385" s="33"/>
      <c r="DW385" s="33"/>
      <c r="DX385" s="33"/>
      <c r="DY385" s="33"/>
      <c r="DZ385" s="33"/>
      <c r="EA385" s="33"/>
      <c r="EB385" s="31"/>
      <c r="EC385" s="32"/>
      <c r="ED385" s="33"/>
      <c r="EE385" s="33"/>
      <c r="EF385" s="33"/>
      <c r="EG385" s="33"/>
      <c r="EH385" s="33"/>
      <c r="EI385" s="33"/>
      <c r="EJ385" s="33"/>
      <c r="EK385" s="33"/>
      <c r="EL385" s="33"/>
      <c r="EM385" s="33"/>
      <c r="EN385" s="33"/>
      <c r="EO385" s="31"/>
      <c r="EP385" s="32"/>
      <c r="EQ385" s="33"/>
      <c r="ER385" s="33"/>
      <c r="ES385" s="33"/>
      <c r="ET385" s="33"/>
      <c r="EU385" s="33"/>
      <c r="EV385" s="33"/>
      <c r="EW385" s="33"/>
      <c r="EX385" s="33"/>
      <c r="EY385" s="33"/>
      <c r="EZ385" s="33"/>
      <c r="FA385" s="33"/>
      <c r="FB385" s="31"/>
      <c r="FC385" s="32"/>
      <c r="FD385" s="33"/>
      <c r="FE385" s="33"/>
      <c r="FF385" s="33"/>
      <c r="FG385" s="33"/>
      <c r="FH385" s="33"/>
      <c r="FI385" s="33"/>
      <c r="FJ385" s="33"/>
      <c r="FK385" s="33"/>
      <c r="FL385" s="33"/>
      <c r="FM385" s="33"/>
      <c r="FN385" s="33"/>
      <c r="FO385" s="34">
        <f t="shared" ref="FO385:FV385" si="378">IFERROR(R385*1,0)+IFERROR(AE385*1,0)+IFERROR(AR385*1,0)+IFERROR(BE385*1,0)+IFERROR(BR385*1,0)+IFERROR(CE385*1,0)+IFERROR(CR385*1,0)+IFERROR(DE385*1,0)+IFERROR(DR385*1,0)+IFERROR(EE385*1,0)+IFERROR(ER385*1,0)+IFERROR(FE385*1,0)</f>
        <v>0</v>
      </c>
      <c r="FP385" s="34">
        <f t="shared" si="378"/>
        <v>0</v>
      </c>
      <c r="FQ385" s="34">
        <f t="shared" si="378"/>
        <v>0</v>
      </c>
      <c r="FR385" s="34">
        <f t="shared" si="378"/>
        <v>0</v>
      </c>
      <c r="FS385" s="34">
        <f t="shared" si="378"/>
        <v>0</v>
      </c>
      <c r="FT385" s="34">
        <f t="shared" si="378"/>
        <v>0</v>
      </c>
      <c r="FU385" s="34">
        <f t="shared" si="378"/>
        <v>0</v>
      </c>
      <c r="FV385" s="34">
        <f t="shared" si="378"/>
        <v>0</v>
      </c>
      <c r="FW385" s="28"/>
      <c r="FX385" s="29">
        <f t="shared" si="3"/>
        <v>0</v>
      </c>
    </row>
    <row r="386" spans="1:180" ht="18" customHeight="1" x14ac:dyDescent="0.25">
      <c r="A386" s="3" t="str">
        <f>IF(C386&lt;&gt;"","DRG-"&amp;TEXT(381,"000"),"")</f>
        <v/>
      </c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38">
        <v>4</v>
      </c>
      <c r="M386" s="23" t="str">
        <f t="shared" si="0"/>
        <v>✘ Pending</v>
      </c>
      <c r="N386" s="23">
        <f t="shared" si="1"/>
        <v>0</v>
      </c>
      <c r="O386" s="25"/>
      <c r="P386" s="26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  <c r="AB386" s="25"/>
      <c r="AC386" s="26"/>
      <c r="AD386" s="24"/>
      <c r="AE386" s="24"/>
      <c r="AF386" s="24"/>
      <c r="AG386" s="24"/>
      <c r="AH386" s="24"/>
      <c r="AI386" s="24"/>
      <c r="AJ386" s="24"/>
      <c r="AK386" s="24"/>
      <c r="AL386" s="24"/>
      <c r="AM386" s="24"/>
      <c r="AN386" s="24"/>
      <c r="AO386" s="25"/>
      <c r="AP386" s="26"/>
      <c r="AQ386" s="24"/>
      <c r="AR386" s="24"/>
      <c r="AS386" s="24"/>
      <c r="AT386" s="24"/>
      <c r="AU386" s="24"/>
      <c r="AV386" s="24"/>
      <c r="AW386" s="24"/>
      <c r="AX386" s="24"/>
      <c r="AY386" s="24"/>
      <c r="AZ386" s="24"/>
      <c r="BA386" s="24"/>
      <c r="BB386" s="25"/>
      <c r="BC386" s="26"/>
      <c r="BD386" s="24"/>
      <c r="BE386" s="24"/>
      <c r="BF386" s="24"/>
      <c r="BG386" s="24"/>
      <c r="BH386" s="24"/>
      <c r="BI386" s="24"/>
      <c r="BJ386" s="24"/>
      <c r="BK386" s="24"/>
      <c r="BL386" s="24"/>
      <c r="BM386" s="24"/>
      <c r="BN386" s="24"/>
      <c r="BO386" s="25"/>
      <c r="BP386" s="26"/>
      <c r="BQ386" s="24"/>
      <c r="BR386" s="24"/>
      <c r="BS386" s="24"/>
      <c r="BT386" s="24"/>
      <c r="BU386" s="24"/>
      <c r="BV386" s="24"/>
      <c r="BW386" s="24"/>
      <c r="BX386" s="24"/>
      <c r="BY386" s="24"/>
      <c r="BZ386" s="24"/>
      <c r="CA386" s="24"/>
      <c r="CB386" s="25"/>
      <c r="CC386" s="26"/>
      <c r="CD386" s="24"/>
      <c r="CE386" s="24"/>
      <c r="CF386" s="24"/>
      <c r="CG386" s="24"/>
      <c r="CH386" s="24"/>
      <c r="CI386" s="24"/>
      <c r="CJ386" s="24"/>
      <c r="CK386" s="24"/>
      <c r="CL386" s="24"/>
      <c r="CM386" s="24"/>
      <c r="CN386" s="24"/>
      <c r="CO386" s="25"/>
      <c r="CP386" s="26"/>
      <c r="CQ386" s="24"/>
      <c r="CR386" s="24"/>
      <c r="CS386" s="24"/>
      <c r="CT386" s="24"/>
      <c r="CU386" s="24"/>
      <c r="CV386" s="24"/>
      <c r="CW386" s="24"/>
      <c r="CX386" s="24"/>
      <c r="CY386" s="24"/>
      <c r="CZ386" s="24"/>
      <c r="DA386" s="24"/>
      <c r="DB386" s="25"/>
      <c r="DC386" s="26"/>
      <c r="DD386" s="24"/>
      <c r="DE386" s="24"/>
      <c r="DF386" s="24"/>
      <c r="DG386" s="24"/>
      <c r="DH386" s="24"/>
      <c r="DI386" s="24"/>
      <c r="DJ386" s="24"/>
      <c r="DK386" s="24"/>
      <c r="DL386" s="24"/>
      <c r="DM386" s="24"/>
      <c r="DN386" s="24"/>
      <c r="DO386" s="25"/>
      <c r="DP386" s="26"/>
      <c r="DQ386" s="24"/>
      <c r="DR386" s="24"/>
      <c r="DS386" s="24"/>
      <c r="DT386" s="24"/>
      <c r="DU386" s="24"/>
      <c r="DV386" s="24"/>
      <c r="DW386" s="24"/>
      <c r="DX386" s="24"/>
      <c r="DY386" s="24"/>
      <c r="DZ386" s="24"/>
      <c r="EA386" s="24"/>
      <c r="EB386" s="25"/>
      <c r="EC386" s="26"/>
      <c r="ED386" s="24"/>
      <c r="EE386" s="24"/>
      <c r="EF386" s="24"/>
      <c r="EG386" s="24"/>
      <c r="EH386" s="24"/>
      <c r="EI386" s="24"/>
      <c r="EJ386" s="24"/>
      <c r="EK386" s="24"/>
      <c r="EL386" s="24"/>
      <c r="EM386" s="24"/>
      <c r="EN386" s="24"/>
      <c r="EO386" s="25"/>
      <c r="EP386" s="26"/>
      <c r="EQ386" s="24"/>
      <c r="ER386" s="24"/>
      <c r="ES386" s="24"/>
      <c r="ET386" s="24"/>
      <c r="EU386" s="24"/>
      <c r="EV386" s="24"/>
      <c r="EW386" s="24"/>
      <c r="EX386" s="24"/>
      <c r="EY386" s="24"/>
      <c r="EZ386" s="24"/>
      <c r="FA386" s="24"/>
      <c r="FB386" s="25"/>
      <c r="FC386" s="26"/>
      <c r="FD386" s="24"/>
      <c r="FE386" s="24"/>
      <c r="FF386" s="24"/>
      <c r="FG386" s="24"/>
      <c r="FH386" s="24"/>
      <c r="FI386" s="24"/>
      <c r="FJ386" s="24"/>
      <c r="FK386" s="24"/>
      <c r="FL386" s="24"/>
      <c r="FM386" s="24"/>
      <c r="FN386" s="24"/>
      <c r="FO386" s="27">
        <f t="shared" ref="FO386:FV386" si="379">IFERROR(R386*1,0)+IFERROR(AE386*1,0)+IFERROR(AR386*1,0)+IFERROR(BE386*1,0)+IFERROR(BR386*1,0)+IFERROR(CE386*1,0)+IFERROR(CR386*1,0)+IFERROR(DE386*1,0)+IFERROR(DR386*1,0)+IFERROR(EE386*1,0)+IFERROR(ER386*1,0)+IFERROR(FE386*1,0)</f>
        <v>0</v>
      </c>
      <c r="FP386" s="27">
        <f t="shared" si="379"/>
        <v>0</v>
      </c>
      <c r="FQ386" s="27">
        <f t="shared" si="379"/>
        <v>0</v>
      </c>
      <c r="FR386" s="27">
        <f t="shared" si="379"/>
        <v>0</v>
      </c>
      <c r="FS386" s="27">
        <f t="shared" si="379"/>
        <v>0</v>
      </c>
      <c r="FT386" s="27">
        <f t="shared" si="379"/>
        <v>0</v>
      </c>
      <c r="FU386" s="27">
        <f t="shared" si="379"/>
        <v>0</v>
      </c>
      <c r="FV386" s="27">
        <f t="shared" si="379"/>
        <v>0</v>
      </c>
      <c r="FW386" s="28"/>
      <c r="FX386" s="29">
        <f t="shared" si="3"/>
        <v>0</v>
      </c>
    </row>
    <row r="387" spans="1:180" ht="18" customHeight="1" x14ac:dyDescent="0.25">
      <c r="A387" s="3" t="str">
        <f>IF(C387&lt;&gt;"","DRG-"&amp;TEXT(382,"000"),"")</f>
        <v/>
      </c>
      <c r="B387" s="33"/>
      <c r="C387" s="33"/>
      <c r="D387" s="33"/>
      <c r="E387" s="33"/>
      <c r="F387" s="33"/>
      <c r="G387" s="33"/>
      <c r="H387" s="33"/>
      <c r="I387" s="33"/>
      <c r="J387" s="33"/>
      <c r="K387" s="33"/>
      <c r="L387" s="37">
        <v>4</v>
      </c>
      <c r="M387" s="30" t="str">
        <f t="shared" si="0"/>
        <v>✘ Pending</v>
      </c>
      <c r="N387" s="30">
        <f t="shared" si="1"/>
        <v>0</v>
      </c>
      <c r="O387" s="31"/>
      <c r="P387" s="32"/>
      <c r="Q387" s="33"/>
      <c r="R387" s="33"/>
      <c r="S387" s="33"/>
      <c r="T387" s="33"/>
      <c r="U387" s="33"/>
      <c r="V387" s="33"/>
      <c r="W387" s="33"/>
      <c r="X387" s="33"/>
      <c r="Y387" s="33"/>
      <c r="Z387" s="33"/>
      <c r="AA387" s="33"/>
      <c r="AB387" s="31"/>
      <c r="AC387" s="32"/>
      <c r="AD387" s="33"/>
      <c r="AE387" s="33"/>
      <c r="AF387" s="33"/>
      <c r="AG387" s="33"/>
      <c r="AH387" s="33"/>
      <c r="AI387" s="33"/>
      <c r="AJ387" s="33"/>
      <c r="AK387" s="33"/>
      <c r="AL387" s="33"/>
      <c r="AM387" s="33"/>
      <c r="AN387" s="33"/>
      <c r="AO387" s="31"/>
      <c r="AP387" s="32"/>
      <c r="AQ387" s="33"/>
      <c r="AR387" s="33"/>
      <c r="AS387" s="33"/>
      <c r="AT387" s="33"/>
      <c r="AU387" s="33"/>
      <c r="AV387" s="33"/>
      <c r="AW387" s="33"/>
      <c r="AX387" s="33"/>
      <c r="AY387" s="33"/>
      <c r="AZ387" s="33"/>
      <c r="BA387" s="33"/>
      <c r="BB387" s="31"/>
      <c r="BC387" s="32"/>
      <c r="BD387" s="33"/>
      <c r="BE387" s="33"/>
      <c r="BF387" s="33"/>
      <c r="BG387" s="33"/>
      <c r="BH387" s="33"/>
      <c r="BI387" s="33"/>
      <c r="BJ387" s="33"/>
      <c r="BK387" s="33"/>
      <c r="BL387" s="33"/>
      <c r="BM387" s="33"/>
      <c r="BN387" s="33"/>
      <c r="BO387" s="31"/>
      <c r="BP387" s="32"/>
      <c r="BQ387" s="33"/>
      <c r="BR387" s="33"/>
      <c r="BS387" s="33"/>
      <c r="BT387" s="33"/>
      <c r="BU387" s="33"/>
      <c r="BV387" s="33"/>
      <c r="BW387" s="33"/>
      <c r="BX387" s="33"/>
      <c r="BY387" s="33"/>
      <c r="BZ387" s="33"/>
      <c r="CA387" s="33"/>
      <c r="CB387" s="31"/>
      <c r="CC387" s="32"/>
      <c r="CD387" s="33"/>
      <c r="CE387" s="33"/>
      <c r="CF387" s="33"/>
      <c r="CG387" s="33"/>
      <c r="CH387" s="33"/>
      <c r="CI387" s="33"/>
      <c r="CJ387" s="33"/>
      <c r="CK387" s="33"/>
      <c r="CL387" s="33"/>
      <c r="CM387" s="33"/>
      <c r="CN387" s="33"/>
      <c r="CO387" s="31"/>
      <c r="CP387" s="32"/>
      <c r="CQ387" s="33"/>
      <c r="CR387" s="33"/>
      <c r="CS387" s="33"/>
      <c r="CT387" s="33"/>
      <c r="CU387" s="33"/>
      <c r="CV387" s="33"/>
      <c r="CW387" s="33"/>
      <c r="CX387" s="33"/>
      <c r="CY387" s="33"/>
      <c r="CZ387" s="33"/>
      <c r="DA387" s="33"/>
      <c r="DB387" s="31"/>
      <c r="DC387" s="32"/>
      <c r="DD387" s="33"/>
      <c r="DE387" s="33"/>
      <c r="DF387" s="33"/>
      <c r="DG387" s="33"/>
      <c r="DH387" s="33"/>
      <c r="DI387" s="33"/>
      <c r="DJ387" s="33"/>
      <c r="DK387" s="33"/>
      <c r="DL387" s="33"/>
      <c r="DM387" s="33"/>
      <c r="DN387" s="33"/>
      <c r="DO387" s="31"/>
      <c r="DP387" s="32"/>
      <c r="DQ387" s="33"/>
      <c r="DR387" s="33"/>
      <c r="DS387" s="33"/>
      <c r="DT387" s="33"/>
      <c r="DU387" s="33"/>
      <c r="DV387" s="33"/>
      <c r="DW387" s="33"/>
      <c r="DX387" s="33"/>
      <c r="DY387" s="33"/>
      <c r="DZ387" s="33"/>
      <c r="EA387" s="33"/>
      <c r="EB387" s="31"/>
      <c r="EC387" s="32"/>
      <c r="ED387" s="33"/>
      <c r="EE387" s="33"/>
      <c r="EF387" s="33"/>
      <c r="EG387" s="33"/>
      <c r="EH387" s="33"/>
      <c r="EI387" s="33"/>
      <c r="EJ387" s="33"/>
      <c r="EK387" s="33"/>
      <c r="EL387" s="33"/>
      <c r="EM387" s="33"/>
      <c r="EN387" s="33"/>
      <c r="EO387" s="31"/>
      <c r="EP387" s="32"/>
      <c r="EQ387" s="33"/>
      <c r="ER387" s="33"/>
      <c r="ES387" s="33"/>
      <c r="ET387" s="33"/>
      <c r="EU387" s="33"/>
      <c r="EV387" s="33"/>
      <c r="EW387" s="33"/>
      <c r="EX387" s="33"/>
      <c r="EY387" s="33"/>
      <c r="EZ387" s="33"/>
      <c r="FA387" s="33"/>
      <c r="FB387" s="31"/>
      <c r="FC387" s="32"/>
      <c r="FD387" s="33"/>
      <c r="FE387" s="33"/>
      <c r="FF387" s="33"/>
      <c r="FG387" s="33"/>
      <c r="FH387" s="33"/>
      <c r="FI387" s="33"/>
      <c r="FJ387" s="33"/>
      <c r="FK387" s="33"/>
      <c r="FL387" s="33"/>
      <c r="FM387" s="33"/>
      <c r="FN387" s="33"/>
      <c r="FO387" s="34">
        <f t="shared" ref="FO387:FV387" si="380">IFERROR(R387*1,0)+IFERROR(AE387*1,0)+IFERROR(AR387*1,0)+IFERROR(BE387*1,0)+IFERROR(BR387*1,0)+IFERROR(CE387*1,0)+IFERROR(CR387*1,0)+IFERROR(DE387*1,0)+IFERROR(DR387*1,0)+IFERROR(EE387*1,0)+IFERROR(ER387*1,0)+IFERROR(FE387*1,0)</f>
        <v>0</v>
      </c>
      <c r="FP387" s="34">
        <f t="shared" si="380"/>
        <v>0</v>
      </c>
      <c r="FQ387" s="34">
        <f t="shared" si="380"/>
        <v>0</v>
      </c>
      <c r="FR387" s="34">
        <f t="shared" si="380"/>
        <v>0</v>
      </c>
      <c r="FS387" s="34">
        <f t="shared" si="380"/>
        <v>0</v>
      </c>
      <c r="FT387" s="34">
        <f t="shared" si="380"/>
        <v>0</v>
      </c>
      <c r="FU387" s="34">
        <f t="shared" si="380"/>
        <v>0</v>
      </c>
      <c r="FV387" s="34">
        <f t="shared" si="380"/>
        <v>0</v>
      </c>
      <c r="FW387" s="28"/>
      <c r="FX387" s="29">
        <f t="shared" si="3"/>
        <v>0</v>
      </c>
    </row>
    <row r="388" spans="1:180" ht="18" customHeight="1" x14ac:dyDescent="0.25">
      <c r="A388" s="3" t="str">
        <f>IF(C388&lt;&gt;"","DRG-"&amp;TEXT(383,"000"),"")</f>
        <v/>
      </c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38">
        <v>4</v>
      </c>
      <c r="M388" s="23" t="str">
        <f t="shared" si="0"/>
        <v>✘ Pending</v>
      </c>
      <c r="N388" s="23">
        <f t="shared" si="1"/>
        <v>0</v>
      </c>
      <c r="O388" s="25"/>
      <c r="P388" s="26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  <c r="AB388" s="25"/>
      <c r="AC388" s="26"/>
      <c r="AD388" s="24"/>
      <c r="AE388" s="24"/>
      <c r="AF388" s="24"/>
      <c r="AG388" s="24"/>
      <c r="AH388" s="24"/>
      <c r="AI388" s="24"/>
      <c r="AJ388" s="24"/>
      <c r="AK388" s="24"/>
      <c r="AL388" s="24"/>
      <c r="AM388" s="24"/>
      <c r="AN388" s="24"/>
      <c r="AO388" s="25"/>
      <c r="AP388" s="26"/>
      <c r="AQ388" s="24"/>
      <c r="AR388" s="24"/>
      <c r="AS388" s="24"/>
      <c r="AT388" s="24"/>
      <c r="AU388" s="24"/>
      <c r="AV388" s="24"/>
      <c r="AW388" s="24"/>
      <c r="AX388" s="24"/>
      <c r="AY388" s="24"/>
      <c r="AZ388" s="24"/>
      <c r="BA388" s="24"/>
      <c r="BB388" s="25"/>
      <c r="BC388" s="26"/>
      <c r="BD388" s="24"/>
      <c r="BE388" s="24"/>
      <c r="BF388" s="24"/>
      <c r="BG388" s="24"/>
      <c r="BH388" s="24"/>
      <c r="BI388" s="24"/>
      <c r="BJ388" s="24"/>
      <c r="BK388" s="24"/>
      <c r="BL388" s="24"/>
      <c r="BM388" s="24"/>
      <c r="BN388" s="24"/>
      <c r="BO388" s="25"/>
      <c r="BP388" s="26"/>
      <c r="BQ388" s="24"/>
      <c r="BR388" s="24"/>
      <c r="BS388" s="24"/>
      <c r="BT388" s="24"/>
      <c r="BU388" s="24"/>
      <c r="BV388" s="24"/>
      <c r="BW388" s="24"/>
      <c r="BX388" s="24"/>
      <c r="BY388" s="24"/>
      <c r="BZ388" s="24"/>
      <c r="CA388" s="24"/>
      <c r="CB388" s="25"/>
      <c r="CC388" s="26"/>
      <c r="CD388" s="24"/>
      <c r="CE388" s="24"/>
      <c r="CF388" s="24"/>
      <c r="CG388" s="24"/>
      <c r="CH388" s="24"/>
      <c r="CI388" s="24"/>
      <c r="CJ388" s="24"/>
      <c r="CK388" s="24"/>
      <c r="CL388" s="24"/>
      <c r="CM388" s="24"/>
      <c r="CN388" s="24"/>
      <c r="CO388" s="25"/>
      <c r="CP388" s="26"/>
      <c r="CQ388" s="24"/>
      <c r="CR388" s="24"/>
      <c r="CS388" s="24"/>
      <c r="CT388" s="24"/>
      <c r="CU388" s="24"/>
      <c r="CV388" s="24"/>
      <c r="CW388" s="24"/>
      <c r="CX388" s="24"/>
      <c r="CY388" s="24"/>
      <c r="CZ388" s="24"/>
      <c r="DA388" s="24"/>
      <c r="DB388" s="25"/>
      <c r="DC388" s="26"/>
      <c r="DD388" s="24"/>
      <c r="DE388" s="24"/>
      <c r="DF388" s="24"/>
      <c r="DG388" s="24"/>
      <c r="DH388" s="24"/>
      <c r="DI388" s="24"/>
      <c r="DJ388" s="24"/>
      <c r="DK388" s="24"/>
      <c r="DL388" s="24"/>
      <c r="DM388" s="24"/>
      <c r="DN388" s="24"/>
      <c r="DO388" s="25"/>
      <c r="DP388" s="26"/>
      <c r="DQ388" s="24"/>
      <c r="DR388" s="24"/>
      <c r="DS388" s="24"/>
      <c r="DT388" s="24"/>
      <c r="DU388" s="24"/>
      <c r="DV388" s="24"/>
      <c r="DW388" s="24"/>
      <c r="DX388" s="24"/>
      <c r="DY388" s="24"/>
      <c r="DZ388" s="24"/>
      <c r="EA388" s="24"/>
      <c r="EB388" s="25"/>
      <c r="EC388" s="26"/>
      <c r="ED388" s="24"/>
      <c r="EE388" s="24"/>
      <c r="EF388" s="24"/>
      <c r="EG388" s="24"/>
      <c r="EH388" s="24"/>
      <c r="EI388" s="24"/>
      <c r="EJ388" s="24"/>
      <c r="EK388" s="24"/>
      <c r="EL388" s="24"/>
      <c r="EM388" s="24"/>
      <c r="EN388" s="24"/>
      <c r="EO388" s="25"/>
      <c r="EP388" s="26"/>
      <c r="EQ388" s="24"/>
      <c r="ER388" s="24"/>
      <c r="ES388" s="24"/>
      <c r="ET388" s="24"/>
      <c r="EU388" s="24"/>
      <c r="EV388" s="24"/>
      <c r="EW388" s="24"/>
      <c r="EX388" s="24"/>
      <c r="EY388" s="24"/>
      <c r="EZ388" s="24"/>
      <c r="FA388" s="24"/>
      <c r="FB388" s="25"/>
      <c r="FC388" s="26"/>
      <c r="FD388" s="24"/>
      <c r="FE388" s="24"/>
      <c r="FF388" s="24"/>
      <c r="FG388" s="24"/>
      <c r="FH388" s="24"/>
      <c r="FI388" s="24"/>
      <c r="FJ388" s="24"/>
      <c r="FK388" s="24"/>
      <c r="FL388" s="24"/>
      <c r="FM388" s="24"/>
      <c r="FN388" s="24"/>
      <c r="FO388" s="27">
        <f t="shared" ref="FO388:FV388" si="381">IFERROR(R388*1,0)+IFERROR(AE388*1,0)+IFERROR(AR388*1,0)+IFERROR(BE388*1,0)+IFERROR(BR388*1,0)+IFERROR(CE388*1,0)+IFERROR(CR388*1,0)+IFERROR(DE388*1,0)+IFERROR(DR388*1,0)+IFERROR(EE388*1,0)+IFERROR(ER388*1,0)+IFERROR(FE388*1,0)</f>
        <v>0</v>
      </c>
      <c r="FP388" s="27">
        <f t="shared" si="381"/>
        <v>0</v>
      </c>
      <c r="FQ388" s="27">
        <f t="shared" si="381"/>
        <v>0</v>
      </c>
      <c r="FR388" s="27">
        <f t="shared" si="381"/>
        <v>0</v>
      </c>
      <c r="FS388" s="27">
        <f t="shared" si="381"/>
        <v>0</v>
      </c>
      <c r="FT388" s="27">
        <f t="shared" si="381"/>
        <v>0</v>
      </c>
      <c r="FU388" s="27">
        <f t="shared" si="381"/>
        <v>0</v>
      </c>
      <c r="FV388" s="27">
        <f t="shared" si="381"/>
        <v>0</v>
      </c>
      <c r="FW388" s="28"/>
      <c r="FX388" s="29">
        <f t="shared" si="3"/>
        <v>0</v>
      </c>
    </row>
    <row r="389" spans="1:180" ht="18" customHeight="1" x14ac:dyDescent="0.25">
      <c r="A389" s="3" t="str">
        <f>IF(C389&lt;&gt;"","DRG-"&amp;TEXT(384,"000"),"")</f>
        <v/>
      </c>
      <c r="B389" s="33"/>
      <c r="C389" s="33"/>
      <c r="D389" s="33"/>
      <c r="E389" s="33"/>
      <c r="F389" s="33"/>
      <c r="G389" s="33"/>
      <c r="H389" s="33"/>
      <c r="I389" s="33"/>
      <c r="J389" s="33"/>
      <c r="K389" s="33"/>
      <c r="L389" s="37">
        <v>4</v>
      </c>
      <c r="M389" s="30" t="str">
        <f t="shared" si="0"/>
        <v>✘ Pending</v>
      </c>
      <c r="N389" s="30">
        <f t="shared" si="1"/>
        <v>0</v>
      </c>
      <c r="O389" s="31"/>
      <c r="P389" s="32"/>
      <c r="Q389" s="33"/>
      <c r="R389" s="33"/>
      <c r="S389" s="33"/>
      <c r="T389" s="33"/>
      <c r="U389" s="33"/>
      <c r="V389" s="33"/>
      <c r="W389" s="33"/>
      <c r="X389" s="33"/>
      <c r="Y389" s="33"/>
      <c r="Z389" s="33"/>
      <c r="AA389" s="33"/>
      <c r="AB389" s="31"/>
      <c r="AC389" s="32"/>
      <c r="AD389" s="33"/>
      <c r="AE389" s="33"/>
      <c r="AF389" s="33"/>
      <c r="AG389" s="33"/>
      <c r="AH389" s="33"/>
      <c r="AI389" s="33"/>
      <c r="AJ389" s="33"/>
      <c r="AK389" s="33"/>
      <c r="AL389" s="33"/>
      <c r="AM389" s="33"/>
      <c r="AN389" s="33"/>
      <c r="AO389" s="31"/>
      <c r="AP389" s="32"/>
      <c r="AQ389" s="33"/>
      <c r="AR389" s="33"/>
      <c r="AS389" s="33"/>
      <c r="AT389" s="33"/>
      <c r="AU389" s="33"/>
      <c r="AV389" s="33"/>
      <c r="AW389" s="33"/>
      <c r="AX389" s="33"/>
      <c r="AY389" s="33"/>
      <c r="AZ389" s="33"/>
      <c r="BA389" s="33"/>
      <c r="BB389" s="31"/>
      <c r="BC389" s="32"/>
      <c r="BD389" s="33"/>
      <c r="BE389" s="33"/>
      <c r="BF389" s="33"/>
      <c r="BG389" s="33"/>
      <c r="BH389" s="33"/>
      <c r="BI389" s="33"/>
      <c r="BJ389" s="33"/>
      <c r="BK389" s="33"/>
      <c r="BL389" s="33"/>
      <c r="BM389" s="33"/>
      <c r="BN389" s="33"/>
      <c r="BO389" s="31"/>
      <c r="BP389" s="32"/>
      <c r="BQ389" s="33"/>
      <c r="BR389" s="33"/>
      <c r="BS389" s="33"/>
      <c r="BT389" s="33"/>
      <c r="BU389" s="33"/>
      <c r="BV389" s="33"/>
      <c r="BW389" s="33"/>
      <c r="BX389" s="33"/>
      <c r="BY389" s="33"/>
      <c r="BZ389" s="33"/>
      <c r="CA389" s="33"/>
      <c r="CB389" s="31"/>
      <c r="CC389" s="32"/>
      <c r="CD389" s="33"/>
      <c r="CE389" s="33"/>
      <c r="CF389" s="33"/>
      <c r="CG389" s="33"/>
      <c r="CH389" s="33"/>
      <c r="CI389" s="33"/>
      <c r="CJ389" s="33"/>
      <c r="CK389" s="33"/>
      <c r="CL389" s="33"/>
      <c r="CM389" s="33"/>
      <c r="CN389" s="33"/>
      <c r="CO389" s="31"/>
      <c r="CP389" s="32"/>
      <c r="CQ389" s="33"/>
      <c r="CR389" s="33"/>
      <c r="CS389" s="33"/>
      <c r="CT389" s="33"/>
      <c r="CU389" s="33"/>
      <c r="CV389" s="33"/>
      <c r="CW389" s="33"/>
      <c r="CX389" s="33"/>
      <c r="CY389" s="33"/>
      <c r="CZ389" s="33"/>
      <c r="DA389" s="33"/>
      <c r="DB389" s="31"/>
      <c r="DC389" s="32"/>
      <c r="DD389" s="33"/>
      <c r="DE389" s="33"/>
      <c r="DF389" s="33"/>
      <c r="DG389" s="33"/>
      <c r="DH389" s="33"/>
      <c r="DI389" s="33"/>
      <c r="DJ389" s="33"/>
      <c r="DK389" s="33"/>
      <c r="DL389" s="33"/>
      <c r="DM389" s="33"/>
      <c r="DN389" s="33"/>
      <c r="DO389" s="31"/>
      <c r="DP389" s="32"/>
      <c r="DQ389" s="33"/>
      <c r="DR389" s="33"/>
      <c r="DS389" s="33"/>
      <c r="DT389" s="33"/>
      <c r="DU389" s="33"/>
      <c r="DV389" s="33"/>
      <c r="DW389" s="33"/>
      <c r="DX389" s="33"/>
      <c r="DY389" s="33"/>
      <c r="DZ389" s="33"/>
      <c r="EA389" s="33"/>
      <c r="EB389" s="31"/>
      <c r="EC389" s="32"/>
      <c r="ED389" s="33"/>
      <c r="EE389" s="33"/>
      <c r="EF389" s="33"/>
      <c r="EG389" s="33"/>
      <c r="EH389" s="33"/>
      <c r="EI389" s="33"/>
      <c r="EJ389" s="33"/>
      <c r="EK389" s="33"/>
      <c r="EL389" s="33"/>
      <c r="EM389" s="33"/>
      <c r="EN389" s="33"/>
      <c r="EO389" s="31"/>
      <c r="EP389" s="32"/>
      <c r="EQ389" s="33"/>
      <c r="ER389" s="33"/>
      <c r="ES389" s="33"/>
      <c r="ET389" s="33"/>
      <c r="EU389" s="33"/>
      <c r="EV389" s="33"/>
      <c r="EW389" s="33"/>
      <c r="EX389" s="33"/>
      <c r="EY389" s="33"/>
      <c r="EZ389" s="33"/>
      <c r="FA389" s="33"/>
      <c r="FB389" s="31"/>
      <c r="FC389" s="32"/>
      <c r="FD389" s="33"/>
      <c r="FE389" s="33"/>
      <c r="FF389" s="33"/>
      <c r="FG389" s="33"/>
      <c r="FH389" s="33"/>
      <c r="FI389" s="33"/>
      <c r="FJ389" s="33"/>
      <c r="FK389" s="33"/>
      <c r="FL389" s="33"/>
      <c r="FM389" s="33"/>
      <c r="FN389" s="33"/>
      <c r="FO389" s="34">
        <f t="shared" ref="FO389:FV389" si="382">IFERROR(R389*1,0)+IFERROR(AE389*1,0)+IFERROR(AR389*1,0)+IFERROR(BE389*1,0)+IFERROR(BR389*1,0)+IFERROR(CE389*1,0)+IFERROR(CR389*1,0)+IFERROR(DE389*1,0)+IFERROR(DR389*1,0)+IFERROR(EE389*1,0)+IFERROR(ER389*1,0)+IFERROR(FE389*1,0)</f>
        <v>0</v>
      </c>
      <c r="FP389" s="34">
        <f t="shared" si="382"/>
        <v>0</v>
      </c>
      <c r="FQ389" s="34">
        <f t="shared" si="382"/>
        <v>0</v>
      </c>
      <c r="FR389" s="34">
        <f t="shared" si="382"/>
        <v>0</v>
      </c>
      <c r="FS389" s="34">
        <f t="shared" si="382"/>
        <v>0</v>
      </c>
      <c r="FT389" s="34">
        <f t="shared" si="382"/>
        <v>0</v>
      </c>
      <c r="FU389" s="34">
        <f t="shared" si="382"/>
        <v>0</v>
      </c>
      <c r="FV389" s="34">
        <f t="shared" si="382"/>
        <v>0</v>
      </c>
      <c r="FW389" s="28"/>
      <c r="FX389" s="29">
        <f t="shared" si="3"/>
        <v>0</v>
      </c>
    </row>
    <row r="390" spans="1:180" ht="18" customHeight="1" x14ac:dyDescent="0.25">
      <c r="A390" s="3" t="str">
        <f>IF(C390&lt;&gt;"","DRG-"&amp;TEXT(385,"000"),"")</f>
        <v/>
      </c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38">
        <v>4</v>
      </c>
      <c r="M390" s="23" t="str">
        <f t="shared" si="0"/>
        <v>✘ Pending</v>
      </c>
      <c r="N390" s="23">
        <f t="shared" si="1"/>
        <v>0</v>
      </c>
      <c r="O390" s="25"/>
      <c r="P390" s="26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  <c r="AB390" s="25"/>
      <c r="AC390" s="26"/>
      <c r="AD390" s="24"/>
      <c r="AE390" s="24"/>
      <c r="AF390" s="24"/>
      <c r="AG390" s="24"/>
      <c r="AH390" s="24"/>
      <c r="AI390" s="24"/>
      <c r="AJ390" s="24"/>
      <c r="AK390" s="24"/>
      <c r="AL390" s="24"/>
      <c r="AM390" s="24"/>
      <c r="AN390" s="24"/>
      <c r="AO390" s="25"/>
      <c r="AP390" s="26"/>
      <c r="AQ390" s="24"/>
      <c r="AR390" s="24"/>
      <c r="AS390" s="24"/>
      <c r="AT390" s="24"/>
      <c r="AU390" s="24"/>
      <c r="AV390" s="24"/>
      <c r="AW390" s="24"/>
      <c r="AX390" s="24"/>
      <c r="AY390" s="24"/>
      <c r="AZ390" s="24"/>
      <c r="BA390" s="24"/>
      <c r="BB390" s="25"/>
      <c r="BC390" s="26"/>
      <c r="BD390" s="24"/>
      <c r="BE390" s="24"/>
      <c r="BF390" s="24"/>
      <c r="BG390" s="24"/>
      <c r="BH390" s="24"/>
      <c r="BI390" s="24"/>
      <c r="BJ390" s="24"/>
      <c r="BK390" s="24"/>
      <c r="BL390" s="24"/>
      <c r="BM390" s="24"/>
      <c r="BN390" s="24"/>
      <c r="BO390" s="25"/>
      <c r="BP390" s="26"/>
      <c r="BQ390" s="24"/>
      <c r="BR390" s="24"/>
      <c r="BS390" s="24"/>
      <c r="BT390" s="24"/>
      <c r="BU390" s="24"/>
      <c r="BV390" s="24"/>
      <c r="BW390" s="24"/>
      <c r="BX390" s="24"/>
      <c r="BY390" s="24"/>
      <c r="BZ390" s="24"/>
      <c r="CA390" s="24"/>
      <c r="CB390" s="25"/>
      <c r="CC390" s="26"/>
      <c r="CD390" s="24"/>
      <c r="CE390" s="24"/>
      <c r="CF390" s="24"/>
      <c r="CG390" s="24"/>
      <c r="CH390" s="24"/>
      <c r="CI390" s="24"/>
      <c r="CJ390" s="24"/>
      <c r="CK390" s="24"/>
      <c r="CL390" s="24"/>
      <c r="CM390" s="24"/>
      <c r="CN390" s="24"/>
      <c r="CO390" s="25"/>
      <c r="CP390" s="26"/>
      <c r="CQ390" s="24"/>
      <c r="CR390" s="24"/>
      <c r="CS390" s="24"/>
      <c r="CT390" s="24"/>
      <c r="CU390" s="24"/>
      <c r="CV390" s="24"/>
      <c r="CW390" s="24"/>
      <c r="CX390" s="24"/>
      <c r="CY390" s="24"/>
      <c r="CZ390" s="24"/>
      <c r="DA390" s="24"/>
      <c r="DB390" s="25"/>
      <c r="DC390" s="26"/>
      <c r="DD390" s="24"/>
      <c r="DE390" s="24"/>
      <c r="DF390" s="24"/>
      <c r="DG390" s="24"/>
      <c r="DH390" s="24"/>
      <c r="DI390" s="24"/>
      <c r="DJ390" s="24"/>
      <c r="DK390" s="24"/>
      <c r="DL390" s="24"/>
      <c r="DM390" s="24"/>
      <c r="DN390" s="24"/>
      <c r="DO390" s="25"/>
      <c r="DP390" s="26"/>
      <c r="DQ390" s="24"/>
      <c r="DR390" s="24"/>
      <c r="DS390" s="24"/>
      <c r="DT390" s="24"/>
      <c r="DU390" s="24"/>
      <c r="DV390" s="24"/>
      <c r="DW390" s="24"/>
      <c r="DX390" s="24"/>
      <c r="DY390" s="24"/>
      <c r="DZ390" s="24"/>
      <c r="EA390" s="24"/>
      <c r="EB390" s="25"/>
      <c r="EC390" s="26"/>
      <c r="ED390" s="24"/>
      <c r="EE390" s="24"/>
      <c r="EF390" s="24"/>
      <c r="EG390" s="24"/>
      <c r="EH390" s="24"/>
      <c r="EI390" s="24"/>
      <c r="EJ390" s="24"/>
      <c r="EK390" s="24"/>
      <c r="EL390" s="24"/>
      <c r="EM390" s="24"/>
      <c r="EN390" s="24"/>
      <c r="EO390" s="25"/>
      <c r="EP390" s="26"/>
      <c r="EQ390" s="24"/>
      <c r="ER390" s="24"/>
      <c r="ES390" s="24"/>
      <c r="ET390" s="24"/>
      <c r="EU390" s="24"/>
      <c r="EV390" s="24"/>
      <c r="EW390" s="24"/>
      <c r="EX390" s="24"/>
      <c r="EY390" s="24"/>
      <c r="EZ390" s="24"/>
      <c r="FA390" s="24"/>
      <c r="FB390" s="25"/>
      <c r="FC390" s="26"/>
      <c r="FD390" s="24"/>
      <c r="FE390" s="24"/>
      <c r="FF390" s="24"/>
      <c r="FG390" s="24"/>
      <c r="FH390" s="24"/>
      <c r="FI390" s="24"/>
      <c r="FJ390" s="24"/>
      <c r="FK390" s="24"/>
      <c r="FL390" s="24"/>
      <c r="FM390" s="24"/>
      <c r="FN390" s="24"/>
      <c r="FO390" s="27">
        <f t="shared" ref="FO390:FV390" si="383">IFERROR(R390*1,0)+IFERROR(AE390*1,0)+IFERROR(AR390*1,0)+IFERROR(BE390*1,0)+IFERROR(BR390*1,0)+IFERROR(CE390*1,0)+IFERROR(CR390*1,0)+IFERROR(DE390*1,0)+IFERROR(DR390*1,0)+IFERROR(EE390*1,0)+IFERROR(ER390*1,0)+IFERROR(FE390*1,0)</f>
        <v>0</v>
      </c>
      <c r="FP390" s="27">
        <f t="shared" si="383"/>
        <v>0</v>
      </c>
      <c r="FQ390" s="27">
        <f t="shared" si="383"/>
        <v>0</v>
      </c>
      <c r="FR390" s="27">
        <f t="shared" si="383"/>
        <v>0</v>
      </c>
      <c r="FS390" s="27">
        <f t="shared" si="383"/>
        <v>0</v>
      </c>
      <c r="FT390" s="27">
        <f t="shared" si="383"/>
        <v>0</v>
      </c>
      <c r="FU390" s="27">
        <f t="shared" si="383"/>
        <v>0</v>
      </c>
      <c r="FV390" s="27">
        <f t="shared" si="383"/>
        <v>0</v>
      </c>
      <c r="FW390" s="28"/>
      <c r="FX390" s="29">
        <f t="shared" si="3"/>
        <v>0</v>
      </c>
    </row>
    <row r="391" spans="1:180" ht="18" customHeight="1" x14ac:dyDescent="0.25">
      <c r="A391" s="3" t="str">
        <f>IF(C391&lt;&gt;"","DRG-"&amp;TEXT(386,"000"),"")</f>
        <v/>
      </c>
      <c r="B391" s="33"/>
      <c r="C391" s="33"/>
      <c r="D391" s="33"/>
      <c r="E391" s="33"/>
      <c r="F391" s="33"/>
      <c r="G391" s="33"/>
      <c r="H391" s="33"/>
      <c r="I391" s="33"/>
      <c r="J391" s="33"/>
      <c r="K391" s="33"/>
      <c r="L391" s="37">
        <v>4</v>
      </c>
      <c r="M391" s="30" t="str">
        <f t="shared" si="0"/>
        <v>✘ Pending</v>
      </c>
      <c r="N391" s="30">
        <f t="shared" si="1"/>
        <v>0</v>
      </c>
      <c r="O391" s="31"/>
      <c r="P391" s="32"/>
      <c r="Q391" s="33"/>
      <c r="R391" s="33"/>
      <c r="S391" s="33"/>
      <c r="T391" s="33"/>
      <c r="U391" s="33"/>
      <c r="V391" s="33"/>
      <c r="W391" s="33"/>
      <c r="X391" s="33"/>
      <c r="Y391" s="33"/>
      <c r="Z391" s="33"/>
      <c r="AA391" s="33"/>
      <c r="AB391" s="31"/>
      <c r="AC391" s="32"/>
      <c r="AD391" s="33"/>
      <c r="AE391" s="33"/>
      <c r="AF391" s="33"/>
      <c r="AG391" s="33"/>
      <c r="AH391" s="33"/>
      <c r="AI391" s="33"/>
      <c r="AJ391" s="33"/>
      <c r="AK391" s="33"/>
      <c r="AL391" s="33"/>
      <c r="AM391" s="33"/>
      <c r="AN391" s="33"/>
      <c r="AO391" s="31"/>
      <c r="AP391" s="32"/>
      <c r="AQ391" s="33"/>
      <c r="AR391" s="33"/>
      <c r="AS391" s="33"/>
      <c r="AT391" s="33"/>
      <c r="AU391" s="33"/>
      <c r="AV391" s="33"/>
      <c r="AW391" s="33"/>
      <c r="AX391" s="33"/>
      <c r="AY391" s="33"/>
      <c r="AZ391" s="33"/>
      <c r="BA391" s="33"/>
      <c r="BB391" s="31"/>
      <c r="BC391" s="32"/>
      <c r="BD391" s="33"/>
      <c r="BE391" s="33"/>
      <c r="BF391" s="33"/>
      <c r="BG391" s="33"/>
      <c r="BH391" s="33"/>
      <c r="BI391" s="33"/>
      <c r="BJ391" s="33"/>
      <c r="BK391" s="33"/>
      <c r="BL391" s="33"/>
      <c r="BM391" s="33"/>
      <c r="BN391" s="33"/>
      <c r="BO391" s="31"/>
      <c r="BP391" s="32"/>
      <c r="BQ391" s="33"/>
      <c r="BR391" s="33"/>
      <c r="BS391" s="33"/>
      <c r="BT391" s="33"/>
      <c r="BU391" s="33"/>
      <c r="BV391" s="33"/>
      <c r="BW391" s="33"/>
      <c r="BX391" s="33"/>
      <c r="BY391" s="33"/>
      <c r="BZ391" s="33"/>
      <c r="CA391" s="33"/>
      <c r="CB391" s="31"/>
      <c r="CC391" s="32"/>
      <c r="CD391" s="33"/>
      <c r="CE391" s="33"/>
      <c r="CF391" s="33"/>
      <c r="CG391" s="33"/>
      <c r="CH391" s="33"/>
      <c r="CI391" s="33"/>
      <c r="CJ391" s="33"/>
      <c r="CK391" s="33"/>
      <c r="CL391" s="33"/>
      <c r="CM391" s="33"/>
      <c r="CN391" s="33"/>
      <c r="CO391" s="31"/>
      <c r="CP391" s="32"/>
      <c r="CQ391" s="33"/>
      <c r="CR391" s="33"/>
      <c r="CS391" s="33"/>
      <c r="CT391" s="33"/>
      <c r="CU391" s="33"/>
      <c r="CV391" s="33"/>
      <c r="CW391" s="33"/>
      <c r="CX391" s="33"/>
      <c r="CY391" s="33"/>
      <c r="CZ391" s="33"/>
      <c r="DA391" s="33"/>
      <c r="DB391" s="31"/>
      <c r="DC391" s="32"/>
      <c r="DD391" s="33"/>
      <c r="DE391" s="33"/>
      <c r="DF391" s="33"/>
      <c r="DG391" s="33"/>
      <c r="DH391" s="33"/>
      <c r="DI391" s="33"/>
      <c r="DJ391" s="33"/>
      <c r="DK391" s="33"/>
      <c r="DL391" s="33"/>
      <c r="DM391" s="33"/>
      <c r="DN391" s="33"/>
      <c r="DO391" s="31"/>
      <c r="DP391" s="32"/>
      <c r="DQ391" s="33"/>
      <c r="DR391" s="33"/>
      <c r="DS391" s="33"/>
      <c r="DT391" s="33"/>
      <c r="DU391" s="33"/>
      <c r="DV391" s="33"/>
      <c r="DW391" s="33"/>
      <c r="DX391" s="33"/>
      <c r="DY391" s="33"/>
      <c r="DZ391" s="33"/>
      <c r="EA391" s="33"/>
      <c r="EB391" s="31"/>
      <c r="EC391" s="32"/>
      <c r="ED391" s="33"/>
      <c r="EE391" s="33"/>
      <c r="EF391" s="33"/>
      <c r="EG391" s="33"/>
      <c r="EH391" s="33"/>
      <c r="EI391" s="33"/>
      <c r="EJ391" s="33"/>
      <c r="EK391" s="33"/>
      <c r="EL391" s="33"/>
      <c r="EM391" s="33"/>
      <c r="EN391" s="33"/>
      <c r="EO391" s="31"/>
      <c r="EP391" s="32"/>
      <c r="EQ391" s="33"/>
      <c r="ER391" s="33"/>
      <c r="ES391" s="33"/>
      <c r="ET391" s="33"/>
      <c r="EU391" s="33"/>
      <c r="EV391" s="33"/>
      <c r="EW391" s="33"/>
      <c r="EX391" s="33"/>
      <c r="EY391" s="33"/>
      <c r="EZ391" s="33"/>
      <c r="FA391" s="33"/>
      <c r="FB391" s="31"/>
      <c r="FC391" s="32"/>
      <c r="FD391" s="33"/>
      <c r="FE391" s="33"/>
      <c r="FF391" s="33"/>
      <c r="FG391" s="33"/>
      <c r="FH391" s="33"/>
      <c r="FI391" s="33"/>
      <c r="FJ391" s="33"/>
      <c r="FK391" s="33"/>
      <c r="FL391" s="33"/>
      <c r="FM391" s="33"/>
      <c r="FN391" s="33"/>
      <c r="FO391" s="34">
        <f t="shared" ref="FO391:FV391" si="384">IFERROR(R391*1,0)+IFERROR(AE391*1,0)+IFERROR(AR391*1,0)+IFERROR(BE391*1,0)+IFERROR(BR391*1,0)+IFERROR(CE391*1,0)+IFERROR(CR391*1,0)+IFERROR(DE391*1,0)+IFERROR(DR391*1,0)+IFERROR(EE391*1,0)+IFERROR(ER391*1,0)+IFERROR(FE391*1,0)</f>
        <v>0</v>
      </c>
      <c r="FP391" s="34">
        <f t="shared" si="384"/>
        <v>0</v>
      </c>
      <c r="FQ391" s="34">
        <f t="shared" si="384"/>
        <v>0</v>
      </c>
      <c r="FR391" s="34">
        <f t="shared" si="384"/>
        <v>0</v>
      </c>
      <c r="FS391" s="34">
        <f t="shared" si="384"/>
        <v>0</v>
      </c>
      <c r="FT391" s="34">
        <f t="shared" si="384"/>
        <v>0</v>
      </c>
      <c r="FU391" s="34">
        <f t="shared" si="384"/>
        <v>0</v>
      </c>
      <c r="FV391" s="34">
        <f t="shared" si="384"/>
        <v>0</v>
      </c>
      <c r="FW391" s="28"/>
      <c r="FX391" s="29">
        <f t="shared" si="3"/>
        <v>0</v>
      </c>
    </row>
    <row r="392" spans="1:180" ht="18" customHeight="1" x14ac:dyDescent="0.25">
      <c r="A392" s="3" t="str">
        <f>IF(C392&lt;&gt;"","DRG-"&amp;TEXT(387,"000"),"")</f>
        <v/>
      </c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38">
        <v>4</v>
      </c>
      <c r="M392" s="23" t="str">
        <f t="shared" si="0"/>
        <v>✘ Pending</v>
      </c>
      <c r="N392" s="23">
        <f t="shared" si="1"/>
        <v>0</v>
      </c>
      <c r="O392" s="25"/>
      <c r="P392" s="26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  <c r="AB392" s="25"/>
      <c r="AC392" s="26"/>
      <c r="AD392" s="24"/>
      <c r="AE392" s="24"/>
      <c r="AF392" s="24"/>
      <c r="AG392" s="24"/>
      <c r="AH392" s="24"/>
      <c r="AI392" s="24"/>
      <c r="AJ392" s="24"/>
      <c r="AK392" s="24"/>
      <c r="AL392" s="24"/>
      <c r="AM392" s="24"/>
      <c r="AN392" s="24"/>
      <c r="AO392" s="25"/>
      <c r="AP392" s="26"/>
      <c r="AQ392" s="24"/>
      <c r="AR392" s="24"/>
      <c r="AS392" s="24"/>
      <c r="AT392" s="24"/>
      <c r="AU392" s="24"/>
      <c r="AV392" s="24"/>
      <c r="AW392" s="24"/>
      <c r="AX392" s="24"/>
      <c r="AY392" s="24"/>
      <c r="AZ392" s="24"/>
      <c r="BA392" s="24"/>
      <c r="BB392" s="25"/>
      <c r="BC392" s="26"/>
      <c r="BD392" s="24"/>
      <c r="BE392" s="24"/>
      <c r="BF392" s="24"/>
      <c r="BG392" s="24"/>
      <c r="BH392" s="24"/>
      <c r="BI392" s="24"/>
      <c r="BJ392" s="24"/>
      <c r="BK392" s="24"/>
      <c r="BL392" s="24"/>
      <c r="BM392" s="24"/>
      <c r="BN392" s="24"/>
      <c r="BO392" s="25"/>
      <c r="BP392" s="26"/>
      <c r="BQ392" s="24"/>
      <c r="BR392" s="24"/>
      <c r="BS392" s="24"/>
      <c r="BT392" s="24"/>
      <c r="BU392" s="24"/>
      <c r="BV392" s="24"/>
      <c r="BW392" s="24"/>
      <c r="BX392" s="24"/>
      <c r="BY392" s="24"/>
      <c r="BZ392" s="24"/>
      <c r="CA392" s="24"/>
      <c r="CB392" s="25"/>
      <c r="CC392" s="26"/>
      <c r="CD392" s="24"/>
      <c r="CE392" s="24"/>
      <c r="CF392" s="24"/>
      <c r="CG392" s="24"/>
      <c r="CH392" s="24"/>
      <c r="CI392" s="24"/>
      <c r="CJ392" s="24"/>
      <c r="CK392" s="24"/>
      <c r="CL392" s="24"/>
      <c r="CM392" s="24"/>
      <c r="CN392" s="24"/>
      <c r="CO392" s="25"/>
      <c r="CP392" s="26"/>
      <c r="CQ392" s="24"/>
      <c r="CR392" s="24"/>
      <c r="CS392" s="24"/>
      <c r="CT392" s="24"/>
      <c r="CU392" s="24"/>
      <c r="CV392" s="24"/>
      <c r="CW392" s="24"/>
      <c r="CX392" s="24"/>
      <c r="CY392" s="24"/>
      <c r="CZ392" s="24"/>
      <c r="DA392" s="24"/>
      <c r="DB392" s="25"/>
      <c r="DC392" s="26"/>
      <c r="DD392" s="24"/>
      <c r="DE392" s="24"/>
      <c r="DF392" s="24"/>
      <c r="DG392" s="24"/>
      <c r="DH392" s="24"/>
      <c r="DI392" s="24"/>
      <c r="DJ392" s="24"/>
      <c r="DK392" s="24"/>
      <c r="DL392" s="24"/>
      <c r="DM392" s="24"/>
      <c r="DN392" s="24"/>
      <c r="DO392" s="25"/>
      <c r="DP392" s="26"/>
      <c r="DQ392" s="24"/>
      <c r="DR392" s="24"/>
      <c r="DS392" s="24"/>
      <c r="DT392" s="24"/>
      <c r="DU392" s="24"/>
      <c r="DV392" s="24"/>
      <c r="DW392" s="24"/>
      <c r="DX392" s="24"/>
      <c r="DY392" s="24"/>
      <c r="DZ392" s="24"/>
      <c r="EA392" s="24"/>
      <c r="EB392" s="25"/>
      <c r="EC392" s="26"/>
      <c r="ED392" s="24"/>
      <c r="EE392" s="24"/>
      <c r="EF392" s="24"/>
      <c r="EG392" s="24"/>
      <c r="EH392" s="24"/>
      <c r="EI392" s="24"/>
      <c r="EJ392" s="24"/>
      <c r="EK392" s="24"/>
      <c r="EL392" s="24"/>
      <c r="EM392" s="24"/>
      <c r="EN392" s="24"/>
      <c r="EO392" s="25"/>
      <c r="EP392" s="26"/>
      <c r="EQ392" s="24"/>
      <c r="ER392" s="24"/>
      <c r="ES392" s="24"/>
      <c r="ET392" s="24"/>
      <c r="EU392" s="24"/>
      <c r="EV392" s="24"/>
      <c r="EW392" s="24"/>
      <c r="EX392" s="24"/>
      <c r="EY392" s="24"/>
      <c r="EZ392" s="24"/>
      <c r="FA392" s="24"/>
      <c r="FB392" s="25"/>
      <c r="FC392" s="26"/>
      <c r="FD392" s="24"/>
      <c r="FE392" s="24"/>
      <c r="FF392" s="24"/>
      <c r="FG392" s="24"/>
      <c r="FH392" s="24"/>
      <c r="FI392" s="24"/>
      <c r="FJ392" s="24"/>
      <c r="FK392" s="24"/>
      <c r="FL392" s="24"/>
      <c r="FM392" s="24"/>
      <c r="FN392" s="24"/>
      <c r="FO392" s="27">
        <f t="shared" ref="FO392:FV392" si="385">IFERROR(R392*1,0)+IFERROR(AE392*1,0)+IFERROR(AR392*1,0)+IFERROR(BE392*1,0)+IFERROR(BR392*1,0)+IFERROR(CE392*1,0)+IFERROR(CR392*1,0)+IFERROR(DE392*1,0)+IFERROR(DR392*1,0)+IFERROR(EE392*1,0)+IFERROR(ER392*1,0)+IFERROR(FE392*1,0)</f>
        <v>0</v>
      </c>
      <c r="FP392" s="27">
        <f t="shared" si="385"/>
        <v>0</v>
      </c>
      <c r="FQ392" s="27">
        <f t="shared" si="385"/>
        <v>0</v>
      </c>
      <c r="FR392" s="27">
        <f t="shared" si="385"/>
        <v>0</v>
      </c>
      <c r="FS392" s="27">
        <f t="shared" si="385"/>
        <v>0</v>
      </c>
      <c r="FT392" s="27">
        <f t="shared" si="385"/>
        <v>0</v>
      </c>
      <c r="FU392" s="27">
        <f t="shared" si="385"/>
        <v>0</v>
      </c>
      <c r="FV392" s="27">
        <f t="shared" si="385"/>
        <v>0</v>
      </c>
      <c r="FW392" s="28"/>
      <c r="FX392" s="29">
        <f t="shared" si="3"/>
        <v>0</v>
      </c>
    </row>
    <row r="393" spans="1:180" ht="18" customHeight="1" x14ac:dyDescent="0.25">
      <c r="A393" s="3" t="str">
        <f>IF(C393&lt;&gt;"","DRG-"&amp;TEXT(388,"000"),"")</f>
        <v/>
      </c>
      <c r="B393" s="33"/>
      <c r="C393" s="33"/>
      <c r="D393" s="33"/>
      <c r="E393" s="33"/>
      <c r="F393" s="33"/>
      <c r="G393" s="33"/>
      <c r="H393" s="33"/>
      <c r="I393" s="33"/>
      <c r="J393" s="33"/>
      <c r="K393" s="33"/>
      <c r="L393" s="37">
        <v>4</v>
      </c>
      <c r="M393" s="30" t="str">
        <f t="shared" si="0"/>
        <v>✘ Pending</v>
      </c>
      <c r="N393" s="30">
        <f t="shared" si="1"/>
        <v>0</v>
      </c>
      <c r="O393" s="31"/>
      <c r="P393" s="32"/>
      <c r="Q393" s="33"/>
      <c r="R393" s="33"/>
      <c r="S393" s="33"/>
      <c r="T393" s="33"/>
      <c r="U393" s="33"/>
      <c r="V393" s="33"/>
      <c r="W393" s="33"/>
      <c r="X393" s="33"/>
      <c r="Y393" s="33"/>
      <c r="Z393" s="33"/>
      <c r="AA393" s="33"/>
      <c r="AB393" s="31"/>
      <c r="AC393" s="32"/>
      <c r="AD393" s="33"/>
      <c r="AE393" s="33"/>
      <c r="AF393" s="33"/>
      <c r="AG393" s="33"/>
      <c r="AH393" s="33"/>
      <c r="AI393" s="33"/>
      <c r="AJ393" s="33"/>
      <c r="AK393" s="33"/>
      <c r="AL393" s="33"/>
      <c r="AM393" s="33"/>
      <c r="AN393" s="33"/>
      <c r="AO393" s="31"/>
      <c r="AP393" s="32"/>
      <c r="AQ393" s="33"/>
      <c r="AR393" s="33"/>
      <c r="AS393" s="33"/>
      <c r="AT393" s="33"/>
      <c r="AU393" s="33"/>
      <c r="AV393" s="33"/>
      <c r="AW393" s="33"/>
      <c r="AX393" s="33"/>
      <c r="AY393" s="33"/>
      <c r="AZ393" s="33"/>
      <c r="BA393" s="33"/>
      <c r="BB393" s="31"/>
      <c r="BC393" s="32"/>
      <c r="BD393" s="33"/>
      <c r="BE393" s="33"/>
      <c r="BF393" s="33"/>
      <c r="BG393" s="33"/>
      <c r="BH393" s="33"/>
      <c r="BI393" s="33"/>
      <c r="BJ393" s="33"/>
      <c r="BK393" s="33"/>
      <c r="BL393" s="33"/>
      <c r="BM393" s="33"/>
      <c r="BN393" s="33"/>
      <c r="BO393" s="31"/>
      <c r="BP393" s="32"/>
      <c r="BQ393" s="33"/>
      <c r="BR393" s="33"/>
      <c r="BS393" s="33"/>
      <c r="BT393" s="33"/>
      <c r="BU393" s="33"/>
      <c r="BV393" s="33"/>
      <c r="BW393" s="33"/>
      <c r="BX393" s="33"/>
      <c r="BY393" s="33"/>
      <c r="BZ393" s="33"/>
      <c r="CA393" s="33"/>
      <c r="CB393" s="31"/>
      <c r="CC393" s="32"/>
      <c r="CD393" s="33"/>
      <c r="CE393" s="33"/>
      <c r="CF393" s="33"/>
      <c r="CG393" s="33"/>
      <c r="CH393" s="33"/>
      <c r="CI393" s="33"/>
      <c r="CJ393" s="33"/>
      <c r="CK393" s="33"/>
      <c r="CL393" s="33"/>
      <c r="CM393" s="33"/>
      <c r="CN393" s="33"/>
      <c r="CO393" s="31"/>
      <c r="CP393" s="32"/>
      <c r="CQ393" s="33"/>
      <c r="CR393" s="33"/>
      <c r="CS393" s="33"/>
      <c r="CT393" s="33"/>
      <c r="CU393" s="33"/>
      <c r="CV393" s="33"/>
      <c r="CW393" s="33"/>
      <c r="CX393" s="33"/>
      <c r="CY393" s="33"/>
      <c r="CZ393" s="33"/>
      <c r="DA393" s="33"/>
      <c r="DB393" s="31"/>
      <c r="DC393" s="32"/>
      <c r="DD393" s="33"/>
      <c r="DE393" s="33"/>
      <c r="DF393" s="33"/>
      <c r="DG393" s="33"/>
      <c r="DH393" s="33"/>
      <c r="DI393" s="33"/>
      <c r="DJ393" s="33"/>
      <c r="DK393" s="33"/>
      <c r="DL393" s="33"/>
      <c r="DM393" s="33"/>
      <c r="DN393" s="33"/>
      <c r="DO393" s="31"/>
      <c r="DP393" s="32"/>
      <c r="DQ393" s="33"/>
      <c r="DR393" s="33"/>
      <c r="DS393" s="33"/>
      <c r="DT393" s="33"/>
      <c r="DU393" s="33"/>
      <c r="DV393" s="33"/>
      <c r="DW393" s="33"/>
      <c r="DX393" s="33"/>
      <c r="DY393" s="33"/>
      <c r="DZ393" s="33"/>
      <c r="EA393" s="33"/>
      <c r="EB393" s="31"/>
      <c r="EC393" s="32"/>
      <c r="ED393" s="33"/>
      <c r="EE393" s="33"/>
      <c r="EF393" s="33"/>
      <c r="EG393" s="33"/>
      <c r="EH393" s="33"/>
      <c r="EI393" s="33"/>
      <c r="EJ393" s="33"/>
      <c r="EK393" s="33"/>
      <c r="EL393" s="33"/>
      <c r="EM393" s="33"/>
      <c r="EN393" s="33"/>
      <c r="EO393" s="31"/>
      <c r="EP393" s="32"/>
      <c r="EQ393" s="33"/>
      <c r="ER393" s="33"/>
      <c r="ES393" s="33"/>
      <c r="ET393" s="33"/>
      <c r="EU393" s="33"/>
      <c r="EV393" s="33"/>
      <c r="EW393" s="33"/>
      <c r="EX393" s="33"/>
      <c r="EY393" s="33"/>
      <c r="EZ393" s="33"/>
      <c r="FA393" s="33"/>
      <c r="FB393" s="31"/>
      <c r="FC393" s="32"/>
      <c r="FD393" s="33"/>
      <c r="FE393" s="33"/>
      <c r="FF393" s="33"/>
      <c r="FG393" s="33"/>
      <c r="FH393" s="33"/>
      <c r="FI393" s="33"/>
      <c r="FJ393" s="33"/>
      <c r="FK393" s="33"/>
      <c r="FL393" s="33"/>
      <c r="FM393" s="33"/>
      <c r="FN393" s="33"/>
      <c r="FO393" s="34">
        <f t="shared" ref="FO393:FV393" si="386">IFERROR(R393*1,0)+IFERROR(AE393*1,0)+IFERROR(AR393*1,0)+IFERROR(BE393*1,0)+IFERROR(BR393*1,0)+IFERROR(CE393*1,0)+IFERROR(CR393*1,0)+IFERROR(DE393*1,0)+IFERROR(DR393*1,0)+IFERROR(EE393*1,0)+IFERROR(ER393*1,0)+IFERROR(FE393*1,0)</f>
        <v>0</v>
      </c>
      <c r="FP393" s="34">
        <f t="shared" si="386"/>
        <v>0</v>
      </c>
      <c r="FQ393" s="34">
        <f t="shared" si="386"/>
        <v>0</v>
      </c>
      <c r="FR393" s="34">
        <f t="shared" si="386"/>
        <v>0</v>
      </c>
      <c r="FS393" s="34">
        <f t="shared" si="386"/>
        <v>0</v>
      </c>
      <c r="FT393" s="34">
        <f t="shared" si="386"/>
        <v>0</v>
      </c>
      <c r="FU393" s="34">
        <f t="shared" si="386"/>
        <v>0</v>
      </c>
      <c r="FV393" s="34">
        <f t="shared" si="386"/>
        <v>0</v>
      </c>
      <c r="FW393" s="28"/>
      <c r="FX393" s="29">
        <f t="shared" si="3"/>
        <v>0</v>
      </c>
    </row>
    <row r="394" spans="1:180" ht="18" customHeight="1" x14ac:dyDescent="0.25">
      <c r="A394" s="3" t="str">
        <f>IF(C394&lt;&gt;"","DRG-"&amp;TEXT(389,"000"),"")</f>
        <v/>
      </c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38">
        <v>4</v>
      </c>
      <c r="M394" s="23" t="str">
        <f t="shared" si="0"/>
        <v>✘ Pending</v>
      </c>
      <c r="N394" s="23">
        <f t="shared" si="1"/>
        <v>0</v>
      </c>
      <c r="O394" s="25"/>
      <c r="P394" s="26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  <c r="AB394" s="25"/>
      <c r="AC394" s="26"/>
      <c r="AD394" s="24"/>
      <c r="AE394" s="24"/>
      <c r="AF394" s="24"/>
      <c r="AG394" s="24"/>
      <c r="AH394" s="24"/>
      <c r="AI394" s="24"/>
      <c r="AJ394" s="24"/>
      <c r="AK394" s="24"/>
      <c r="AL394" s="24"/>
      <c r="AM394" s="24"/>
      <c r="AN394" s="24"/>
      <c r="AO394" s="25"/>
      <c r="AP394" s="26"/>
      <c r="AQ394" s="24"/>
      <c r="AR394" s="24"/>
      <c r="AS394" s="24"/>
      <c r="AT394" s="24"/>
      <c r="AU394" s="24"/>
      <c r="AV394" s="24"/>
      <c r="AW394" s="24"/>
      <c r="AX394" s="24"/>
      <c r="AY394" s="24"/>
      <c r="AZ394" s="24"/>
      <c r="BA394" s="24"/>
      <c r="BB394" s="25"/>
      <c r="BC394" s="26"/>
      <c r="BD394" s="24"/>
      <c r="BE394" s="24"/>
      <c r="BF394" s="24"/>
      <c r="BG394" s="24"/>
      <c r="BH394" s="24"/>
      <c r="BI394" s="24"/>
      <c r="BJ394" s="24"/>
      <c r="BK394" s="24"/>
      <c r="BL394" s="24"/>
      <c r="BM394" s="24"/>
      <c r="BN394" s="24"/>
      <c r="BO394" s="25"/>
      <c r="BP394" s="26"/>
      <c r="BQ394" s="24"/>
      <c r="BR394" s="24"/>
      <c r="BS394" s="24"/>
      <c r="BT394" s="24"/>
      <c r="BU394" s="24"/>
      <c r="BV394" s="24"/>
      <c r="BW394" s="24"/>
      <c r="BX394" s="24"/>
      <c r="BY394" s="24"/>
      <c r="BZ394" s="24"/>
      <c r="CA394" s="24"/>
      <c r="CB394" s="25"/>
      <c r="CC394" s="26"/>
      <c r="CD394" s="24"/>
      <c r="CE394" s="24"/>
      <c r="CF394" s="24"/>
      <c r="CG394" s="24"/>
      <c r="CH394" s="24"/>
      <c r="CI394" s="24"/>
      <c r="CJ394" s="24"/>
      <c r="CK394" s="24"/>
      <c r="CL394" s="24"/>
      <c r="CM394" s="24"/>
      <c r="CN394" s="24"/>
      <c r="CO394" s="25"/>
      <c r="CP394" s="26"/>
      <c r="CQ394" s="24"/>
      <c r="CR394" s="24"/>
      <c r="CS394" s="24"/>
      <c r="CT394" s="24"/>
      <c r="CU394" s="24"/>
      <c r="CV394" s="24"/>
      <c r="CW394" s="24"/>
      <c r="CX394" s="24"/>
      <c r="CY394" s="24"/>
      <c r="CZ394" s="24"/>
      <c r="DA394" s="24"/>
      <c r="DB394" s="25"/>
      <c r="DC394" s="26"/>
      <c r="DD394" s="24"/>
      <c r="DE394" s="24"/>
      <c r="DF394" s="24"/>
      <c r="DG394" s="24"/>
      <c r="DH394" s="24"/>
      <c r="DI394" s="24"/>
      <c r="DJ394" s="24"/>
      <c r="DK394" s="24"/>
      <c r="DL394" s="24"/>
      <c r="DM394" s="24"/>
      <c r="DN394" s="24"/>
      <c r="DO394" s="25"/>
      <c r="DP394" s="26"/>
      <c r="DQ394" s="24"/>
      <c r="DR394" s="24"/>
      <c r="DS394" s="24"/>
      <c r="DT394" s="24"/>
      <c r="DU394" s="24"/>
      <c r="DV394" s="24"/>
      <c r="DW394" s="24"/>
      <c r="DX394" s="24"/>
      <c r="DY394" s="24"/>
      <c r="DZ394" s="24"/>
      <c r="EA394" s="24"/>
      <c r="EB394" s="25"/>
      <c r="EC394" s="26"/>
      <c r="ED394" s="24"/>
      <c r="EE394" s="24"/>
      <c r="EF394" s="24"/>
      <c r="EG394" s="24"/>
      <c r="EH394" s="24"/>
      <c r="EI394" s="24"/>
      <c r="EJ394" s="24"/>
      <c r="EK394" s="24"/>
      <c r="EL394" s="24"/>
      <c r="EM394" s="24"/>
      <c r="EN394" s="24"/>
      <c r="EO394" s="25"/>
      <c r="EP394" s="26"/>
      <c r="EQ394" s="24"/>
      <c r="ER394" s="24"/>
      <c r="ES394" s="24"/>
      <c r="ET394" s="24"/>
      <c r="EU394" s="24"/>
      <c r="EV394" s="24"/>
      <c r="EW394" s="24"/>
      <c r="EX394" s="24"/>
      <c r="EY394" s="24"/>
      <c r="EZ394" s="24"/>
      <c r="FA394" s="24"/>
      <c r="FB394" s="25"/>
      <c r="FC394" s="26"/>
      <c r="FD394" s="24"/>
      <c r="FE394" s="24"/>
      <c r="FF394" s="24"/>
      <c r="FG394" s="24"/>
      <c r="FH394" s="24"/>
      <c r="FI394" s="24"/>
      <c r="FJ394" s="24"/>
      <c r="FK394" s="24"/>
      <c r="FL394" s="24"/>
      <c r="FM394" s="24"/>
      <c r="FN394" s="24"/>
      <c r="FO394" s="27">
        <f t="shared" ref="FO394:FV394" si="387">IFERROR(R394*1,0)+IFERROR(AE394*1,0)+IFERROR(AR394*1,0)+IFERROR(BE394*1,0)+IFERROR(BR394*1,0)+IFERROR(CE394*1,0)+IFERROR(CR394*1,0)+IFERROR(DE394*1,0)+IFERROR(DR394*1,0)+IFERROR(EE394*1,0)+IFERROR(ER394*1,0)+IFERROR(FE394*1,0)</f>
        <v>0</v>
      </c>
      <c r="FP394" s="27">
        <f t="shared" si="387"/>
        <v>0</v>
      </c>
      <c r="FQ394" s="27">
        <f t="shared" si="387"/>
        <v>0</v>
      </c>
      <c r="FR394" s="27">
        <f t="shared" si="387"/>
        <v>0</v>
      </c>
      <c r="FS394" s="27">
        <f t="shared" si="387"/>
        <v>0</v>
      </c>
      <c r="FT394" s="27">
        <f t="shared" si="387"/>
        <v>0</v>
      </c>
      <c r="FU394" s="27">
        <f t="shared" si="387"/>
        <v>0</v>
      </c>
      <c r="FV394" s="27">
        <f t="shared" si="387"/>
        <v>0</v>
      </c>
      <c r="FW394" s="28"/>
      <c r="FX394" s="29">
        <f t="shared" si="3"/>
        <v>0</v>
      </c>
    </row>
    <row r="395" spans="1:180" ht="18" customHeight="1" x14ac:dyDescent="0.25">
      <c r="A395" s="3" t="str">
        <f>IF(C395&lt;&gt;"","DRG-"&amp;TEXT(390,"000"),"")</f>
        <v/>
      </c>
      <c r="B395" s="33"/>
      <c r="C395" s="33"/>
      <c r="D395" s="33"/>
      <c r="E395" s="33"/>
      <c r="F395" s="33"/>
      <c r="G395" s="33"/>
      <c r="H395" s="33"/>
      <c r="I395" s="33"/>
      <c r="J395" s="33"/>
      <c r="K395" s="33"/>
      <c r="L395" s="37">
        <v>4</v>
      </c>
      <c r="M395" s="30" t="str">
        <f t="shared" si="0"/>
        <v>✘ Pending</v>
      </c>
      <c r="N395" s="30">
        <f t="shared" si="1"/>
        <v>0</v>
      </c>
      <c r="O395" s="31"/>
      <c r="P395" s="32"/>
      <c r="Q395" s="33"/>
      <c r="R395" s="33"/>
      <c r="S395" s="33"/>
      <c r="T395" s="33"/>
      <c r="U395" s="33"/>
      <c r="V395" s="33"/>
      <c r="W395" s="33"/>
      <c r="X395" s="33"/>
      <c r="Y395" s="33"/>
      <c r="Z395" s="33"/>
      <c r="AA395" s="33"/>
      <c r="AB395" s="31"/>
      <c r="AC395" s="32"/>
      <c r="AD395" s="33"/>
      <c r="AE395" s="33"/>
      <c r="AF395" s="33"/>
      <c r="AG395" s="33"/>
      <c r="AH395" s="33"/>
      <c r="AI395" s="33"/>
      <c r="AJ395" s="33"/>
      <c r="AK395" s="33"/>
      <c r="AL395" s="33"/>
      <c r="AM395" s="33"/>
      <c r="AN395" s="33"/>
      <c r="AO395" s="31"/>
      <c r="AP395" s="32"/>
      <c r="AQ395" s="33"/>
      <c r="AR395" s="33"/>
      <c r="AS395" s="33"/>
      <c r="AT395" s="33"/>
      <c r="AU395" s="33"/>
      <c r="AV395" s="33"/>
      <c r="AW395" s="33"/>
      <c r="AX395" s="33"/>
      <c r="AY395" s="33"/>
      <c r="AZ395" s="33"/>
      <c r="BA395" s="33"/>
      <c r="BB395" s="31"/>
      <c r="BC395" s="32"/>
      <c r="BD395" s="33"/>
      <c r="BE395" s="33"/>
      <c r="BF395" s="33"/>
      <c r="BG395" s="33"/>
      <c r="BH395" s="33"/>
      <c r="BI395" s="33"/>
      <c r="BJ395" s="33"/>
      <c r="BK395" s="33"/>
      <c r="BL395" s="33"/>
      <c r="BM395" s="33"/>
      <c r="BN395" s="33"/>
      <c r="BO395" s="31"/>
      <c r="BP395" s="32"/>
      <c r="BQ395" s="33"/>
      <c r="BR395" s="33"/>
      <c r="BS395" s="33"/>
      <c r="BT395" s="33"/>
      <c r="BU395" s="33"/>
      <c r="BV395" s="33"/>
      <c r="BW395" s="33"/>
      <c r="BX395" s="33"/>
      <c r="BY395" s="33"/>
      <c r="BZ395" s="33"/>
      <c r="CA395" s="33"/>
      <c r="CB395" s="31"/>
      <c r="CC395" s="32"/>
      <c r="CD395" s="33"/>
      <c r="CE395" s="33"/>
      <c r="CF395" s="33"/>
      <c r="CG395" s="33"/>
      <c r="CH395" s="33"/>
      <c r="CI395" s="33"/>
      <c r="CJ395" s="33"/>
      <c r="CK395" s="33"/>
      <c r="CL395" s="33"/>
      <c r="CM395" s="33"/>
      <c r="CN395" s="33"/>
      <c r="CO395" s="31"/>
      <c r="CP395" s="32"/>
      <c r="CQ395" s="33"/>
      <c r="CR395" s="33"/>
      <c r="CS395" s="33"/>
      <c r="CT395" s="33"/>
      <c r="CU395" s="33"/>
      <c r="CV395" s="33"/>
      <c r="CW395" s="33"/>
      <c r="CX395" s="33"/>
      <c r="CY395" s="33"/>
      <c r="CZ395" s="33"/>
      <c r="DA395" s="33"/>
      <c r="DB395" s="31"/>
      <c r="DC395" s="32"/>
      <c r="DD395" s="33"/>
      <c r="DE395" s="33"/>
      <c r="DF395" s="33"/>
      <c r="DG395" s="33"/>
      <c r="DH395" s="33"/>
      <c r="DI395" s="33"/>
      <c r="DJ395" s="33"/>
      <c r="DK395" s="33"/>
      <c r="DL395" s="33"/>
      <c r="DM395" s="33"/>
      <c r="DN395" s="33"/>
      <c r="DO395" s="31"/>
      <c r="DP395" s="32"/>
      <c r="DQ395" s="33"/>
      <c r="DR395" s="33"/>
      <c r="DS395" s="33"/>
      <c r="DT395" s="33"/>
      <c r="DU395" s="33"/>
      <c r="DV395" s="33"/>
      <c r="DW395" s="33"/>
      <c r="DX395" s="33"/>
      <c r="DY395" s="33"/>
      <c r="DZ395" s="33"/>
      <c r="EA395" s="33"/>
      <c r="EB395" s="31"/>
      <c r="EC395" s="32"/>
      <c r="ED395" s="33"/>
      <c r="EE395" s="33"/>
      <c r="EF395" s="33"/>
      <c r="EG395" s="33"/>
      <c r="EH395" s="33"/>
      <c r="EI395" s="33"/>
      <c r="EJ395" s="33"/>
      <c r="EK395" s="33"/>
      <c r="EL395" s="33"/>
      <c r="EM395" s="33"/>
      <c r="EN395" s="33"/>
      <c r="EO395" s="31"/>
      <c r="EP395" s="32"/>
      <c r="EQ395" s="33"/>
      <c r="ER395" s="33"/>
      <c r="ES395" s="33"/>
      <c r="ET395" s="33"/>
      <c r="EU395" s="33"/>
      <c r="EV395" s="33"/>
      <c r="EW395" s="33"/>
      <c r="EX395" s="33"/>
      <c r="EY395" s="33"/>
      <c r="EZ395" s="33"/>
      <c r="FA395" s="33"/>
      <c r="FB395" s="31"/>
      <c r="FC395" s="32"/>
      <c r="FD395" s="33"/>
      <c r="FE395" s="33"/>
      <c r="FF395" s="33"/>
      <c r="FG395" s="33"/>
      <c r="FH395" s="33"/>
      <c r="FI395" s="33"/>
      <c r="FJ395" s="33"/>
      <c r="FK395" s="33"/>
      <c r="FL395" s="33"/>
      <c r="FM395" s="33"/>
      <c r="FN395" s="33"/>
      <c r="FO395" s="34">
        <f t="shared" ref="FO395:FV395" si="388">IFERROR(R395*1,0)+IFERROR(AE395*1,0)+IFERROR(AR395*1,0)+IFERROR(BE395*1,0)+IFERROR(BR395*1,0)+IFERROR(CE395*1,0)+IFERROR(CR395*1,0)+IFERROR(DE395*1,0)+IFERROR(DR395*1,0)+IFERROR(EE395*1,0)+IFERROR(ER395*1,0)+IFERROR(FE395*1,0)</f>
        <v>0</v>
      </c>
      <c r="FP395" s="34">
        <f t="shared" si="388"/>
        <v>0</v>
      </c>
      <c r="FQ395" s="34">
        <f t="shared" si="388"/>
        <v>0</v>
      </c>
      <c r="FR395" s="34">
        <f t="shared" si="388"/>
        <v>0</v>
      </c>
      <c r="FS395" s="34">
        <f t="shared" si="388"/>
        <v>0</v>
      </c>
      <c r="FT395" s="34">
        <f t="shared" si="388"/>
        <v>0</v>
      </c>
      <c r="FU395" s="34">
        <f t="shared" si="388"/>
        <v>0</v>
      </c>
      <c r="FV395" s="34">
        <f t="shared" si="388"/>
        <v>0</v>
      </c>
      <c r="FW395" s="28"/>
      <c r="FX395" s="29">
        <f t="shared" si="3"/>
        <v>0</v>
      </c>
    </row>
    <row r="396" spans="1:180" ht="18" customHeight="1" x14ac:dyDescent="0.25">
      <c r="A396" s="3" t="str">
        <f>IF(C396&lt;&gt;"","DRG-"&amp;TEXT(391,"000"),"")</f>
        <v/>
      </c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38">
        <v>4</v>
      </c>
      <c r="M396" s="23" t="str">
        <f t="shared" si="0"/>
        <v>✘ Pending</v>
      </c>
      <c r="N396" s="23">
        <f t="shared" si="1"/>
        <v>0</v>
      </c>
      <c r="O396" s="25"/>
      <c r="P396" s="26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  <c r="AB396" s="25"/>
      <c r="AC396" s="26"/>
      <c r="AD396" s="24"/>
      <c r="AE396" s="24"/>
      <c r="AF396" s="24"/>
      <c r="AG396" s="24"/>
      <c r="AH396" s="24"/>
      <c r="AI396" s="24"/>
      <c r="AJ396" s="24"/>
      <c r="AK396" s="24"/>
      <c r="AL396" s="24"/>
      <c r="AM396" s="24"/>
      <c r="AN396" s="24"/>
      <c r="AO396" s="25"/>
      <c r="AP396" s="26"/>
      <c r="AQ396" s="24"/>
      <c r="AR396" s="24"/>
      <c r="AS396" s="24"/>
      <c r="AT396" s="24"/>
      <c r="AU396" s="24"/>
      <c r="AV396" s="24"/>
      <c r="AW396" s="24"/>
      <c r="AX396" s="24"/>
      <c r="AY396" s="24"/>
      <c r="AZ396" s="24"/>
      <c r="BA396" s="24"/>
      <c r="BB396" s="25"/>
      <c r="BC396" s="26"/>
      <c r="BD396" s="24"/>
      <c r="BE396" s="24"/>
      <c r="BF396" s="24"/>
      <c r="BG396" s="24"/>
      <c r="BH396" s="24"/>
      <c r="BI396" s="24"/>
      <c r="BJ396" s="24"/>
      <c r="BK396" s="24"/>
      <c r="BL396" s="24"/>
      <c r="BM396" s="24"/>
      <c r="BN396" s="24"/>
      <c r="BO396" s="25"/>
      <c r="BP396" s="26"/>
      <c r="BQ396" s="24"/>
      <c r="BR396" s="24"/>
      <c r="BS396" s="24"/>
      <c r="BT396" s="24"/>
      <c r="BU396" s="24"/>
      <c r="BV396" s="24"/>
      <c r="BW396" s="24"/>
      <c r="BX396" s="24"/>
      <c r="BY396" s="24"/>
      <c r="BZ396" s="24"/>
      <c r="CA396" s="24"/>
      <c r="CB396" s="25"/>
      <c r="CC396" s="26"/>
      <c r="CD396" s="24"/>
      <c r="CE396" s="24"/>
      <c r="CF396" s="24"/>
      <c r="CG396" s="24"/>
      <c r="CH396" s="24"/>
      <c r="CI396" s="24"/>
      <c r="CJ396" s="24"/>
      <c r="CK396" s="24"/>
      <c r="CL396" s="24"/>
      <c r="CM396" s="24"/>
      <c r="CN396" s="24"/>
      <c r="CO396" s="25"/>
      <c r="CP396" s="26"/>
      <c r="CQ396" s="24"/>
      <c r="CR396" s="24"/>
      <c r="CS396" s="24"/>
      <c r="CT396" s="24"/>
      <c r="CU396" s="24"/>
      <c r="CV396" s="24"/>
      <c r="CW396" s="24"/>
      <c r="CX396" s="24"/>
      <c r="CY396" s="24"/>
      <c r="CZ396" s="24"/>
      <c r="DA396" s="24"/>
      <c r="DB396" s="25"/>
      <c r="DC396" s="26"/>
      <c r="DD396" s="24"/>
      <c r="DE396" s="24"/>
      <c r="DF396" s="24"/>
      <c r="DG396" s="24"/>
      <c r="DH396" s="24"/>
      <c r="DI396" s="24"/>
      <c r="DJ396" s="24"/>
      <c r="DK396" s="24"/>
      <c r="DL396" s="24"/>
      <c r="DM396" s="24"/>
      <c r="DN396" s="24"/>
      <c r="DO396" s="25"/>
      <c r="DP396" s="26"/>
      <c r="DQ396" s="24"/>
      <c r="DR396" s="24"/>
      <c r="DS396" s="24"/>
      <c r="DT396" s="24"/>
      <c r="DU396" s="24"/>
      <c r="DV396" s="24"/>
      <c r="DW396" s="24"/>
      <c r="DX396" s="24"/>
      <c r="DY396" s="24"/>
      <c r="DZ396" s="24"/>
      <c r="EA396" s="24"/>
      <c r="EB396" s="25"/>
      <c r="EC396" s="26"/>
      <c r="ED396" s="24"/>
      <c r="EE396" s="24"/>
      <c r="EF396" s="24"/>
      <c r="EG396" s="24"/>
      <c r="EH396" s="24"/>
      <c r="EI396" s="24"/>
      <c r="EJ396" s="24"/>
      <c r="EK396" s="24"/>
      <c r="EL396" s="24"/>
      <c r="EM396" s="24"/>
      <c r="EN396" s="24"/>
      <c r="EO396" s="25"/>
      <c r="EP396" s="26"/>
      <c r="EQ396" s="24"/>
      <c r="ER396" s="24"/>
      <c r="ES396" s="24"/>
      <c r="ET396" s="24"/>
      <c r="EU396" s="24"/>
      <c r="EV396" s="24"/>
      <c r="EW396" s="24"/>
      <c r="EX396" s="24"/>
      <c r="EY396" s="24"/>
      <c r="EZ396" s="24"/>
      <c r="FA396" s="24"/>
      <c r="FB396" s="25"/>
      <c r="FC396" s="26"/>
      <c r="FD396" s="24"/>
      <c r="FE396" s="24"/>
      <c r="FF396" s="24"/>
      <c r="FG396" s="24"/>
      <c r="FH396" s="24"/>
      <c r="FI396" s="24"/>
      <c r="FJ396" s="24"/>
      <c r="FK396" s="24"/>
      <c r="FL396" s="24"/>
      <c r="FM396" s="24"/>
      <c r="FN396" s="24"/>
      <c r="FO396" s="27">
        <f t="shared" ref="FO396:FV396" si="389">IFERROR(R396*1,0)+IFERROR(AE396*1,0)+IFERROR(AR396*1,0)+IFERROR(BE396*1,0)+IFERROR(BR396*1,0)+IFERROR(CE396*1,0)+IFERROR(CR396*1,0)+IFERROR(DE396*1,0)+IFERROR(DR396*1,0)+IFERROR(EE396*1,0)+IFERROR(ER396*1,0)+IFERROR(FE396*1,0)</f>
        <v>0</v>
      </c>
      <c r="FP396" s="27">
        <f t="shared" si="389"/>
        <v>0</v>
      </c>
      <c r="FQ396" s="27">
        <f t="shared" si="389"/>
        <v>0</v>
      </c>
      <c r="FR396" s="27">
        <f t="shared" si="389"/>
        <v>0</v>
      </c>
      <c r="FS396" s="27">
        <f t="shared" si="389"/>
        <v>0</v>
      </c>
      <c r="FT396" s="27">
        <f t="shared" si="389"/>
        <v>0</v>
      </c>
      <c r="FU396" s="27">
        <f t="shared" si="389"/>
        <v>0</v>
      </c>
      <c r="FV396" s="27">
        <f t="shared" si="389"/>
        <v>0</v>
      </c>
      <c r="FW396" s="28"/>
      <c r="FX396" s="29">
        <f t="shared" si="3"/>
        <v>0</v>
      </c>
    </row>
    <row r="397" spans="1:180" ht="18" customHeight="1" x14ac:dyDescent="0.25">
      <c r="A397" s="3" t="str">
        <f>IF(C397&lt;&gt;"","DRG-"&amp;TEXT(392,"000"),"")</f>
        <v/>
      </c>
      <c r="B397" s="33"/>
      <c r="C397" s="33"/>
      <c r="D397" s="33"/>
      <c r="E397" s="33"/>
      <c r="F397" s="33"/>
      <c r="G397" s="33"/>
      <c r="H397" s="33"/>
      <c r="I397" s="33"/>
      <c r="J397" s="33"/>
      <c r="K397" s="33"/>
      <c r="L397" s="37">
        <v>4</v>
      </c>
      <c r="M397" s="30" t="str">
        <f t="shared" si="0"/>
        <v>✘ Pending</v>
      </c>
      <c r="N397" s="30">
        <f t="shared" si="1"/>
        <v>0</v>
      </c>
      <c r="O397" s="31"/>
      <c r="P397" s="32"/>
      <c r="Q397" s="33"/>
      <c r="R397" s="33"/>
      <c r="S397" s="33"/>
      <c r="T397" s="33"/>
      <c r="U397" s="33"/>
      <c r="V397" s="33"/>
      <c r="W397" s="33"/>
      <c r="X397" s="33"/>
      <c r="Y397" s="33"/>
      <c r="Z397" s="33"/>
      <c r="AA397" s="33"/>
      <c r="AB397" s="31"/>
      <c r="AC397" s="32"/>
      <c r="AD397" s="33"/>
      <c r="AE397" s="33"/>
      <c r="AF397" s="33"/>
      <c r="AG397" s="33"/>
      <c r="AH397" s="33"/>
      <c r="AI397" s="33"/>
      <c r="AJ397" s="33"/>
      <c r="AK397" s="33"/>
      <c r="AL397" s="33"/>
      <c r="AM397" s="33"/>
      <c r="AN397" s="33"/>
      <c r="AO397" s="31"/>
      <c r="AP397" s="32"/>
      <c r="AQ397" s="33"/>
      <c r="AR397" s="33"/>
      <c r="AS397" s="33"/>
      <c r="AT397" s="33"/>
      <c r="AU397" s="33"/>
      <c r="AV397" s="33"/>
      <c r="AW397" s="33"/>
      <c r="AX397" s="33"/>
      <c r="AY397" s="33"/>
      <c r="AZ397" s="33"/>
      <c r="BA397" s="33"/>
      <c r="BB397" s="31"/>
      <c r="BC397" s="32"/>
      <c r="BD397" s="33"/>
      <c r="BE397" s="33"/>
      <c r="BF397" s="33"/>
      <c r="BG397" s="33"/>
      <c r="BH397" s="33"/>
      <c r="BI397" s="33"/>
      <c r="BJ397" s="33"/>
      <c r="BK397" s="33"/>
      <c r="BL397" s="33"/>
      <c r="BM397" s="33"/>
      <c r="BN397" s="33"/>
      <c r="BO397" s="31"/>
      <c r="BP397" s="32"/>
      <c r="BQ397" s="33"/>
      <c r="BR397" s="33"/>
      <c r="BS397" s="33"/>
      <c r="BT397" s="33"/>
      <c r="BU397" s="33"/>
      <c r="BV397" s="33"/>
      <c r="BW397" s="33"/>
      <c r="BX397" s="33"/>
      <c r="BY397" s="33"/>
      <c r="BZ397" s="33"/>
      <c r="CA397" s="33"/>
      <c r="CB397" s="31"/>
      <c r="CC397" s="32"/>
      <c r="CD397" s="33"/>
      <c r="CE397" s="33"/>
      <c r="CF397" s="33"/>
      <c r="CG397" s="33"/>
      <c r="CH397" s="33"/>
      <c r="CI397" s="33"/>
      <c r="CJ397" s="33"/>
      <c r="CK397" s="33"/>
      <c r="CL397" s="33"/>
      <c r="CM397" s="33"/>
      <c r="CN397" s="33"/>
      <c r="CO397" s="31"/>
      <c r="CP397" s="32"/>
      <c r="CQ397" s="33"/>
      <c r="CR397" s="33"/>
      <c r="CS397" s="33"/>
      <c r="CT397" s="33"/>
      <c r="CU397" s="33"/>
      <c r="CV397" s="33"/>
      <c r="CW397" s="33"/>
      <c r="CX397" s="33"/>
      <c r="CY397" s="33"/>
      <c r="CZ397" s="33"/>
      <c r="DA397" s="33"/>
      <c r="DB397" s="31"/>
      <c r="DC397" s="32"/>
      <c r="DD397" s="33"/>
      <c r="DE397" s="33"/>
      <c r="DF397" s="33"/>
      <c r="DG397" s="33"/>
      <c r="DH397" s="33"/>
      <c r="DI397" s="33"/>
      <c r="DJ397" s="33"/>
      <c r="DK397" s="33"/>
      <c r="DL397" s="33"/>
      <c r="DM397" s="33"/>
      <c r="DN397" s="33"/>
      <c r="DO397" s="31"/>
      <c r="DP397" s="32"/>
      <c r="DQ397" s="33"/>
      <c r="DR397" s="33"/>
      <c r="DS397" s="33"/>
      <c r="DT397" s="33"/>
      <c r="DU397" s="33"/>
      <c r="DV397" s="33"/>
      <c r="DW397" s="33"/>
      <c r="DX397" s="33"/>
      <c r="DY397" s="33"/>
      <c r="DZ397" s="33"/>
      <c r="EA397" s="33"/>
      <c r="EB397" s="31"/>
      <c r="EC397" s="32"/>
      <c r="ED397" s="33"/>
      <c r="EE397" s="33"/>
      <c r="EF397" s="33"/>
      <c r="EG397" s="33"/>
      <c r="EH397" s="33"/>
      <c r="EI397" s="33"/>
      <c r="EJ397" s="33"/>
      <c r="EK397" s="33"/>
      <c r="EL397" s="33"/>
      <c r="EM397" s="33"/>
      <c r="EN397" s="33"/>
      <c r="EO397" s="31"/>
      <c r="EP397" s="32"/>
      <c r="EQ397" s="33"/>
      <c r="ER397" s="33"/>
      <c r="ES397" s="33"/>
      <c r="ET397" s="33"/>
      <c r="EU397" s="33"/>
      <c r="EV397" s="33"/>
      <c r="EW397" s="33"/>
      <c r="EX397" s="33"/>
      <c r="EY397" s="33"/>
      <c r="EZ397" s="33"/>
      <c r="FA397" s="33"/>
      <c r="FB397" s="31"/>
      <c r="FC397" s="32"/>
      <c r="FD397" s="33"/>
      <c r="FE397" s="33"/>
      <c r="FF397" s="33"/>
      <c r="FG397" s="33"/>
      <c r="FH397" s="33"/>
      <c r="FI397" s="33"/>
      <c r="FJ397" s="33"/>
      <c r="FK397" s="33"/>
      <c r="FL397" s="33"/>
      <c r="FM397" s="33"/>
      <c r="FN397" s="33"/>
      <c r="FO397" s="34">
        <f t="shared" ref="FO397:FV397" si="390">IFERROR(R397*1,0)+IFERROR(AE397*1,0)+IFERROR(AR397*1,0)+IFERROR(BE397*1,0)+IFERROR(BR397*1,0)+IFERROR(CE397*1,0)+IFERROR(CR397*1,0)+IFERROR(DE397*1,0)+IFERROR(DR397*1,0)+IFERROR(EE397*1,0)+IFERROR(ER397*1,0)+IFERROR(FE397*1,0)</f>
        <v>0</v>
      </c>
      <c r="FP397" s="34">
        <f t="shared" si="390"/>
        <v>0</v>
      </c>
      <c r="FQ397" s="34">
        <f t="shared" si="390"/>
        <v>0</v>
      </c>
      <c r="FR397" s="34">
        <f t="shared" si="390"/>
        <v>0</v>
      </c>
      <c r="FS397" s="34">
        <f t="shared" si="390"/>
        <v>0</v>
      </c>
      <c r="FT397" s="34">
        <f t="shared" si="390"/>
        <v>0</v>
      </c>
      <c r="FU397" s="34">
        <f t="shared" si="390"/>
        <v>0</v>
      </c>
      <c r="FV397" s="34">
        <f t="shared" si="390"/>
        <v>0</v>
      </c>
      <c r="FW397" s="28"/>
      <c r="FX397" s="29">
        <f t="shared" si="3"/>
        <v>0</v>
      </c>
    </row>
    <row r="398" spans="1:180" ht="18" customHeight="1" x14ac:dyDescent="0.25">
      <c r="A398" s="3" t="str">
        <f>IF(C398&lt;&gt;"","DRG-"&amp;TEXT(393,"000"),"")</f>
        <v/>
      </c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38">
        <v>4</v>
      </c>
      <c r="M398" s="23" t="str">
        <f t="shared" si="0"/>
        <v>✘ Pending</v>
      </c>
      <c r="N398" s="23">
        <f t="shared" si="1"/>
        <v>0</v>
      </c>
      <c r="O398" s="25"/>
      <c r="P398" s="26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  <c r="AB398" s="25"/>
      <c r="AC398" s="26"/>
      <c r="AD398" s="24"/>
      <c r="AE398" s="24"/>
      <c r="AF398" s="24"/>
      <c r="AG398" s="24"/>
      <c r="AH398" s="24"/>
      <c r="AI398" s="24"/>
      <c r="AJ398" s="24"/>
      <c r="AK398" s="24"/>
      <c r="AL398" s="24"/>
      <c r="AM398" s="24"/>
      <c r="AN398" s="24"/>
      <c r="AO398" s="25"/>
      <c r="AP398" s="26"/>
      <c r="AQ398" s="24"/>
      <c r="AR398" s="24"/>
      <c r="AS398" s="24"/>
      <c r="AT398" s="24"/>
      <c r="AU398" s="24"/>
      <c r="AV398" s="24"/>
      <c r="AW398" s="24"/>
      <c r="AX398" s="24"/>
      <c r="AY398" s="24"/>
      <c r="AZ398" s="24"/>
      <c r="BA398" s="24"/>
      <c r="BB398" s="25"/>
      <c r="BC398" s="26"/>
      <c r="BD398" s="24"/>
      <c r="BE398" s="24"/>
      <c r="BF398" s="24"/>
      <c r="BG398" s="24"/>
      <c r="BH398" s="24"/>
      <c r="BI398" s="24"/>
      <c r="BJ398" s="24"/>
      <c r="BK398" s="24"/>
      <c r="BL398" s="24"/>
      <c r="BM398" s="24"/>
      <c r="BN398" s="24"/>
      <c r="BO398" s="25"/>
      <c r="BP398" s="26"/>
      <c r="BQ398" s="24"/>
      <c r="BR398" s="24"/>
      <c r="BS398" s="24"/>
      <c r="BT398" s="24"/>
      <c r="BU398" s="24"/>
      <c r="BV398" s="24"/>
      <c r="BW398" s="24"/>
      <c r="BX398" s="24"/>
      <c r="BY398" s="24"/>
      <c r="BZ398" s="24"/>
      <c r="CA398" s="24"/>
      <c r="CB398" s="25"/>
      <c r="CC398" s="26"/>
      <c r="CD398" s="24"/>
      <c r="CE398" s="24"/>
      <c r="CF398" s="24"/>
      <c r="CG398" s="24"/>
      <c r="CH398" s="24"/>
      <c r="CI398" s="24"/>
      <c r="CJ398" s="24"/>
      <c r="CK398" s="24"/>
      <c r="CL398" s="24"/>
      <c r="CM398" s="24"/>
      <c r="CN398" s="24"/>
      <c r="CO398" s="25"/>
      <c r="CP398" s="26"/>
      <c r="CQ398" s="24"/>
      <c r="CR398" s="24"/>
      <c r="CS398" s="24"/>
      <c r="CT398" s="24"/>
      <c r="CU398" s="24"/>
      <c r="CV398" s="24"/>
      <c r="CW398" s="24"/>
      <c r="CX398" s="24"/>
      <c r="CY398" s="24"/>
      <c r="CZ398" s="24"/>
      <c r="DA398" s="24"/>
      <c r="DB398" s="25"/>
      <c r="DC398" s="26"/>
      <c r="DD398" s="24"/>
      <c r="DE398" s="24"/>
      <c r="DF398" s="24"/>
      <c r="DG398" s="24"/>
      <c r="DH398" s="24"/>
      <c r="DI398" s="24"/>
      <c r="DJ398" s="24"/>
      <c r="DK398" s="24"/>
      <c r="DL398" s="24"/>
      <c r="DM398" s="24"/>
      <c r="DN398" s="24"/>
      <c r="DO398" s="25"/>
      <c r="DP398" s="26"/>
      <c r="DQ398" s="24"/>
      <c r="DR398" s="24"/>
      <c r="DS398" s="24"/>
      <c r="DT398" s="24"/>
      <c r="DU398" s="24"/>
      <c r="DV398" s="24"/>
      <c r="DW398" s="24"/>
      <c r="DX398" s="24"/>
      <c r="DY398" s="24"/>
      <c r="DZ398" s="24"/>
      <c r="EA398" s="24"/>
      <c r="EB398" s="25"/>
      <c r="EC398" s="26"/>
      <c r="ED398" s="24"/>
      <c r="EE398" s="24"/>
      <c r="EF398" s="24"/>
      <c r="EG398" s="24"/>
      <c r="EH398" s="24"/>
      <c r="EI398" s="24"/>
      <c r="EJ398" s="24"/>
      <c r="EK398" s="24"/>
      <c r="EL398" s="24"/>
      <c r="EM398" s="24"/>
      <c r="EN398" s="24"/>
      <c r="EO398" s="25"/>
      <c r="EP398" s="26"/>
      <c r="EQ398" s="24"/>
      <c r="ER398" s="24"/>
      <c r="ES398" s="24"/>
      <c r="ET398" s="24"/>
      <c r="EU398" s="24"/>
      <c r="EV398" s="24"/>
      <c r="EW398" s="24"/>
      <c r="EX398" s="24"/>
      <c r="EY398" s="24"/>
      <c r="EZ398" s="24"/>
      <c r="FA398" s="24"/>
      <c r="FB398" s="25"/>
      <c r="FC398" s="26"/>
      <c r="FD398" s="24"/>
      <c r="FE398" s="24"/>
      <c r="FF398" s="24"/>
      <c r="FG398" s="24"/>
      <c r="FH398" s="24"/>
      <c r="FI398" s="24"/>
      <c r="FJ398" s="24"/>
      <c r="FK398" s="24"/>
      <c r="FL398" s="24"/>
      <c r="FM398" s="24"/>
      <c r="FN398" s="24"/>
      <c r="FO398" s="27">
        <f t="shared" ref="FO398:FV398" si="391">IFERROR(R398*1,0)+IFERROR(AE398*1,0)+IFERROR(AR398*1,0)+IFERROR(BE398*1,0)+IFERROR(BR398*1,0)+IFERROR(CE398*1,0)+IFERROR(CR398*1,0)+IFERROR(DE398*1,0)+IFERROR(DR398*1,0)+IFERROR(EE398*1,0)+IFERROR(ER398*1,0)+IFERROR(FE398*1,0)</f>
        <v>0</v>
      </c>
      <c r="FP398" s="27">
        <f t="shared" si="391"/>
        <v>0</v>
      </c>
      <c r="FQ398" s="27">
        <f t="shared" si="391"/>
        <v>0</v>
      </c>
      <c r="FR398" s="27">
        <f t="shared" si="391"/>
        <v>0</v>
      </c>
      <c r="FS398" s="27">
        <f t="shared" si="391"/>
        <v>0</v>
      </c>
      <c r="FT398" s="27">
        <f t="shared" si="391"/>
        <v>0</v>
      </c>
      <c r="FU398" s="27">
        <f t="shared" si="391"/>
        <v>0</v>
      </c>
      <c r="FV398" s="27">
        <f t="shared" si="391"/>
        <v>0</v>
      </c>
      <c r="FW398" s="28"/>
      <c r="FX398" s="29">
        <f t="shared" si="3"/>
        <v>0</v>
      </c>
    </row>
    <row r="399" spans="1:180" ht="18" customHeight="1" x14ac:dyDescent="0.25">
      <c r="A399" s="3" t="str">
        <f>IF(C399&lt;&gt;"","DRG-"&amp;TEXT(394,"000"),"")</f>
        <v/>
      </c>
      <c r="B399" s="33"/>
      <c r="C399" s="33"/>
      <c r="D399" s="33"/>
      <c r="E399" s="33"/>
      <c r="F399" s="33"/>
      <c r="G399" s="33"/>
      <c r="H399" s="33"/>
      <c r="I399" s="33"/>
      <c r="J399" s="33"/>
      <c r="K399" s="33"/>
      <c r="L399" s="37">
        <v>4</v>
      </c>
      <c r="M399" s="30" t="str">
        <f t="shared" si="0"/>
        <v>✘ Pending</v>
      </c>
      <c r="N399" s="30">
        <f t="shared" si="1"/>
        <v>0</v>
      </c>
      <c r="O399" s="31"/>
      <c r="P399" s="32"/>
      <c r="Q399" s="33"/>
      <c r="R399" s="33"/>
      <c r="S399" s="33"/>
      <c r="T399" s="33"/>
      <c r="U399" s="33"/>
      <c r="V399" s="33"/>
      <c r="W399" s="33"/>
      <c r="X399" s="33"/>
      <c r="Y399" s="33"/>
      <c r="Z399" s="33"/>
      <c r="AA399" s="33"/>
      <c r="AB399" s="31"/>
      <c r="AC399" s="32"/>
      <c r="AD399" s="33"/>
      <c r="AE399" s="33"/>
      <c r="AF399" s="33"/>
      <c r="AG399" s="33"/>
      <c r="AH399" s="33"/>
      <c r="AI399" s="33"/>
      <c r="AJ399" s="33"/>
      <c r="AK399" s="33"/>
      <c r="AL399" s="33"/>
      <c r="AM399" s="33"/>
      <c r="AN399" s="33"/>
      <c r="AO399" s="31"/>
      <c r="AP399" s="32"/>
      <c r="AQ399" s="33"/>
      <c r="AR399" s="33"/>
      <c r="AS399" s="33"/>
      <c r="AT399" s="33"/>
      <c r="AU399" s="33"/>
      <c r="AV399" s="33"/>
      <c r="AW399" s="33"/>
      <c r="AX399" s="33"/>
      <c r="AY399" s="33"/>
      <c r="AZ399" s="33"/>
      <c r="BA399" s="33"/>
      <c r="BB399" s="31"/>
      <c r="BC399" s="32"/>
      <c r="BD399" s="33"/>
      <c r="BE399" s="33"/>
      <c r="BF399" s="33"/>
      <c r="BG399" s="33"/>
      <c r="BH399" s="33"/>
      <c r="BI399" s="33"/>
      <c r="BJ399" s="33"/>
      <c r="BK399" s="33"/>
      <c r="BL399" s="33"/>
      <c r="BM399" s="33"/>
      <c r="BN399" s="33"/>
      <c r="BO399" s="31"/>
      <c r="BP399" s="32"/>
      <c r="BQ399" s="33"/>
      <c r="BR399" s="33"/>
      <c r="BS399" s="33"/>
      <c r="BT399" s="33"/>
      <c r="BU399" s="33"/>
      <c r="BV399" s="33"/>
      <c r="BW399" s="33"/>
      <c r="BX399" s="33"/>
      <c r="BY399" s="33"/>
      <c r="BZ399" s="33"/>
      <c r="CA399" s="33"/>
      <c r="CB399" s="31"/>
      <c r="CC399" s="32"/>
      <c r="CD399" s="33"/>
      <c r="CE399" s="33"/>
      <c r="CF399" s="33"/>
      <c r="CG399" s="33"/>
      <c r="CH399" s="33"/>
      <c r="CI399" s="33"/>
      <c r="CJ399" s="33"/>
      <c r="CK399" s="33"/>
      <c r="CL399" s="33"/>
      <c r="CM399" s="33"/>
      <c r="CN399" s="33"/>
      <c r="CO399" s="31"/>
      <c r="CP399" s="32"/>
      <c r="CQ399" s="33"/>
      <c r="CR399" s="33"/>
      <c r="CS399" s="33"/>
      <c r="CT399" s="33"/>
      <c r="CU399" s="33"/>
      <c r="CV399" s="33"/>
      <c r="CW399" s="33"/>
      <c r="CX399" s="33"/>
      <c r="CY399" s="33"/>
      <c r="CZ399" s="33"/>
      <c r="DA399" s="33"/>
      <c r="DB399" s="31"/>
      <c r="DC399" s="32"/>
      <c r="DD399" s="33"/>
      <c r="DE399" s="33"/>
      <c r="DF399" s="33"/>
      <c r="DG399" s="33"/>
      <c r="DH399" s="33"/>
      <c r="DI399" s="33"/>
      <c r="DJ399" s="33"/>
      <c r="DK399" s="33"/>
      <c r="DL399" s="33"/>
      <c r="DM399" s="33"/>
      <c r="DN399" s="33"/>
      <c r="DO399" s="31"/>
      <c r="DP399" s="32"/>
      <c r="DQ399" s="33"/>
      <c r="DR399" s="33"/>
      <c r="DS399" s="33"/>
      <c r="DT399" s="33"/>
      <c r="DU399" s="33"/>
      <c r="DV399" s="33"/>
      <c r="DW399" s="33"/>
      <c r="DX399" s="33"/>
      <c r="DY399" s="33"/>
      <c r="DZ399" s="33"/>
      <c r="EA399" s="33"/>
      <c r="EB399" s="31"/>
      <c r="EC399" s="32"/>
      <c r="ED399" s="33"/>
      <c r="EE399" s="33"/>
      <c r="EF399" s="33"/>
      <c r="EG399" s="33"/>
      <c r="EH399" s="33"/>
      <c r="EI399" s="33"/>
      <c r="EJ399" s="33"/>
      <c r="EK399" s="33"/>
      <c r="EL399" s="33"/>
      <c r="EM399" s="33"/>
      <c r="EN399" s="33"/>
      <c r="EO399" s="31"/>
      <c r="EP399" s="32"/>
      <c r="EQ399" s="33"/>
      <c r="ER399" s="33"/>
      <c r="ES399" s="33"/>
      <c r="ET399" s="33"/>
      <c r="EU399" s="33"/>
      <c r="EV399" s="33"/>
      <c r="EW399" s="33"/>
      <c r="EX399" s="33"/>
      <c r="EY399" s="33"/>
      <c r="EZ399" s="33"/>
      <c r="FA399" s="33"/>
      <c r="FB399" s="31"/>
      <c r="FC399" s="32"/>
      <c r="FD399" s="33"/>
      <c r="FE399" s="33"/>
      <c r="FF399" s="33"/>
      <c r="FG399" s="33"/>
      <c r="FH399" s="33"/>
      <c r="FI399" s="33"/>
      <c r="FJ399" s="33"/>
      <c r="FK399" s="33"/>
      <c r="FL399" s="33"/>
      <c r="FM399" s="33"/>
      <c r="FN399" s="33"/>
      <c r="FO399" s="34">
        <f t="shared" ref="FO399:FV399" si="392">IFERROR(R399*1,0)+IFERROR(AE399*1,0)+IFERROR(AR399*1,0)+IFERROR(BE399*1,0)+IFERROR(BR399*1,0)+IFERROR(CE399*1,0)+IFERROR(CR399*1,0)+IFERROR(DE399*1,0)+IFERROR(DR399*1,0)+IFERROR(EE399*1,0)+IFERROR(ER399*1,0)+IFERROR(FE399*1,0)</f>
        <v>0</v>
      </c>
      <c r="FP399" s="34">
        <f t="shared" si="392"/>
        <v>0</v>
      </c>
      <c r="FQ399" s="34">
        <f t="shared" si="392"/>
        <v>0</v>
      </c>
      <c r="FR399" s="34">
        <f t="shared" si="392"/>
        <v>0</v>
      </c>
      <c r="FS399" s="34">
        <f t="shared" si="392"/>
        <v>0</v>
      </c>
      <c r="FT399" s="34">
        <f t="shared" si="392"/>
        <v>0</v>
      </c>
      <c r="FU399" s="34">
        <f t="shared" si="392"/>
        <v>0</v>
      </c>
      <c r="FV399" s="34">
        <f t="shared" si="392"/>
        <v>0</v>
      </c>
      <c r="FW399" s="28"/>
      <c r="FX399" s="29">
        <f t="shared" si="3"/>
        <v>0</v>
      </c>
    </row>
    <row r="400" spans="1:180" ht="18" customHeight="1" x14ac:dyDescent="0.25">
      <c r="A400" s="3" t="str">
        <f>IF(C400&lt;&gt;"","DRG-"&amp;TEXT(395,"000"),"")</f>
        <v/>
      </c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38">
        <v>4</v>
      </c>
      <c r="M400" s="23" t="str">
        <f t="shared" si="0"/>
        <v>✘ Pending</v>
      </c>
      <c r="N400" s="23">
        <f t="shared" si="1"/>
        <v>0</v>
      </c>
      <c r="O400" s="25"/>
      <c r="P400" s="26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  <c r="AB400" s="25"/>
      <c r="AC400" s="26"/>
      <c r="AD400" s="24"/>
      <c r="AE400" s="24"/>
      <c r="AF400" s="24"/>
      <c r="AG400" s="24"/>
      <c r="AH400" s="24"/>
      <c r="AI400" s="24"/>
      <c r="AJ400" s="24"/>
      <c r="AK400" s="24"/>
      <c r="AL400" s="24"/>
      <c r="AM400" s="24"/>
      <c r="AN400" s="24"/>
      <c r="AO400" s="25"/>
      <c r="AP400" s="26"/>
      <c r="AQ400" s="24"/>
      <c r="AR400" s="24"/>
      <c r="AS400" s="24"/>
      <c r="AT400" s="24"/>
      <c r="AU400" s="24"/>
      <c r="AV400" s="24"/>
      <c r="AW400" s="24"/>
      <c r="AX400" s="24"/>
      <c r="AY400" s="24"/>
      <c r="AZ400" s="24"/>
      <c r="BA400" s="24"/>
      <c r="BB400" s="25"/>
      <c r="BC400" s="26"/>
      <c r="BD400" s="24"/>
      <c r="BE400" s="24"/>
      <c r="BF400" s="24"/>
      <c r="BG400" s="24"/>
      <c r="BH400" s="24"/>
      <c r="BI400" s="24"/>
      <c r="BJ400" s="24"/>
      <c r="BK400" s="24"/>
      <c r="BL400" s="24"/>
      <c r="BM400" s="24"/>
      <c r="BN400" s="24"/>
      <c r="BO400" s="25"/>
      <c r="BP400" s="26"/>
      <c r="BQ400" s="24"/>
      <c r="BR400" s="24"/>
      <c r="BS400" s="24"/>
      <c r="BT400" s="24"/>
      <c r="BU400" s="24"/>
      <c r="BV400" s="24"/>
      <c r="BW400" s="24"/>
      <c r="BX400" s="24"/>
      <c r="BY400" s="24"/>
      <c r="BZ400" s="24"/>
      <c r="CA400" s="24"/>
      <c r="CB400" s="25"/>
      <c r="CC400" s="26"/>
      <c r="CD400" s="24"/>
      <c r="CE400" s="24"/>
      <c r="CF400" s="24"/>
      <c r="CG400" s="24"/>
      <c r="CH400" s="24"/>
      <c r="CI400" s="24"/>
      <c r="CJ400" s="24"/>
      <c r="CK400" s="24"/>
      <c r="CL400" s="24"/>
      <c r="CM400" s="24"/>
      <c r="CN400" s="24"/>
      <c r="CO400" s="25"/>
      <c r="CP400" s="26"/>
      <c r="CQ400" s="24"/>
      <c r="CR400" s="24"/>
      <c r="CS400" s="24"/>
      <c r="CT400" s="24"/>
      <c r="CU400" s="24"/>
      <c r="CV400" s="24"/>
      <c r="CW400" s="24"/>
      <c r="CX400" s="24"/>
      <c r="CY400" s="24"/>
      <c r="CZ400" s="24"/>
      <c r="DA400" s="24"/>
      <c r="DB400" s="25"/>
      <c r="DC400" s="26"/>
      <c r="DD400" s="24"/>
      <c r="DE400" s="24"/>
      <c r="DF400" s="24"/>
      <c r="DG400" s="24"/>
      <c r="DH400" s="24"/>
      <c r="DI400" s="24"/>
      <c r="DJ400" s="24"/>
      <c r="DK400" s="24"/>
      <c r="DL400" s="24"/>
      <c r="DM400" s="24"/>
      <c r="DN400" s="24"/>
      <c r="DO400" s="25"/>
      <c r="DP400" s="26"/>
      <c r="DQ400" s="24"/>
      <c r="DR400" s="24"/>
      <c r="DS400" s="24"/>
      <c r="DT400" s="24"/>
      <c r="DU400" s="24"/>
      <c r="DV400" s="24"/>
      <c r="DW400" s="24"/>
      <c r="DX400" s="24"/>
      <c r="DY400" s="24"/>
      <c r="DZ400" s="24"/>
      <c r="EA400" s="24"/>
      <c r="EB400" s="25"/>
      <c r="EC400" s="26"/>
      <c r="ED400" s="24"/>
      <c r="EE400" s="24"/>
      <c r="EF400" s="24"/>
      <c r="EG400" s="24"/>
      <c r="EH400" s="24"/>
      <c r="EI400" s="24"/>
      <c r="EJ400" s="24"/>
      <c r="EK400" s="24"/>
      <c r="EL400" s="24"/>
      <c r="EM400" s="24"/>
      <c r="EN400" s="24"/>
      <c r="EO400" s="25"/>
      <c r="EP400" s="26"/>
      <c r="EQ400" s="24"/>
      <c r="ER400" s="24"/>
      <c r="ES400" s="24"/>
      <c r="ET400" s="24"/>
      <c r="EU400" s="24"/>
      <c r="EV400" s="24"/>
      <c r="EW400" s="24"/>
      <c r="EX400" s="24"/>
      <c r="EY400" s="24"/>
      <c r="EZ400" s="24"/>
      <c r="FA400" s="24"/>
      <c r="FB400" s="25"/>
      <c r="FC400" s="26"/>
      <c r="FD400" s="24"/>
      <c r="FE400" s="24"/>
      <c r="FF400" s="24"/>
      <c r="FG400" s="24"/>
      <c r="FH400" s="24"/>
      <c r="FI400" s="24"/>
      <c r="FJ400" s="24"/>
      <c r="FK400" s="24"/>
      <c r="FL400" s="24"/>
      <c r="FM400" s="24"/>
      <c r="FN400" s="24"/>
      <c r="FO400" s="27">
        <f t="shared" ref="FO400:FV400" si="393">IFERROR(R400*1,0)+IFERROR(AE400*1,0)+IFERROR(AR400*1,0)+IFERROR(BE400*1,0)+IFERROR(BR400*1,0)+IFERROR(CE400*1,0)+IFERROR(CR400*1,0)+IFERROR(DE400*1,0)+IFERROR(DR400*1,0)+IFERROR(EE400*1,0)+IFERROR(ER400*1,0)+IFERROR(FE400*1,0)</f>
        <v>0</v>
      </c>
      <c r="FP400" s="27">
        <f t="shared" si="393"/>
        <v>0</v>
      </c>
      <c r="FQ400" s="27">
        <f t="shared" si="393"/>
        <v>0</v>
      </c>
      <c r="FR400" s="27">
        <f t="shared" si="393"/>
        <v>0</v>
      </c>
      <c r="FS400" s="27">
        <f t="shared" si="393"/>
        <v>0</v>
      </c>
      <c r="FT400" s="27">
        <f t="shared" si="393"/>
        <v>0</v>
      </c>
      <c r="FU400" s="27">
        <f t="shared" si="393"/>
        <v>0</v>
      </c>
      <c r="FV400" s="27">
        <f t="shared" si="393"/>
        <v>0</v>
      </c>
      <c r="FW400" s="28"/>
      <c r="FX400" s="29">
        <f t="shared" si="3"/>
        <v>0</v>
      </c>
    </row>
    <row r="401" spans="1:180" ht="18" customHeight="1" x14ac:dyDescent="0.25">
      <c r="A401" s="3" t="str">
        <f>IF(C401&lt;&gt;"","DRG-"&amp;TEXT(396,"000"),"")</f>
        <v/>
      </c>
      <c r="B401" s="33"/>
      <c r="C401" s="33"/>
      <c r="D401" s="33"/>
      <c r="E401" s="33"/>
      <c r="F401" s="33"/>
      <c r="G401" s="33"/>
      <c r="H401" s="33"/>
      <c r="I401" s="33"/>
      <c r="J401" s="33"/>
      <c r="K401" s="33"/>
      <c r="L401" s="37">
        <v>4</v>
      </c>
      <c r="M401" s="30" t="str">
        <f t="shared" si="0"/>
        <v>✘ Pending</v>
      </c>
      <c r="N401" s="30">
        <f t="shared" si="1"/>
        <v>0</v>
      </c>
      <c r="O401" s="31"/>
      <c r="P401" s="32"/>
      <c r="Q401" s="33"/>
      <c r="R401" s="33"/>
      <c r="S401" s="33"/>
      <c r="T401" s="33"/>
      <c r="U401" s="33"/>
      <c r="V401" s="33"/>
      <c r="W401" s="33"/>
      <c r="X401" s="33"/>
      <c r="Y401" s="33"/>
      <c r="Z401" s="33"/>
      <c r="AA401" s="33"/>
      <c r="AB401" s="31"/>
      <c r="AC401" s="32"/>
      <c r="AD401" s="33"/>
      <c r="AE401" s="33"/>
      <c r="AF401" s="33"/>
      <c r="AG401" s="33"/>
      <c r="AH401" s="33"/>
      <c r="AI401" s="33"/>
      <c r="AJ401" s="33"/>
      <c r="AK401" s="33"/>
      <c r="AL401" s="33"/>
      <c r="AM401" s="33"/>
      <c r="AN401" s="33"/>
      <c r="AO401" s="31"/>
      <c r="AP401" s="32"/>
      <c r="AQ401" s="33"/>
      <c r="AR401" s="33"/>
      <c r="AS401" s="33"/>
      <c r="AT401" s="33"/>
      <c r="AU401" s="33"/>
      <c r="AV401" s="33"/>
      <c r="AW401" s="33"/>
      <c r="AX401" s="33"/>
      <c r="AY401" s="33"/>
      <c r="AZ401" s="33"/>
      <c r="BA401" s="33"/>
      <c r="BB401" s="31"/>
      <c r="BC401" s="32"/>
      <c r="BD401" s="33"/>
      <c r="BE401" s="33"/>
      <c r="BF401" s="33"/>
      <c r="BG401" s="33"/>
      <c r="BH401" s="33"/>
      <c r="BI401" s="33"/>
      <c r="BJ401" s="33"/>
      <c r="BK401" s="33"/>
      <c r="BL401" s="33"/>
      <c r="BM401" s="33"/>
      <c r="BN401" s="33"/>
      <c r="BO401" s="31"/>
      <c r="BP401" s="32"/>
      <c r="BQ401" s="33"/>
      <c r="BR401" s="33"/>
      <c r="BS401" s="33"/>
      <c r="BT401" s="33"/>
      <c r="BU401" s="33"/>
      <c r="BV401" s="33"/>
      <c r="BW401" s="33"/>
      <c r="BX401" s="33"/>
      <c r="BY401" s="33"/>
      <c r="BZ401" s="33"/>
      <c r="CA401" s="33"/>
      <c r="CB401" s="31"/>
      <c r="CC401" s="32"/>
      <c r="CD401" s="33"/>
      <c r="CE401" s="33"/>
      <c r="CF401" s="33"/>
      <c r="CG401" s="33"/>
      <c r="CH401" s="33"/>
      <c r="CI401" s="33"/>
      <c r="CJ401" s="33"/>
      <c r="CK401" s="33"/>
      <c r="CL401" s="33"/>
      <c r="CM401" s="33"/>
      <c r="CN401" s="33"/>
      <c r="CO401" s="31"/>
      <c r="CP401" s="32"/>
      <c r="CQ401" s="33"/>
      <c r="CR401" s="33"/>
      <c r="CS401" s="33"/>
      <c r="CT401" s="33"/>
      <c r="CU401" s="33"/>
      <c r="CV401" s="33"/>
      <c r="CW401" s="33"/>
      <c r="CX401" s="33"/>
      <c r="CY401" s="33"/>
      <c r="CZ401" s="33"/>
      <c r="DA401" s="33"/>
      <c r="DB401" s="31"/>
      <c r="DC401" s="32"/>
      <c r="DD401" s="33"/>
      <c r="DE401" s="33"/>
      <c r="DF401" s="33"/>
      <c r="DG401" s="33"/>
      <c r="DH401" s="33"/>
      <c r="DI401" s="33"/>
      <c r="DJ401" s="33"/>
      <c r="DK401" s="33"/>
      <c r="DL401" s="33"/>
      <c r="DM401" s="33"/>
      <c r="DN401" s="33"/>
      <c r="DO401" s="31"/>
      <c r="DP401" s="32"/>
      <c r="DQ401" s="33"/>
      <c r="DR401" s="33"/>
      <c r="DS401" s="33"/>
      <c r="DT401" s="33"/>
      <c r="DU401" s="33"/>
      <c r="DV401" s="33"/>
      <c r="DW401" s="33"/>
      <c r="DX401" s="33"/>
      <c r="DY401" s="33"/>
      <c r="DZ401" s="33"/>
      <c r="EA401" s="33"/>
      <c r="EB401" s="31"/>
      <c r="EC401" s="32"/>
      <c r="ED401" s="33"/>
      <c r="EE401" s="33"/>
      <c r="EF401" s="33"/>
      <c r="EG401" s="33"/>
      <c r="EH401" s="33"/>
      <c r="EI401" s="33"/>
      <c r="EJ401" s="33"/>
      <c r="EK401" s="33"/>
      <c r="EL401" s="33"/>
      <c r="EM401" s="33"/>
      <c r="EN401" s="33"/>
      <c r="EO401" s="31"/>
      <c r="EP401" s="32"/>
      <c r="EQ401" s="33"/>
      <c r="ER401" s="33"/>
      <c r="ES401" s="33"/>
      <c r="ET401" s="33"/>
      <c r="EU401" s="33"/>
      <c r="EV401" s="33"/>
      <c r="EW401" s="33"/>
      <c r="EX401" s="33"/>
      <c r="EY401" s="33"/>
      <c r="EZ401" s="33"/>
      <c r="FA401" s="33"/>
      <c r="FB401" s="31"/>
      <c r="FC401" s="32"/>
      <c r="FD401" s="33"/>
      <c r="FE401" s="33"/>
      <c r="FF401" s="33"/>
      <c r="FG401" s="33"/>
      <c r="FH401" s="33"/>
      <c r="FI401" s="33"/>
      <c r="FJ401" s="33"/>
      <c r="FK401" s="33"/>
      <c r="FL401" s="33"/>
      <c r="FM401" s="33"/>
      <c r="FN401" s="33"/>
      <c r="FO401" s="34">
        <f t="shared" ref="FO401:FV401" si="394">IFERROR(R401*1,0)+IFERROR(AE401*1,0)+IFERROR(AR401*1,0)+IFERROR(BE401*1,0)+IFERROR(BR401*1,0)+IFERROR(CE401*1,0)+IFERROR(CR401*1,0)+IFERROR(DE401*1,0)+IFERROR(DR401*1,0)+IFERROR(EE401*1,0)+IFERROR(ER401*1,0)+IFERROR(FE401*1,0)</f>
        <v>0</v>
      </c>
      <c r="FP401" s="34">
        <f t="shared" si="394"/>
        <v>0</v>
      </c>
      <c r="FQ401" s="34">
        <f t="shared" si="394"/>
        <v>0</v>
      </c>
      <c r="FR401" s="34">
        <f t="shared" si="394"/>
        <v>0</v>
      </c>
      <c r="FS401" s="34">
        <f t="shared" si="394"/>
        <v>0</v>
      </c>
      <c r="FT401" s="34">
        <f t="shared" si="394"/>
        <v>0</v>
      </c>
      <c r="FU401" s="34">
        <f t="shared" si="394"/>
        <v>0</v>
      </c>
      <c r="FV401" s="34">
        <f t="shared" si="394"/>
        <v>0</v>
      </c>
      <c r="FW401" s="28"/>
      <c r="FX401" s="29">
        <f t="shared" si="3"/>
        <v>0</v>
      </c>
    </row>
    <row r="402" spans="1:180" ht="18" customHeight="1" x14ac:dyDescent="0.25">
      <c r="A402" s="3" t="str">
        <f>IF(C402&lt;&gt;"","DRG-"&amp;TEXT(397,"000"),"")</f>
        <v/>
      </c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38">
        <v>4</v>
      </c>
      <c r="M402" s="23" t="str">
        <f t="shared" si="0"/>
        <v>✘ Pending</v>
      </c>
      <c r="N402" s="23">
        <f t="shared" si="1"/>
        <v>0</v>
      </c>
      <c r="O402" s="25"/>
      <c r="P402" s="26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  <c r="AB402" s="25"/>
      <c r="AC402" s="26"/>
      <c r="AD402" s="24"/>
      <c r="AE402" s="24"/>
      <c r="AF402" s="24"/>
      <c r="AG402" s="24"/>
      <c r="AH402" s="24"/>
      <c r="AI402" s="24"/>
      <c r="AJ402" s="24"/>
      <c r="AK402" s="24"/>
      <c r="AL402" s="24"/>
      <c r="AM402" s="24"/>
      <c r="AN402" s="24"/>
      <c r="AO402" s="25"/>
      <c r="AP402" s="26"/>
      <c r="AQ402" s="24"/>
      <c r="AR402" s="24"/>
      <c r="AS402" s="24"/>
      <c r="AT402" s="24"/>
      <c r="AU402" s="24"/>
      <c r="AV402" s="24"/>
      <c r="AW402" s="24"/>
      <c r="AX402" s="24"/>
      <c r="AY402" s="24"/>
      <c r="AZ402" s="24"/>
      <c r="BA402" s="24"/>
      <c r="BB402" s="25"/>
      <c r="BC402" s="26"/>
      <c r="BD402" s="24"/>
      <c r="BE402" s="24"/>
      <c r="BF402" s="24"/>
      <c r="BG402" s="24"/>
      <c r="BH402" s="24"/>
      <c r="BI402" s="24"/>
      <c r="BJ402" s="24"/>
      <c r="BK402" s="24"/>
      <c r="BL402" s="24"/>
      <c r="BM402" s="24"/>
      <c r="BN402" s="24"/>
      <c r="BO402" s="25"/>
      <c r="BP402" s="26"/>
      <c r="BQ402" s="24"/>
      <c r="BR402" s="24"/>
      <c r="BS402" s="24"/>
      <c r="BT402" s="24"/>
      <c r="BU402" s="24"/>
      <c r="BV402" s="24"/>
      <c r="BW402" s="24"/>
      <c r="BX402" s="24"/>
      <c r="BY402" s="24"/>
      <c r="BZ402" s="24"/>
      <c r="CA402" s="24"/>
      <c r="CB402" s="25"/>
      <c r="CC402" s="26"/>
      <c r="CD402" s="24"/>
      <c r="CE402" s="24"/>
      <c r="CF402" s="24"/>
      <c r="CG402" s="24"/>
      <c r="CH402" s="24"/>
      <c r="CI402" s="24"/>
      <c r="CJ402" s="24"/>
      <c r="CK402" s="24"/>
      <c r="CL402" s="24"/>
      <c r="CM402" s="24"/>
      <c r="CN402" s="24"/>
      <c r="CO402" s="25"/>
      <c r="CP402" s="26"/>
      <c r="CQ402" s="24"/>
      <c r="CR402" s="24"/>
      <c r="CS402" s="24"/>
      <c r="CT402" s="24"/>
      <c r="CU402" s="24"/>
      <c r="CV402" s="24"/>
      <c r="CW402" s="24"/>
      <c r="CX402" s="24"/>
      <c r="CY402" s="24"/>
      <c r="CZ402" s="24"/>
      <c r="DA402" s="24"/>
      <c r="DB402" s="25"/>
      <c r="DC402" s="26"/>
      <c r="DD402" s="24"/>
      <c r="DE402" s="24"/>
      <c r="DF402" s="24"/>
      <c r="DG402" s="24"/>
      <c r="DH402" s="24"/>
      <c r="DI402" s="24"/>
      <c r="DJ402" s="24"/>
      <c r="DK402" s="24"/>
      <c r="DL402" s="24"/>
      <c r="DM402" s="24"/>
      <c r="DN402" s="24"/>
      <c r="DO402" s="25"/>
      <c r="DP402" s="26"/>
      <c r="DQ402" s="24"/>
      <c r="DR402" s="24"/>
      <c r="DS402" s="24"/>
      <c r="DT402" s="24"/>
      <c r="DU402" s="24"/>
      <c r="DV402" s="24"/>
      <c r="DW402" s="24"/>
      <c r="DX402" s="24"/>
      <c r="DY402" s="24"/>
      <c r="DZ402" s="24"/>
      <c r="EA402" s="24"/>
      <c r="EB402" s="25"/>
      <c r="EC402" s="26"/>
      <c r="ED402" s="24"/>
      <c r="EE402" s="24"/>
      <c r="EF402" s="24"/>
      <c r="EG402" s="24"/>
      <c r="EH402" s="24"/>
      <c r="EI402" s="24"/>
      <c r="EJ402" s="24"/>
      <c r="EK402" s="24"/>
      <c r="EL402" s="24"/>
      <c r="EM402" s="24"/>
      <c r="EN402" s="24"/>
      <c r="EO402" s="25"/>
      <c r="EP402" s="26"/>
      <c r="EQ402" s="24"/>
      <c r="ER402" s="24"/>
      <c r="ES402" s="24"/>
      <c r="ET402" s="24"/>
      <c r="EU402" s="24"/>
      <c r="EV402" s="24"/>
      <c r="EW402" s="24"/>
      <c r="EX402" s="24"/>
      <c r="EY402" s="24"/>
      <c r="EZ402" s="24"/>
      <c r="FA402" s="24"/>
      <c r="FB402" s="25"/>
      <c r="FC402" s="26"/>
      <c r="FD402" s="24"/>
      <c r="FE402" s="24"/>
      <c r="FF402" s="24"/>
      <c r="FG402" s="24"/>
      <c r="FH402" s="24"/>
      <c r="FI402" s="24"/>
      <c r="FJ402" s="24"/>
      <c r="FK402" s="24"/>
      <c r="FL402" s="24"/>
      <c r="FM402" s="24"/>
      <c r="FN402" s="24"/>
      <c r="FO402" s="27">
        <f t="shared" ref="FO402:FV402" si="395">IFERROR(R402*1,0)+IFERROR(AE402*1,0)+IFERROR(AR402*1,0)+IFERROR(BE402*1,0)+IFERROR(BR402*1,0)+IFERROR(CE402*1,0)+IFERROR(CR402*1,0)+IFERROR(DE402*1,0)+IFERROR(DR402*1,0)+IFERROR(EE402*1,0)+IFERROR(ER402*1,0)+IFERROR(FE402*1,0)</f>
        <v>0</v>
      </c>
      <c r="FP402" s="27">
        <f t="shared" si="395"/>
        <v>0</v>
      </c>
      <c r="FQ402" s="27">
        <f t="shared" si="395"/>
        <v>0</v>
      </c>
      <c r="FR402" s="27">
        <f t="shared" si="395"/>
        <v>0</v>
      </c>
      <c r="FS402" s="27">
        <f t="shared" si="395"/>
        <v>0</v>
      </c>
      <c r="FT402" s="27">
        <f t="shared" si="395"/>
        <v>0</v>
      </c>
      <c r="FU402" s="27">
        <f t="shared" si="395"/>
        <v>0</v>
      </c>
      <c r="FV402" s="27">
        <f t="shared" si="395"/>
        <v>0</v>
      </c>
      <c r="FW402" s="28"/>
      <c r="FX402" s="29">
        <f t="shared" si="3"/>
        <v>0</v>
      </c>
    </row>
    <row r="403" spans="1:180" ht="18" customHeight="1" x14ac:dyDescent="0.25">
      <c r="A403" s="3" t="str">
        <f>IF(C403&lt;&gt;"","DRG-"&amp;TEXT(398,"000"),"")</f>
        <v/>
      </c>
      <c r="B403" s="33"/>
      <c r="C403" s="33"/>
      <c r="D403" s="33"/>
      <c r="E403" s="33"/>
      <c r="F403" s="33"/>
      <c r="G403" s="33"/>
      <c r="H403" s="33"/>
      <c r="I403" s="33"/>
      <c r="J403" s="33"/>
      <c r="K403" s="33"/>
      <c r="L403" s="37">
        <v>4</v>
      </c>
      <c r="M403" s="30" t="str">
        <f t="shared" si="0"/>
        <v>✘ Pending</v>
      </c>
      <c r="N403" s="30">
        <f t="shared" si="1"/>
        <v>0</v>
      </c>
      <c r="O403" s="31"/>
      <c r="P403" s="32"/>
      <c r="Q403" s="33"/>
      <c r="R403" s="33"/>
      <c r="S403" s="33"/>
      <c r="T403" s="33"/>
      <c r="U403" s="33"/>
      <c r="V403" s="33"/>
      <c r="W403" s="33"/>
      <c r="X403" s="33"/>
      <c r="Y403" s="33"/>
      <c r="Z403" s="33"/>
      <c r="AA403" s="33"/>
      <c r="AB403" s="31"/>
      <c r="AC403" s="32"/>
      <c r="AD403" s="33"/>
      <c r="AE403" s="33"/>
      <c r="AF403" s="33"/>
      <c r="AG403" s="33"/>
      <c r="AH403" s="33"/>
      <c r="AI403" s="33"/>
      <c r="AJ403" s="33"/>
      <c r="AK403" s="33"/>
      <c r="AL403" s="33"/>
      <c r="AM403" s="33"/>
      <c r="AN403" s="33"/>
      <c r="AO403" s="31"/>
      <c r="AP403" s="32"/>
      <c r="AQ403" s="33"/>
      <c r="AR403" s="33"/>
      <c r="AS403" s="33"/>
      <c r="AT403" s="33"/>
      <c r="AU403" s="33"/>
      <c r="AV403" s="33"/>
      <c r="AW403" s="33"/>
      <c r="AX403" s="33"/>
      <c r="AY403" s="33"/>
      <c r="AZ403" s="33"/>
      <c r="BA403" s="33"/>
      <c r="BB403" s="31"/>
      <c r="BC403" s="32"/>
      <c r="BD403" s="33"/>
      <c r="BE403" s="33"/>
      <c r="BF403" s="33"/>
      <c r="BG403" s="33"/>
      <c r="BH403" s="33"/>
      <c r="BI403" s="33"/>
      <c r="BJ403" s="33"/>
      <c r="BK403" s="33"/>
      <c r="BL403" s="33"/>
      <c r="BM403" s="33"/>
      <c r="BN403" s="33"/>
      <c r="BO403" s="31"/>
      <c r="BP403" s="32"/>
      <c r="BQ403" s="33"/>
      <c r="BR403" s="33"/>
      <c r="BS403" s="33"/>
      <c r="BT403" s="33"/>
      <c r="BU403" s="33"/>
      <c r="BV403" s="33"/>
      <c r="BW403" s="33"/>
      <c r="BX403" s="33"/>
      <c r="BY403" s="33"/>
      <c r="BZ403" s="33"/>
      <c r="CA403" s="33"/>
      <c r="CB403" s="31"/>
      <c r="CC403" s="32"/>
      <c r="CD403" s="33"/>
      <c r="CE403" s="33"/>
      <c r="CF403" s="33"/>
      <c r="CG403" s="33"/>
      <c r="CH403" s="33"/>
      <c r="CI403" s="33"/>
      <c r="CJ403" s="33"/>
      <c r="CK403" s="33"/>
      <c r="CL403" s="33"/>
      <c r="CM403" s="33"/>
      <c r="CN403" s="33"/>
      <c r="CO403" s="31"/>
      <c r="CP403" s="32"/>
      <c r="CQ403" s="33"/>
      <c r="CR403" s="33"/>
      <c r="CS403" s="33"/>
      <c r="CT403" s="33"/>
      <c r="CU403" s="33"/>
      <c r="CV403" s="33"/>
      <c r="CW403" s="33"/>
      <c r="CX403" s="33"/>
      <c r="CY403" s="33"/>
      <c r="CZ403" s="33"/>
      <c r="DA403" s="33"/>
      <c r="DB403" s="31"/>
      <c r="DC403" s="32"/>
      <c r="DD403" s="33"/>
      <c r="DE403" s="33"/>
      <c r="DF403" s="33"/>
      <c r="DG403" s="33"/>
      <c r="DH403" s="33"/>
      <c r="DI403" s="33"/>
      <c r="DJ403" s="33"/>
      <c r="DK403" s="33"/>
      <c r="DL403" s="33"/>
      <c r="DM403" s="33"/>
      <c r="DN403" s="33"/>
      <c r="DO403" s="31"/>
      <c r="DP403" s="32"/>
      <c r="DQ403" s="33"/>
      <c r="DR403" s="33"/>
      <c r="DS403" s="33"/>
      <c r="DT403" s="33"/>
      <c r="DU403" s="33"/>
      <c r="DV403" s="33"/>
      <c r="DW403" s="33"/>
      <c r="DX403" s="33"/>
      <c r="DY403" s="33"/>
      <c r="DZ403" s="33"/>
      <c r="EA403" s="33"/>
      <c r="EB403" s="31"/>
      <c r="EC403" s="32"/>
      <c r="ED403" s="33"/>
      <c r="EE403" s="33"/>
      <c r="EF403" s="33"/>
      <c r="EG403" s="33"/>
      <c r="EH403" s="33"/>
      <c r="EI403" s="33"/>
      <c r="EJ403" s="33"/>
      <c r="EK403" s="33"/>
      <c r="EL403" s="33"/>
      <c r="EM403" s="33"/>
      <c r="EN403" s="33"/>
      <c r="EO403" s="31"/>
      <c r="EP403" s="32"/>
      <c r="EQ403" s="33"/>
      <c r="ER403" s="33"/>
      <c r="ES403" s="33"/>
      <c r="ET403" s="33"/>
      <c r="EU403" s="33"/>
      <c r="EV403" s="33"/>
      <c r="EW403" s="33"/>
      <c r="EX403" s="33"/>
      <c r="EY403" s="33"/>
      <c r="EZ403" s="33"/>
      <c r="FA403" s="33"/>
      <c r="FB403" s="31"/>
      <c r="FC403" s="32"/>
      <c r="FD403" s="33"/>
      <c r="FE403" s="33"/>
      <c r="FF403" s="33"/>
      <c r="FG403" s="33"/>
      <c r="FH403" s="33"/>
      <c r="FI403" s="33"/>
      <c r="FJ403" s="33"/>
      <c r="FK403" s="33"/>
      <c r="FL403" s="33"/>
      <c r="FM403" s="33"/>
      <c r="FN403" s="33"/>
      <c r="FO403" s="34">
        <f t="shared" ref="FO403:FV403" si="396">IFERROR(R403*1,0)+IFERROR(AE403*1,0)+IFERROR(AR403*1,0)+IFERROR(BE403*1,0)+IFERROR(BR403*1,0)+IFERROR(CE403*1,0)+IFERROR(CR403*1,0)+IFERROR(DE403*1,0)+IFERROR(DR403*1,0)+IFERROR(EE403*1,0)+IFERROR(ER403*1,0)+IFERROR(FE403*1,0)</f>
        <v>0</v>
      </c>
      <c r="FP403" s="34">
        <f t="shared" si="396"/>
        <v>0</v>
      </c>
      <c r="FQ403" s="34">
        <f t="shared" si="396"/>
        <v>0</v>
      </c>
      <c r="FR403" s="34">
        <f t="shared" si="396"/>
        <v>0</v>
      </c>
      <c r="FS403" s="34">
        <f t="shared" si="396"/>
        <v>0</v>
      </c>
      <c r="FT403" s="34">
        <f t="shared" si="396"/>
        <v>0</v>
      </c>
      <c r="FU403" s="34">
        <f t="shared" si="396"/>
        <v>0</v>
      </c>
      <c r="FV403" s="34">
        <f t="shared" si="396"/>
        <v>0</v>
      </c>
      <c r="FW403" s="28"/>
      <c r="FX403" s="29">
        <f t="shared" si="3"/>
        <v>0</v>
      </c>
    </row>
    <row r="404" spans="1:180" ht="18" customHeight="1" x14ac:dyDescent="0.25">
      <c r="A404" s="3" t="str">
        <f>IF(C404&lt;&gt;"","DRG-"&amp;TEXT(399,"000"),"")</f>
        <v/>
      </c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38">
        <v>4</v>
      </c>
      <c r="M404" s="23" t="str">
        <f t="shared" si="0"/>
        <v>✘ Pending</v>
      </c>
      <c r="N404" s="23">
        <f t="shared" si="1"/>
        <v>0</v>
      </c>
      <c r="O404" s="25"/>
      <c r="P404" s="26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  <c r="AB404" s="25"/>
      <c r="AC404" s="26"/>
      <c r="AD404" s="24"/>
      <c r="AE404" s="24"/>
      <c r="AF404" s="24"/>
      <c r="AG404" s="24"/>
      <c r="AH404" s="24"/>
      <c r="AI404" s="24"/>
      <c r="AJ404" s="24"/>
      <c r="AK404" s="24"/>
      <c r="AL404" s="24"/>
      <c r="AM404" s="24"/>
      <c r="AN404" s="24"/>
      <c r="AO404" s="25"/>
      <c r="AP404" s="26"/>
      <c r="AQ404" s="24"/>
      <c r="AR404" s="24"/>
      <c r="AS404" s="24"/>
      <c r="AT404" s="24"/>
      <c r="AU404" s="24"/>
      <c r="AV404" s="24"/>
      <c r="AW404" s="24"/>
      <c r="AX404" s="24"/>
      <c r="AY404" s="24"/>
      <c r="AZ404" s="24"/>
      <c r="BA404" s="24"/>
      <c r="BB404" s="25"/>
      <c r="BC404" s="26"/>
      <c r="BD404" s="24"/>
      <c r="BE404" s="24"/>
      <c r="BF404" s="24"/>
      <c r="BG404" s="24"/>
      <c r="BH404" s="24"/>
      <c r="BI404" s="24"/>
      <c r="BJ404" s="24"/>
      <c r="BK404" s="24"/>
      <c r="BL404" s="24"/>
      <c r="BM404" s="24"/>
      <c r="BN404" s="24"/>
      <c r="BO404" s="25"/>
      <c r="BP404" s="26"/>
      <c r="BQ404" s="24"/>
      <c r="BR404" s="24"/>
      <c r="BS404" s="24"/>
      <c r="BT404" s="24"/>
      <c r="BU404" s="24"/>
      <c r="BV404" s="24"/>
      <c r="BW404" s="24"/>
      <c r="BX404" s="24"/>
      <c r="BY404" s="24"/>
      <c r="BZ404" s="24"/>
      <c r="CA404" s="24"/>
      <c r="CB404" s="25"/>
      <c r="CC404" s="26"/>
      <c r="CD404" s="24"/>
      <c r="CE404" s="24"/>
      <c r="CF404" s="24"/>
      <c r="CG404" s="24"/>
      <c r="CH404" s="24"/>
      <c r="CI404" s="24"/>
      <c r="CJ404" s="24"/>
      <c r="CK404" s="24"/>
      <c r="CL404" s="24"/>
      <c r="CM404" s="24"/>
      <c r="CN404" s="24"/>
      <c r="CO404" s="25"/>
      <c r="CP404" s="26"/>
      <c r="CQ404" s="24"/>
      <c r="CR404" s="24"/>
      <c r="CS404" s="24"/>
      <c r="CT404" s="24"/>
      <c r="CU404" s="24"/>
      <c r="CV404" s="24"/>
      <c r="CW404" s="24"/>
      <c r="CX404" s="24"/>
      <c r="CY404" s="24"/>
      <c r="CZ404" s="24"/>
      <c r="DA404" s="24"/>
      <c r="DB404" s="25"/>
      <c r="DC404" s="26"/>
      <c r="DD404" s="24"/>
      <c r="DE404" s="24"/>
      <c r="DF404" s="24"/>
      <c r="DG404" s="24"/>
      <c r="DH404" s="24"/>
      <c r="DI404" s="24"/>
      <c r="DJ404" s="24"/>
      <c r="DK404" s="24"/>
      <c r="DL404" s="24"/>
      <c r="DM404" s="24"/>
      <c r="DN404" s="24"/>
      <c r="DO404" s="25"/>
      <c r="DP404" s="26"/>
      <c r="DQ404" s="24"/>
      <c r="DR404" s="24"/>
      <c r="DS404" s="24"/>
      <c r="DT404" s="24"/>
      <c r="DU404" s="24"/>
      <c r="DV404" s="24"/>
      <c r="DW404" s="24"/>
      <c r="DX404" s="24"/>
      <c r="DY404" s="24"/>
      <c r="DZ404" s="24"/>
      <c r="EA404" s="24"/>
      <c r="EB404" s="25"/>
      <c r="EC404" s="26"/>
      <c r="ED404" s="24"/>
      <c r="EE404" s="24"/>
      <c r="EF404" s="24"/>
      <c r="EG404" s="24"/>
      <c r="EH404" s="24"/>
      <c r="EI404" s="24"/>
      <c r="EJ404" s="24"/>
      <c r="EK404" s="24"/>
      <c r="EL404" s="24"/>
      <c r="EM404" s="24"/>
      <c r="EN404" s="24"/>
      <c r="EO404" s="25"/>
      <c r="EP404" s="26"/>
      <c r="EQ404" s="24"/>
      <c r="ER404" s="24"/>
      <c r="ES404" s="24"/>
      <c r="ET404" s="24"/>
      <c r="EU404" s="24"/>
      <c r="EV404" s="24"/>
      <c r="EW404" s="24"/>
      <c r="EX404" s="24"/>
      <c r="EY404" s="24"/>
      <c r="EZ404" s="24"/>
      <c r="FA404" s="24"/>
      <c r="FB404" s="25"/>
      <c r="FC404" s="26"/>
      <c r="FD404" s="24"/>
      <c r="FE404" s="24"/>
      <c r="FF404" s="24"/>
      <c r="FG404" s="24"/>
      <c r="FH404" s="24"/>
      <c r="FI404" s="24"/>
      <c r="FJ404" s="24"/>
      <c r="FK404" s="24"/>
      <c r="FL404" s="24"/>
      <c r="FM404" s="24"/>
      <c r="FN404" s="24"/>
      <c r="FO404" s="27">
        <f t="shared" ref="FO404:FV404" si="397">IFERROR(R404*1,0)+IFERROR(AE404*1,0)+IFERROR(AR404*1,0)+IFERROR(BE404*1,0)+IFERROR(BR404*1,0)+IFERROR(CE404*1,0)+IFERROR(CR404*1,0)+IFERROR(DE404*1,0)+IFERROR(DR404*1,0)+IFERROR(EE404*1,0)+IFERROR(ER404*1,0)+IFERROR(FE404*1,0)</f>
        <v>0</v>
      </c>
      <c r="FP404" s="27">
        <f t="shared" si="397"/>
        <v>0</v>
      </c>
      <c r="FQ404" s="27">
        <f t="shared" si="397"/>
        <v>0</v>
      </c>
      <c r="FR404" s="27">
        <f t="shared" si="397"/>
        <v>0</v>
      </c>
      <c r="FS404" s="27">
        <f t="shared" si="397"/>
        <v>0</v>
      </c>
      <c r="FT404" s="27">
        <f t="shared" si="397"/>
        <v>0</v>
      </c>
      <c r="FU404" s="27">
        <f t="shared" si="397"/>
        <v>0</v>
      </c>
      <c r="FV404" s="27">
        <f t="shared" si="397"/>
        <v>0</v>
      </c>
      <c r="FW404" s="28"/>
      <c r="FX404" s="29">
        <f t="shared" si="3"/>
        <v>0</v>
      </c>
    </row>
    <row r="405" spans="1:180" ht="18" customHeight="1" x14ac:dyDescent="0.25">
      <c r="A405" s="3" t="str">
        <f>IF(C405&lt;&gt;"","DRG-"&amp;TEXT(400,"000"),"")</f>
        <v/>
      </c>
      <c r="B405" s="33"/>
      <c r="C405" s="33"/>
      <c r="D405" s="33"/>
      <c r="E405" s="33"/>
      <c r="F405" s="33"/>
      <c r="G405" s="33"/>
      <c r="H405" s="33"/>
      <c r="I405" s="33"/>
      <c r="J405" s="33"/>
      <c r="K405" s="33"/>
      <c r="L405" s="37">
        <v>4</v>
      </c>
      <c r="M405" s="30" t="str">
        <f t="shared" si="0"/>
        <v>✘ Pending</v>
      </c>
      <c r="N405" s="30">
        <f t="shared" si="1"/>
        <v>0</v>
      </c>
      <c r="O405" s="31"/>
      <c r="P405" s="32"/>
      <c r="Q405" s="33"/>
      <c r="R405" s="33"/>
      <c r="S405" s="33"/>
      <c r="T405" s="33"/>
      <c r="U405" s="33"/>
      <c r="V405" s="33"/>
      <c r="W405" s="33"/>
      <c r="X405" s="33"/>
      <c r="Y405" s="33"/>
      <c r="Z405" s="33"/>
      <c r="AA405" s="33"/>
      <c r="AB405" s="31"/>
      <c r="AC405" s="32"/>
      <c r="AD405" s="33"/>
      <c r="AE405" s="33"/>
      <c r="AF405" s="33"/>
      <c r="AG405" s="33"/>
      <c r="AH405" s="33"/>
      <c r="AI405" s="33"/>
      <c r="AJ405" s="33"/>
      <c r="AK405" s="33"/>
      <c r="AL405" s="33"/>
      <c r="AM405" s="33"/>
      <c r="AN405" s="33"/>
      <c r="AO405" s="31"/>
      <c r="AP405" s="32"/>
      <c r="AQ405" s="33"/>
      <c r="AR405" s="33"/>
      <c r="AS405" s="33"/>
      <c r="AT405" s="33"/>
      <c r="AU405" s="33"/>
      <c r="AV405" s="33"/>
      <c r="AW405" s="33"/>
      <c r="AX405" s="33"/>
      <c r="AY405" s="33"/>
      <c r="AZ405" s="33"/>
      <c r="BA405" s="33"/>
      <c r="BB405" s="31"/>
      <c r="BC405" s="32"/>
      <c r="BD405" s="33"/>
      <c r="BE405" s="33"/>
      <c r="BF405" s="33"/>
      <c r="BG405" s="33"/>
      <c r="BH405" s="33"/>
      <c r="BI405" s="33"/>
      <c r="BJ405" s="33"/>
      <c r="BK405" s="33"/>
      <c r="BL405" s="33"/>
      <c r="BM405" s="33"/>
      <c r="BN405" s="33"/>
      <c r="BO405" s="31"/>
      <c r="BP405" s="32"/>
      <c r="BQ405" s="33"/>
      <c r="BR405" s="33"/>
      <c r="BS405" s="33"/>
      <c r="BT405" s="33"/>
      <c r="BU405" s="33"/>
      <c r="BV405" s="33"/>
      <c r="BW405" s="33"/>
      <c r="BX405" s="33"/>
      <c r="BY405" s="33"/>
      <c r="BZ405" s="33"/>
      <c r="CA405" s="33"/>
      <c r="CB405" s="31"/>
      <c r="CC405" s="32"/>
      <c r="CD405" s="33"/>
      <c r="CE405" s="33"/>
      <c r="CF405" s="33"/>
      <c r="CG405" s="33"/>
      <c r="CH405" s="33"/>
      <c r="CI405" s="33"/>
      <c r="CJ405" s="33"/>
      <c r="CK405" s="33"/>
      <c r="CL405" s="33"/>
      <c r="CM405" s="33"/>
      <c r="CN405" s="33"/>
      <c r="CO405" s="31"/>
      <c r="CP405" s="32"/>
      <c r="CQ405" s="33"/>
      <c r="CR405" s="33"/>
      <c r="CS405" s="33"/>
      <c r="CT405" s="33"/>
      <c r="CU405" s="33"/>
      <c r="CV405" s="33"/>
      <c r="CW405" s="33"/>
      <c r="CX405" s="33"/>
      <c r="CY405" s="33"/>
      <c r="CZ405" s="33"/>
      <c r="DA405" s="33"/>
      <c r="DB405" s="31"/>
      <c r="DC405" s="32"/>
      <c r="DD405" s="33"/>
      <c r="DE405" s="33"/>
      <c r="DF405" s="33"/>
      <c r="DG405" s="33"/>
      <c r="DH405" s="33"/>
      <c r="DI405" s="33"/>
      <c r="DJ405" s="33"/>
      <c r="DK405" s="33"/>
      <c r="DL405" s="33"/>
      <c r="DM405" s="33"/>
      <c r="DN405" s="33"/>
      <c r="DO405" s="31"/>
      <c r="DP405" s="32"/>
      <c r="DQ405" s="33"/>
      <c r="DR405" s="33"/>
      <c r="DS405" s="33"/>
      <c r="DT405" s="33"/>
      <c r="DU405" s="33"/>
      <c r="DV405" s="33"/>
      <c r="DW405" s="33"/>
      <c r="DX405" s="33"/>
      <c r="DY405" s="33"/>
      <c r="DZ405" s="33"/>
      <c r="EA405" s="33"/>
      <c r="EB405" s="31"/>
      <c r="EC405" s="32"/>
      <c r="ED405" s="33"/>
      <c r="EE405" s="33"/>
      <c r="EF405" s="33"/>
      <c r="EG405" s="33"/>
      <c r="EH405" s="33"/>
      <c r="EI405" s="33"/>
      <c r="EJ405" s="33"/>
      <c r="EK405" s="33"/>
      <c r="EL405" s="33"/>
      <c r="EM405" s="33"/>
      <c r="EN405" s="33"/>
      <c r="EO405" s="31"/>
      <c r="EP405" s="32"/>
      <c r="EQ405" s="33"/>
      <c r="ER405" s="33"/>
      <c r="ES405" s="33"/>
      <c r="ET405" s="33"/>
      <c r="EU405" s="33"/>
      <c r="EV405" s="33"/>
      <c r="EW405" s="33"/>
      <c r="EX405" s="33"/>
      <c r="EY405" s="33"/>
      <c r="EZ405" s="33"/>
      <c r="FA405" s="33"/>
      <c r="FB405" s="31"/>
      <c r="FC405" s="32"/>
      <c r="FD405" s="33"/>
      <c r="FE405" s="33"/>
      <c r="FF405" s="33"/>
      <c r="FG405" s="33"/>
      <c r="FH405" s="33"/>
      <c r="FI405" s="33"/>
      <c r="FJ405" s="33"/>
      <c r="FK405" s="33"/>
      <c r="FL405" s="33"/>
      <c r="FM405" s="33"/>
      <c r="FN405" s="33"/>
      <c r="FO405" s="34">
        <f t="shared" ref="FO405:FV405" si="398">IFERROR(R405*1,0)+IFERROR(AE405*1,0)+IFERROR(AR405*1,0)+IFERROR(BE405*1,0)+IFERROR(BR405*1,0)+IFERROR(CE405*1,0)+IFERROR(CR405*1,0)+IFERROR(DE405*1,0)+IFERROR(DR405*1,0)+IFERROR(EE405*1,0)+IFERROR(ER405*1,0)+IFERROR(FE405*1,0)</f>
        <v>0</v>
      </c>
      <c r="FP405" s="34">
        <f t="shared" si="398"/>
        <v>0</v>
      </c>
      <c r="FQ405" s="34">
        <f t="shared" si="398"/>
        <v>0</v>
      </c>
      <c r="FR405" s="34">
        <f t="shared" si="398"/>
        <v>0</v>
      </c>
      <c r="FS405" s="34">
        <f t="shared" si="398"/>
        <v>0</v>
      </c>
      <c r="FT405" s="34">
        <f t="shared" si="398"/>
        <v>0</v>
      </c>
      <c r="FU405" s="34">
        <f t="shared" si="398"/>
        <v>0</v>
      </c>
      <c r="FV405" s="34">
        <f t="shared" si="398"/>
        <v>0</v>
      </c>
      <c r="FW405" s="28"/>
      <c r="FX405" s="29">
        <f t="shared" si="3"/>
        <v>0</v>
      </c>
    </row>
    <row r="406" spans="1:180" ht="18" customHeight="1" x14ac:dyDescent="0.25">
      <c r="A406" s="3" t="str">
        <f>IF(C406&lt;&gt;"","DRG-"&amp;TEXT(401,"000"),"")</f>
        <v/>
      </c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38">
        <v>4</v>
      </c>
      <c r="M406" s="23" t="str">
        <f t="shared" si="0"/>
        <v>✘ Pending</v>
      </c>
      <c r="N406" s="23">
        <f t="shared" si="1"/>
        <v>0</v>
      </c>
      <c r="O406" s="25"/>
      <c r="P406" s="26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  <c r="AB406" s="25"/>
      <c r="AC406" s="26"/>
      <c r="AD406" s="24"/>
      <c r="AE406" s="24"/>
      <c r="AF406" s="24"/>
      <c r="AG406" s="24"/>
      <c r="AH406" s="24"/>
      <c r="AI406" s="24"/>
      <c r="AJ406" s="24"/>
      <c r="AK406" s="24"/>
      <c r="AL406" s="24"/>
      <c r="AM406" s="24"/>
      <c r="AN406" s="24"/>
      <c r="AO406" s="25"/>
      <c r="AP406" s="26"/>
      <c r="AQ406" s="24"/>
      <c r="AR406" s="24"/>
      <c r="AS406" s="24"/>
      <c r="AT406" s="24"/>
      <c r="AU406" s="24"/>
      <c r="AV406" s="24"/>
      <c r="AW406" s="24"/>
      <c r="AX406" s="24"/>
      <c r="AY406" s="24"/>
      <c r="AZ406" s="24"/>
      <c r="BA406" s="24"/>
      <c r="BB406" s="25"/>
      <c r="BC406" s="26"/>
      <c r="BD406" s="24"/>
      <c r="BE406" s="24"/>
      <c r="BF406" s="24"/>
      <c r="BG406" s="24"/>
      <c r="BH406" s="24"/>
      <c r="BI406" s="24"/>
      <c r="BJ406" s="24"/>
      <c r="BK406" s="24"/>
      <c r="BL406" s="24"/>
      <c r="BM406" s="24"/>
      <c r="BN406" s="24"/>
      <c r="BO406" s="25"/>
      <c r="BP406" s="26"/>
      <c r="BQ406" s="24"/>
      <c r="BR406" s="24"/>
      <c r="BS406" s="24"/>
      <c r="BT406" s="24"/>
      <c r="BU406" s="24"/>
      <c r="BV406" s="24"/>
      <c r="BW406" s="24"/>
      <c r="BX406" s="24"/>
      <c r="BY406" s="24"/>
      <c r="BZ406" s="24"/>
      <c r="CA406" s="24"/>
      <c r="CB406" s="25"/>
      <c r="CC406" s="26"/>
      <c r="CD406" s="24"/>
      <c r="CE406" s="24"/>
      <c r="CF406" s="24"/>
      <c r="CG406" s="24"/>
      <c r="CH406" s="24"/>
      <c r="CI406" s="24"/>
      <c r="CJ406" s="24"/>
      <c r="CK406" s="24"/>
      <c r="CL406" s="24"/>
      <c r="CM406" s="24"/>
      <c r="CN406" s="24"/>
      <c r="CO406" s="25"/>
      <c r="CP406" s="26"/>
      <c r="CQ406" s="24"/>
      <c r="CR406" s="24"/>
      <c r="CS406" s="24"/>
      <c r="CT406" s="24"/>
      <c r="CU406" s="24"/>
      <c r="CV406" s="24"/>
      <c r="CW406" s="24"/>
      <c r="CX406" s="24"/>
      <c r="CY406" s="24"/>
      <c r="CZ406" s="24"/>
      <c r="DA406" s="24"/>
      <c r="DB406" s="25"/>
      <c r="DC406" s="26"/>
      <c r="DD406" s="24"/>
      <c r="DE406" s="24"/>
      <c r="DF406" s="24"/>
      <c r="DG406" s="24"/>
      <c r="DH406" s="24"/>
      <c r="DI406" s="24"/>
      <c r="DJ406" s="24"/>
      <c r="DK406" s="24"/>
      <c r="DL406" s="24"/>
      <c r="DM406" s="24"/>
      <c r="DN406" s="24"/>
      <c r="DO406" s="25"/>
      <c r="DP406" s="26"/>
      <c r="DQ406" s="24"/>
      <c r="DR406" s="24"/>
      <c r="DS406" s="24"/>
      <c r="DT406" s="24"/>
      <c r="DU406" s="24"/>
      <c r="DV406" s="24"/>
      <c r="DW406" s="24"/>
      <c r="DX406" s="24"/>
      <c r="DY406" s="24"/>
      <c r="DZ406" s="24"/>
      <c r="EA406" s="24"/>
      <c r="EB406" s="25"/>
      <c r="EC406" s="26"/>
      <c r="ED406" s="24"/>
      <c r="EE406" s="24"/>
      <c r="EF406" s="24"/>
      <c r="EG406" s="24"/>
      <c r="EH406" s="24"/>
      <c r="EI406" s="24"/>
      <c r="EJ406" s="24"/>
      <c r="EK406" s="24"/>
      <c r="EL406" s="24"/>
      <c r="EM406" s="24"/>
      <c r="EN406" s="24"/>
      <c r="EO406" s="25"/>
      <c r="EP406" s="26"/>
      <c r="EQ406" s="24"/>
      <c r="ER406" s="24"/>
      <c r="ES406" s="24"/>
      <c r="ET406" s="24"/>
      <c r="EU406" s="24"/>
      <c r="EV406" s="24"/>
      <c r="EW406" s="24"/>
      <c r="EX406" s="24"/>
      <c r="EY406" s="24"/>
      <c r="EZ406" s="24"/>
      <c r="FA406" s="24"/>
      <c r="FB406" s="25"/>
      <c r="FC406" s="26"/>
      <c r="FD406" s="24"/>
      <c r="FE406" s="24"/>
      <c r="FF406" s="24"/>
      <c r="FG406" s="24"/>
      <c r="FH406" s="24"/>
      <c r="FI406" s="24"/>
      <c r="FJ406" s="24"/>
      <c r="FK406" s="24"/>
      <c r="FL406" s="24"/>
      <c r="FM406" s="24"/>
      <c r="FN406" s="24"/>
      <c r="FO406" s="27">
        <f t="shared" ref="FO406:FV406" si="399">IFERROR(R406*1,0)+IFERROR(AE406*1,0)+IFERROR(AR406*1,0)+IFERROR(BE406*1,0)+IFERROR(BR406*1,0)+IFERROR(CE406*1,0)+IFERROR(CR406*1,0)+IFERROR(DE406*1,0)+IFERROR(DR406*1,0)+IFERROR(EE406*1,0)+IFERROR(ER406*1,0)+IFERROR(FE406*1,0)</f>
        <v>0</v>
      </c>
      <c r="FP406" s="27">
        <f t="shared" si="399"/>
        <v>0</v>
      </c>
      <c r="FQ406" s="27">
        <f t="shared" si="399"/>
        <v>0</v>
      </c>
      <c r="FR406" s="27">
        <f t="shared" si="399"/>
        <v>0</v>
      </c>
      <c r="FS406" s="27">
        <f t="shared" si="399"/>
        <v>0</v>
      </c>
      <c r="FT406" s="27">
        <f t="shared" si="399"/>
        <v>0</v>
      </c>
      <c r="FU406" s="27">
        <f t="shared" si="399"/>
        <v>0</v>
      </c>
      <c r="FV406" s="27">
        <f t="shared" si="399"/>
        <v>0</v>
      </c>
      <c r="FW406" s="28"/>
      <c r="FX406" s="29">
        <f t="shared" si="3"/>
        <v>0</v>
      </c>
    </row>
    <row r="407" spans="1:180" ht="18" customHeight="1" x14ac:dyDescent="0.25">
      <c r="A407" s="3" t="str">
        <f>IF(C407&lt;&gt;"","DRG-"&amp;TEXT(402,"000"),"")</f>
        <v/>
      </c>
      <c r="B407" s="33"/>
      <c r="C407" s="33"/>
      <c r="D407" s="33"/>
      <c r="E407" s="33"/>
      <c r="F407" s="33"/>
      <c r="G407" s="33"/>
      <c r="H407" s="33"/>
      <c r="I407" s="33"/>
      <c r="J407" s="33"/>
      <c r="K407" s="33"/>
      <c r="L407" s="37">
        <v>4</v>
      </c>
      <c r="M407" s="30" t="str">
        <f t="shared" si="0"/>
        <v>✘ Pending</v>
      </c>
      <c r="N407" s="30">
        <f t="shared" si="1"/>
        <v>0</v>
      </c>
      <c r="O407" s="31"/>
      <c r="P407" s="32"/>
      <c r="Q407" s="33"/>
      <c r="R407" s="33"/>
      <c r="S407" s="33"/>
      <c r="T407" s="33"/>
      <c r="U407" s="33"/>
      <c r="V407" s="33"/>
      <c r="W407" s="33"/>
      <c r="X407" s="33"/>
      <c r="Y407" s="33"/>
      <c r="Z407" s="33"/>
      <c r="AA407" s="33"/>
      <c r="AB407" s="31"/>
      <c r="AC407" s="32"/>
      <c r="AD407" s="33"/>
      <c r="AE407" s="33"/>
      <c r="AF407" s="33"/>
      <c r="AG407" s="33"/>
      <c r="AH407" s="33"/>
      <c r="AI407" s="33"/>
      <c r="AJ407" s="33"/>
      <c r="AK407" s="33"/>
      <c r="AL407" s="33"/>
      <c r="AM407" s="33"/>
      <c r="AN407" s="33"/>
      <c r="AO407" s="31"/>
      <c r="AP407" s="32"/>
      <c r="AQ407" s="33"/>
      <c r="AR407" s="33"/>
      <c r="AS407" s="33"/>
      <c r="AT407" s="33"/>
      <c r="AU407" s="33"/>
      <c r="AV407" s="33"/>
      <c r="AW407" s="33"/>
      <c r="AX407" s="33"/>
      <c r="AY407" s="33"/>
      <c r="AZ407" s="33"/>
      <c r="BA407" s="33"/>
      <c r="BB407" s="31"/>
      <c r="BC407" s="32"/>
      <c r="BD407" s="33"/>
      <c r="BE407" s="33"/>
      <c r="BF407" s="33"/>
      <c r="BG407" s="33"/>
      <c r="BH407" s="33"/>
      <c r="BI407" s="33"/>
      <c r="BJ407" s="33"/>
      <c r="BK407" s="33"/>
      <c r="BL407" s="33"/>
      <c r="BM407" s="33"/>
      <c r="BN407" s="33"/>
      <c r="BO407" s="31"/>
      <c r="BP407" s="32"/>
      <c r="BQ407" s="33"/>
      <c r="BR407" s="33"/>
      <c r="BS407" s="33"/>
      <c r="BT407" s="33"/>
      <c r="BU407" s="33"/>
      <c r="BV407" s="33"/>
      <c r="BW407" s="33"/>
      <c r="BX407" s="33"/>
      <c r="BY407" s="33"/>
      <c r="BZ407" s="33"/>
      <c r="CA407" s="33"/>
      <c r="CB407" s="31"/>
      <c r="CC407" s="32"/>
      <c r="CD407" s="33"/>
      <c r="CE407" s="33"/>
      <c r="CF407" s="33"/>
      <c r="CG407" s="33"/>
      <c r="CH407" s="33"/>
      <c r="CI407" s="33"/>
      <c r="CJ407" s="33"/>
      <c r="CK407" s="33"/>
      <c r="CL407" s="33"/>
      <c r="CM407" s="33"/>
      <c r="CN407" s="33"/>
      <c r="CO407" s="31"/>
      <c r="CP407" s="32"/>
      <c r="CQ407" s="33"/>
      <c r="CR407" s="33"/>
      <c r="CS407" s="33"/>
      <c r="CT407" s="33"/>
      <c r="CU407" s="33"/>
      <c r="CV407" s="33"/>
      <c r="CW407" s="33"/>
      <c r="CX407" s="33"/>
      <c r="CY407" s="33"/>
      <c r="CZ407" s="33"/>
      <c r="DA407" s="33"/>
      <c r="DB407" s="31"/>
      <c r="DC407" s="32"/>
      <c r="DD407" s="33"/>
      <c r="DE407" s="33"/>
      <c r="DF407" s="33"/>
      <c r="DG407" s="33"/>
      <c r="DH407" s="33"/>
      <c r="DI407" s="33"/>
      <c r="DJ407" s="33"/>
      <c r="DK407" s="33"/>
      <c r="DL407" s="33"/>
      <c r="DM407" s="33"/>
      <c r="DN407" s="33"/>
      <c r="DO407" s="31"/>
      <c r="DP407" s="32"/>
      <c r="DQ407" s="33"/>
      <c r="DR407" s="33"/>
      <c r="DS407" s="33"/>
      <c r="DT407" s="33"/>
      <c r="DU407" s="33"/>
      <c r="DV407" s="33"/>
      <c r="DW407" s="33"/>
      <c r="DX407" s="33"/>
      <c r="DY407" s="33"/>
      <c r="DZ407" s="33"/>
      <c r="EA407" s="33"/>
      <c r="EB407" s="31"/>
      <c r="EC407" s="32"/>
      <c r="ED407" s="33"/>
      <c r="EE407" s="33"/>
      <c r="EF407" s="33"/>
      <c r="EG407" s="33"/>
      <c r="EH407" s="33"/>
      <c r="EI407" s="33"/>
      <c r="EJ407" s="33"/>
      <c r="EK407" s="33"/>
      <c r="EL407" s="33"/>
      <c r="EM407" s="33"/>
      <c r="EN407" s="33"/>
      <c r="EO407" s="31"/>
      <c r="EP407" s="32"/>
      <c r="EQ407" s="33"/>
      <c r="ER407" s="33"/>
      <c r="ES407" s="33"/>
      <c r="ET407" s="33"/>
      <c r="EU407" s="33"/>
      <c r="EV407" s="33"/>
      <c r="EW407" s="33"/>
      <c r="EX407" s="33"/>
      <c r="EY407" s="33"/>
      <c r="EZ407" s="33"/>
      <c r="FA407" s="33"/>
      <c r="FB407" s="31"/>
      <c r="FC407" s="32"/>
      <c r="FD407" s="33"/>
      <c r="FE407" s="33"/>
      <c r="FF407" s="33"/>
      <c r="FG407" s="33"/>
      <c r="FH407" s="33"/>
      <c r="FI407" s="33"/>
      <c r="FJ407" s="33"/>
      <c r="FK407" s="33"/>
      <c r="FL407" s="33"/>
      <c r="FM407" s="33"/>
      <c r="FN407" s="33"/>
      <c r="FO407" s="34">
        <f t="shared" ref="FO407:FV407" si="400">IFERROR(R407*1,0)+IFERROR(AE407*1,0)+IFERROR(AR407*1,0)+IFERROR(BE407*1,0)+IFERROR(BR407*1,0)+IFERROR(CE407*1,0)+IFERROR(CR407*1,0)+IFERROR(DE407*1,0)+IFERROR(DR407*1,0)+IFERROR(EE407*1,0)+IFERROR(ER407*1,0)+IFERROR(FE407*1,0)</f>
        <v>0</v>
      </c>
      <c r="FP407" s="34">
        <f t="shared" si="400"/>
        <v>0</v>
      </c>
      <c r="FQ407" s="34">
        <f t="shared" si="400"/>
        <v>0</v>
      </c>
      <c r="FR407" s="34">
        <f t="shared" si="400"/>
        <v>0</v>
      </c>
      <c r="FS407" s="34">
        <f t="shared" si="400"/>
        <v>0</v>
      </c>
      <c r="FT407" s="34">
        <f t="shared" si="400"/>
        <v>0</v>
      </c>
      <c r="FU407" s="34">
        <f t="shared" si="400"/>
        <v>0</v>
      </c>
      <c r="FV407" s="34">
        <f t="shared" si="400"/>
        <v>0</v>
      </c>
      <c r="FW407" s="28"/>
      <c r="FX407" s="29">
        <f t="shared" si="3"/>
        <v>0</v>
      </c>
    </row>
    <row r="408" spans="1:180" ht="18" customHeight="1" x14ac:dyDescent="0.25">
      <c r="A408" s="3" t="str">
        <f>IF(C408&lt;&gt;"","DRG-"&amp;TEXT(403,"000"),"")</f>
        <v/>
      </c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38">
        <v>4</v>
      </c>
      <c r="M408" s="23" t="str">
        <f t="shared" si="0"/>
        <v>✘ Pending</v>
      </c>
      <c r="N408" s="23">
        <f t="shared" si="1"/>
        <v>0</v>
      </c>
      <c r="O408" s="25"/>
      <c r="P408" s="26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  <c r="AB408" s="25"/>
      <c r="AC408" s="26"/>
      <c r="AD408" s="24"/>
      <c r="AE408" s="24"/>
      <c r="AF408" s="24"/>
      <c r="AG408" s="24"/>
      <c r="AH408" s="24"/>
      <c r="AI408" s="24"/>
      <c r="AJ408" s="24"/>
      <c r="AK408" s="24"/>
      <c r="AL408" s="24"/>
      <c r="AM408" s="24"/>
      <c r="AN408" s="24"/>
      <c r="AO408" s="25"/>
      <c r="AP408" s="26"/>
      <c r="AQ408" s="24"/>
      <c r="AR408" s="24"/>
      <c r="AS408" s="24"/>
      <c r="AT408" s="24"/>
      <c r="AU408" s="24"/>
      <c r="AV408" s="24"/>
      <c r="AW408" s="24"/>
      <c r="AX408" s="24"/>
      <c r="AY408" s="24"/>
      <c r="AZ408" s="24"/>
      <c r="BA408" s="24"/>
      <c r="BB408" s="25"/>
      <c r="BC408" s="26"/>
      <c r="BD408" s="24"/>
      <c r="BE408" s="24"/>
      <c r="BF408" s="24"/>
      <c r="BG408" s="24"/>
      <c r="BH408" s="24"/>
      <c r="BI408" s="24"/>
      <c r="BJ408" s="24"/>
      <c r="BK408" s="24"/>
      <c r="BL408" s="24"/>
      <c r="BM408" s="24"/>
      <c r="BN408" s="24"/>
      <c r="BO408" s="25"/>
      <c r="BP408" s="26"/>
      <c r="BQ408" s="24"/>
      <c r="BR408" s="24"/>
      <c r="BS408" s="24"/>
      <c r="BT408" s="24"/>
      <c r="BU408" s="24"/>
      <c r="BV408" s="24"/>
      <c r="BW408" s="24"/>
      <c r="BX408" s="24"/>
      <c r="BY408" s="24"/>
      <c r="BZ408" s="24"/>
      <c r="CA408" s="24"/>
      <c r="CB408" s="25"/>
      <c r="CC408" s="26"/>
      <c r="CD408" s="24"/>
      <c r="CE408" s="24"/>
      <c r="CF408" s="24"/>
      <c r="CG408" s="24"/>
      <c r="CH408" s="24"/>
      <c r="CI408" s="24"/>
      <c r="CJ408" s="24"/>
      <c r="CK408" s="24"/>
      <c r="CL408" s="24"/>
      <c r="CM408" s="24"/>
      <c r="CN408" s="24"/>
      <c r="CO408" s="25"/>
      <c r="CP408" s="26"/>
      <c r="CQ408" s="24"/>
      <c r="CR408" s="24"/>
      <c r="CS408" s="24"/>
      <c r="CT408" s="24"/>
      <c r="CU408" s="24"/>
      <c r="CV408" s="24"/>
      <c r="CW408" s="24"/>
      <c r="CX408" s="24"/>
      <c r="CY408" s="24"/>
      <c r="CZ408" s="24"/>
      <c r="DA408" s="24"/>
      <c r="DB408" s="25"/>
      <c r="DC408" s="26"/>
      <c r="DD408" s="24"/>
      <c r="DE408" s="24"/>
      <c r="DF408" s="24"/>
      <c r="DG408" s="24"/>
      <c r="DH408" s="24"/>
      <c r="DI408" s="24"/>
      <c r="DJ408" s="24"/>
      <c r="DK408" s="24"/>
      <c r="DL408" s="24"/>
      <c r="DM408" s="24"/>
      <c r="DN408" s="24"/>
      <c r="DO408" s="25"/>
      <c r="DP408" s="26"/>
      <c r="DQ408" s="24"/>
      <c r="DR408" s="24"/>
      <c r="DS408" s="24"/>
      <c r="DT408" s="24"/>
      <c r="DU408" s="24"/>
      <c r="DV408" s="24"/>
      <c r="DW408" s="24"/>
      <c r="DX408" s="24"/>
      <c r="DY408" s="24"/>
      <c r="DZ408" s="24"/>
      <c r="EA408" s="24"/>
      <c r="EB408" s="25"/>
      <c r="EC408" s="26"/>
      <c r="ED408" s="24"/>
      <c r="EE408" s="24"/>
      <c r="EF408" s="24"/>
      <c r="EG408" s="24"/>
      <c r="EH408" s="24"/>
      <c r="EI408" s="24"/>
      <c r="EJ408" s="24"/>
      <c r="EK408" s="24"/>
      <c r="EL408" s="24"/>
      <c r="EM408" s="24"/>
      <c r="EN408" s="24"/>
      <c r="EO408" s="25"/>
      <c r="EP408" s="26"/>
      <c r="EQ408" s="24"/>
      <c r="ER408" s="24"/>
      <c r="ES408" s="24"/>
      <c r="ET408" s="24"/>
      <c r="EU408" s="24"/>
      <c r="EV408" s="24"/>
      <c r="EW408" s="24"/>
      <c r="EX408" s="24"/>
      <c r="EY408" s="24"/>
      <c r="EZ408" s="24"/>
      <c r="FA408" s="24"/>
      <c r="FB408" s="25"/>
      <c r="FC408" s="26"/>
      <c r="FD408" s="24"/>
      <c r="FE408" s="24"/>
      <c r="FF408" s="24"/>
      <c r="FG408" s="24"/>
      <c r="FH408" s="24"/>
      <c r="FI408" s="24"/>
      <c r="FJ408" s="24"/>
      <c r="FK408" s="24"/>
      <c r="FL408" s="24"/>
      <c r="FM408" s="24"/>
      <c r="FN408" s="24"/>
      <c r="FO408" s="27">
        <f t="shared" ref="FO408:FV408" si="401">IFERROR(R408*1,0)+IFERROR(AE408*1,0)+IFERROR(AR408*1,0)+IFERROR(BE408*1,0)+IFERROR(BR408*1,0)+IFERROR(CE408*1,0)+IFERROR(CR408*1,0)+IFERROR(DE408*1,0)+IFERROR(DR408*1,0)+IFERROR(EE408*1,0)+IFERROR(ER408*1,0)+IFERROR(FE408*1,0)</f>
        <v>0</v>
      </c>
      <c r="FP408" s="27">
        <f t="shared" si="401"/>
        <v>0</v>
      </c>
      <c r="FQ408" s="27">
        <f t="shared" si="401"/>
        <v>0</v>
      </c>
      <c r="FR408" s="27">
        <f t="shared" si="401"/>
        <v>0</v>
      </c>
      <c r="FS408" s="27">
        <f t="shared" si="401"/>
        <v>0</v>
      </c>
      <c r="FT408" s="27">
        <f t="shared" si="401"/>
        <v>0</v>
      </c>
      <c r="FU408" s="27">
        <f t="shared" si="401"/>
        <v>0</v>
      </c>
      <c r="FV408" s="27">
        <f t="shared" si="401"/>
        <v>0</v>
      </c>
      <c r="FW408" s="28"/>
      <c r="FX408" s="29">
        <f t="shared" si="3"/>
        <v>0</v>
      </c>
    </row>
    <row r="409" spans="1:180" ht="18" customHeight="1" x14ac:dyDescent="0.25">
      <c r="A409" s="3" t="str">
        <f>IF(C409&lt;&gt;"","DRG-"&amp;TEXT(404,"000"),"")</f>
        <v/>
      </c>
      <c r="B409" s="33"/>
      <c r="C409" s="33"/>
      <c r="D409" s="33"/>
      <c r="E409" s="33"/>
      <c r="F409" s="33"/>
      <c r="G409" s="33"/>
      <c r="H409" s="33"/>
      <c r="I409" s="33"/>
      <c r="J409" s="33"/>
      <c r="K409" s="33"/>
      <c r="L409" s="37">
        <v>4</v>
      </c>
      <c r="M409" s="30" t="str">
        <f t="shared" si="0"/>
        <v>✘ Pending</v>
      </c>
      <c r="N409" s="30">
        <f t="shared" si="1"/>
        <v>0</v>
      </c>
      <c r="O409" s="31"/>
      <c r="P409" s="32"/>
      <c r="Q409" s="33"/>
      <c r="R409" s="33"/>
      <c r="S409" s="33"/>
      <c r="T409" s="33"/>
      <c r="U409" s="33"/>
      <c r="V409" s="33"/>
      <c r="W409" s="33"/>
      <c r="X409" s="33"/>
      <c r="Y409" s="33"/>
      <c r="Z409" s="33"/>
      <c r="AA409" s="33"/>
      <c r="AB409" s="31"/>
      <c r="AC409" s="32"/>
      <c r="AD409" s="33"/>
      <c r="AE409" s="33"/>
      <c r="AF409" s="33"/>
      <c r="AG409" s="33"/>
      <c r="AH409" s="33"/>
      <c r="AI409" s="33"/>
      <c r="AJ409" s="33"/>
      <c r="AK409" s="33"/>
      <c r="AL409" s="33"/>
      <c r="AM409" s="33"/>
      <c r="AN409" s="33"/>
      <c r="AO409" s="31"/>
      <c r="AP409" s="32"/>
      <c r="AQ409" s="33"/>
      <c r="AR409" s="33"/>
      <c r="AS409" s="33"/>
      <c r="AT409" s="33"/>
      <c r="AU409" s="33"/>
      <c r="AV409" s="33"/>
      <c r="AW409" s="33"/>
      <c r="AX409" s="33"/>
      <c r="AY409" s="33"/>
      <c r="AZ409" s="33"/>
      <c r="BA409" s="33"/>
      <c r="BB409" s="31"/>
      <c r="BC409" s="32"/>
      <c r="BD409" s="33"/>
      <c r="BE409" s="33"/>
      <c r="BF409" s="33"/>
      <c r="BG409" s="33"/>
      <c r="BH409" s="33"/>
      <c r="BI409" s="33"/>
      <c r="BJ409" s="33"/>
      <c r="BK409" s="33"/>
      <c r="BL409" s="33"/>
      <c r="BM409" s="33"/>
      <c r="BN409" s="33"/>
      <c r="BO409" s="31"/>
      <c r="BP409" s="32"/>
      <c r="BQ409" s="33"/>
      <c r="BR409" s="33"/>
      <c r="BS409" s="33"/>
      <c r="BT409" s="33"/>
      <c r="BU409" s="33"/>
      <c r="BV409" s="33"/>
      <c r="BW409" s="33"/>
      <c r="BX409" s="33"/>
      <c r="BY409" s="33"/>
      <c r="BZ409" s="33"/>
      <c r="CA409" s="33"/>
      <c r="CB409" s="31"/>
      <c r="CC409" s="32"/>
      <c r="CD409" s="33"/>
      <c r="CE409" s="33"/>
      <c r="CF409" s="33"/>
      <c r="CG409" s="33"/>
      <c r="CH409" s="33"/>
      <c r="CI409" s="33"/>
      <c r="CJ409" s="33"/>
      <c r="CK409" s="33"/>
      <c r="CL409" s="33"/>
      <c r="CM409" s="33"/>
      <c r="CN409" s="33"/>
      <c r="CO409" s="31"/>
      <c r="CP409" s="32"/>
      <c r="CQ409" s="33"/>
      <c r="CR409" s="33"/>
      <c r="CS409" s="33"/>
      <c r="CT409" s="33"/>
      <c r="CU409" s="33"/>
      <c r="CV409" s="33"/>
      <c r="CW409" s="33"/>
      <c r="CX409" s="33"/>
      <c r="CY409" s="33"/>
      <c r="CZ409" s="33"/>
      <c r="DA409" s="33"/>
      <c r="DB409" s="31"/>
      <c r="DC409" s="32"/>
      <c r="DD409" s="33"/>
      <c r="DE409" s="33"/>
      <c r="DF409" s="33"/>
      <c r="DG409" s="33"/>
      <c r="DH409" s="33"/>
      <c r="DI409" s="33"/>
      <c r="DJ409" s="33"/>
      <c r="DK409" s="33"/>
      <c r="DL409" s="33"/>
      <c r="DM409" s="33"/>
      <c r="DN409" s="33"/>
      <c r="DO409" s="31"/>
      <c r="DP409" s="32"/>
      <c r="DQ409" s="33"/>
      <c r="DR409" s="33"/>
      <c r="DS409" s="33"/>
      <c r="DT409" s="33"/>
      <c r="DU409" s="33"/>
      <c r="DV409" s="33"/>
      <c r="DW409" s="33"/>
      <c r="DX409" s="33"/>
      <c r="DY409" s="33"/>
      <c r="DZ409" s="33"/>
      <c r="EA409" s="33"/>
      <c r="EB409" s="31"/>
      <c r="EC409" s="32"/>
      <c r="ED409" s="33"/>
      <c r="EE409" s="33"/>
      <c r="EF409" s="33"/>
      <c r="EG409" s="33"/>
      <c r="EH409" s="33"/>
      <c r="EI409" s="33"/>
      <c r="EJ409" s="33"/>
      <c r="EK409" s="33"/>
      <c r="EL409" s="33"/>
      <c r="EM409" s="33"/>
      <c r="EN409" s="33"/>
      <c r="EO409" s="31"/>
      <c r="EP409" s="32"/>
      <c r="EQ409" s="33"/>
      <c r="ER409" s="33"/>
      <c r="ES409" s="33"/>
      <c r="ET409" s="33"/>
      <c r="EU409" s="33"/>
      <c r="EV409" s="33"/>
      <c r="EW409" s="33"/>
      <c r="EX409" s="33"/>
      <c r="EY409" s="33"/>
      <c r="EZ409" s="33"/>
      <c r="FA409" s="33"/>
      <c r="FB409" s="31"/>
      <c r="FC409" s="32"/>
      <c r="FD409" s="33"/>
      <c r="FE409" s="33"/>
      <c r="FF409" s="33"/>
      <c r="FG409" s="33"/>
      <c r="FH409" s="33"/>
      <c r="FI409" s="33"/>
      <c r="FJ409" s="33"/>
      <c r="FK409" s="33"/>
      <c r="FL409" s="33"/>
      <c r="FM409" s="33"/>
      <c r="FN409" s="33"/>
      <c r="FO409" s="34">
        <f t="shared" ref="FO409:FV409" si="402">IFERROR(R409*1,0)+IFERROR(AE409*1,0)+IFERROR(AR409*1,0)+IFERROR(BE409*1,0)+IFERROR(BR409*1,0)+IFERROR(CE409*1,0)+IFERROR(CR409*1,0)+IFERROR(DE409*1,0)+IFERROR(DR409*1,0)+IFERROR(EE409*1,0)+IFERROR(ER409*1,0)+IFERROR(FE409*1,0)</f>
        <v>0</v>
      </c>
      <c r="FP409" s="34">
        <f t="shared" si="402"/>
        <v>0</v>
      </c>
      <c r="FQ409" s="34">
        <f t="shared" si="402"/>
        <v>0</v>
      </c>
      <c r="FR409" s="34">
        <f t="shared" si="402"/>
        <v>0</v>
      </c>
      <c r="FS409" s="34">
        <f t="shared" si="402"/>
        <v>0</v>
      </c>
      <c r="FT409" s="34">
        <f t="shared" si="402"/>
        <v>0</v>
      </c>
      <c r="FU409" s="34">
        <f t="shared" si="402"/>
        <v>0</v>
      </c>
      <c r="FV409" s="34">
        <f t="shared" si="402"/>
        <v>0</v>
      </c>
      <c r="FW409" s="28"/>
      <c r="FX409" s="29">
        <f t="shared" si="3"/>
        <v>0</v>
      </c>
    </row>
    <row r="410" spans="1:180" ht="18" customHeight="1" x14ac:dyDescent="0.25">
      <c r="A410" s="3" t="str">
        <f>IF(C410&lt;&gt;"","DRG-"&amp;TEXT(405,"000"),"")</f>
        <v/>
      </c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38">
        <v>4</v>
      </c>
      <c r="M410" s="23" t="str">
        <f t="shared" si="0"/>
        <v>✘ Pending</v>
      </c>
      <c r="N410" s="23">
        <f t="shared" si="1"/>
        <v>0</v>
      </c>
      <c r="O410" s="25"/>
      <c r="P410" s="26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  <c r="AB410" s="25"/>
      <c r="AC410" s="26"/>
      <c r="AD410" s="24"/>
      <c r="AE410" s="24"/>
      <c r="AF410" s="24"/>
      <c r="AG410" s="24"/>
      <c r="AH410" s="24"/>
      <c r="AI410" s="24"/>
      <c r="AJ410" s="24"/>
      <c r="AK410" s="24"/>
      <c r="AL410" s="24"/>
      <c r="AM410" s="24"/>
      <c r="AN410" s="24"/>
      <c r="AO410" s="25"/>
      <c r="AP410" s="26"/>
      <c r="AQ410" s="24"/>
      <c r="AR410" s="24"/>
      <c r="AS410" s="24"/>
      <c r="AT410" s="24"/>
      <c r="AU410" s="24"/>
      <c r="AV410" s="24"/>
      <c r="AW410" s="24"/>
      <c r="AX410" s="24"/>
      <c r="AY410" s="24"/>
      <c r="AZ410" s="24"/>
      <c r="BA410" s="24"/>
      <c r="BB410" s="25"/>
      <c r="BC410" s="26"/>
      <c r="BD410" s="24"/>
      <c r="BE410" s="24"/>
      <c r="BF410" s="24"/>
      <c r="BG410" s="24"/>
      <c r="BH410" s="24"/>
      <c r="BI410" s="24"/>
      <c r="BJ410" s="24"/>
      <c r="BK410" s="24"/>
      <c r="BL410" s="24"/>
      <c r="BM410" s="24"/>
      <c r="BN410" s="24"/>
      <c r="BO410" s="25"/>
      <c r="BP410" s="26"/>
      <c r="BQ410" s="24"/>
      <c r="BR410" s="24"/>
      <c r="BS410" s="24"/>
      <c r="BT410" s="24"/>
      <c r="BU410" s="24"/>
      <c r="BV410" s="24"/>
      <c r="BW410" s="24"/>
      <c r="BX410" s="24"/>
      <c r="BY410" s="24"/>
      <c r="BZ410" s="24"/>
      <c r="CA410" s="24"/>
      <c r="CB410" s="25"/>
      <c r="CC410" s="26"/>
      <c r="CD410" s="24"/>
      <c r="CE410" s="24"/>
      <c r="CF410" s="24"/>
      <c r="CG410" s="24"/>
      <c r="CH410" s="24"/>
      <c r="CI410" s="24"/>
      <c r="CJ410" s="24"/>
      <c r="CK410" s="24"/>
      <c r="CL410" s="24"/>
      <c r="CM410" s="24"/>
      <c r="CN410" s="24"/>
      <c r="CO410" s="25"/>
      <c r="CP410" s="26"/>
      <c r="CQ410" s="24"/>
      <c r="CR410" s="24"/>
      <c r="CS410" s="24"/>
      <c r="CT410" s="24"/>
      <c r="CU410" s="24"/>
      <c r="CV410" s="24"/>
      <c r="CW410" s="24"/>
      <c r="CX410" s="24"/>
      <c r="CY410" s="24"/>
      <c r="CZ410" s="24"/>
      <c r="DA410" s="24"/>
      <c r="DB410" s="25"/>
      <c r="DC410" s="26"/>
      <c r="DD410" s="24"/>
      <c r="DE410" s="24"/>
      <c r="DF410" s="24"/>
      <c r="DG410" s="24"/>
      <c r="DH410" s="24"/>
      <c r="DI410" s="24"/>
      <c r="DJ410" s="24"/>
      <c r="DK410" s="24"/>
      <c r="DL410" s="24"/>
      <c r="DM410" s="24"/>
      <c r="DN410" s="24"/>
      <c r="DO410" s="25"/>
      <c r="DP410" s="26"/>
      <c r="DQ410" s="24"/>
      <c r="DR410" s="24"/>
      <c r="DS410" s="24"/>
      <c r="DT410" s="24"/>
      <c r="DU410" s="24"/>
      <c r="DV410" s="24"/>
      <c r="DW410" s="24"/>
      <c r="DX410" s="24"/>
      <c r="DY410" s="24"/>
      <c r="DZ410" s="24"/>
      <c r="EA410" s="24"/>
      <c r="EB410" s="25"/>
      <c r="EC410" s="26"/>
      <c r="ED410" s="24"/>
      <c r="EE410" s="24"/>
      <c r="EF410" s="24"/>
      <c r="EG410" s="24"/>
      <c r="EH410" s="24"/>
      <c r="EI410" s="24"/>
      <c r="EJ410" s="24"/>
      <c r="EK410" s="24"/>
      <c r="EL410" s="24"/>
      <c r="EM410" s="24"/>
      <c r="EN410" s="24"/>
      <c r="EO410" s="25"/>
      <c r="EP410" s="26"/>
      <c r="EQ410" s="24"/>
      <c r="ER410" s="24"/>
      <c r="ES410" s="24"/>
      <c r="ET410" s="24"/>
      <c r="EU410" s="24"/>
      <c r="EV410" s="24"/>
      <c r="EW410" s="24"/>
      <c r="EX410" s="24"/>
      <c r="EY410" s="24"/>
      <c r="EZ410" s="24"/>
      <c r="FA410" s="24"/>
      <c r="FB410" s="25"/>
      <c r="FC410" s="26"/>
      <c r="FD410" s="24"/>
      <c r="FE410" s="24"/>
      <c r="FF410" s="24"/>
      <c r="FG410" s="24"/>
      <c r="FH410" s="24"/>
      <c r="FI410" s="24"/>
      <c r="FJ410" s="24"/>
      <c r="FK410" s="24"/>
      <c r="FL410" s="24"/>
      <c r="FM410" s="24"/>
      <c r="FN410" s="24"/>
      <c r="FO410" s="27">
        <f t="shared" ref="FO410:FV410" si="403">IFERROR(R410*1,0)+IFERROR(AE410*1,0)+IFERROR(AR410*1,0)+IFERROR(BE410*1,0)+IFERROR(BR410*1,0)+IFERROR(CE410*1,0)+IFERROR(CR410*1,0)+IFERROR(DE410*1,0)+IFERROR(DR410*1,0)+IFERROR(EE410*1,0)+IFERROR(ER410*1,0)+IFERROR(FE410*1,0)</f>
        <v>0</v>
      </c>
      <c r="FP410" s="27">
        <f t="shared" si="403"/>
        <v>0</v>
      </c>
      <c r="FQ410" s="27">
        <f t="shared" si="403"/>
        <v>0</v>
      </c>
      <c r="FR410" s="27">
        <f t="shared" si="403"/>
        <v>0</v>
      </c>
      <c r="FS410" s="27">
        <f t="shared" si="403"/>
        <v>0</v>
      </c>
      <c r="FT410" s="27">
        <f t="shared" si="403"/>
        <v>0</v>
      </c>
      <c r="FU410" s="27">
        <f t="shared" si="403"/>
        <v>0</v>
      </c>
      <c r="FV410" s="27">
        <f t="shared" si="403"/>
        <v>0</v>
      </c>
      <c r="FW410" s="28"/>
      <c r="FX410" s="29">
        <f t="shared" si="3"/>
        <v>0</v>
      </c>
    </row>
    <row r="411" spans="1:180" ht="18" customHeight="1" x14ac:dyDescent="0.25">
      <c r="A411" s="3" t="str">
        <f>IF(C411&lt;&gt;"","DRG-"&amp;TEXT(406,"000"),"")</f>
        <v/>
      </c>
      <c r="B411" s="33"/>
      <c r="C411" s="33"/>
      <c r="D411" s="33"/>
      <c r="E411" s="33"/>
      <c r="F411" s="33"/>
      <c r="G411" s="33"/>
      <c r="H411" s="33"/>
      <c r="I411" s="33"/>
      <c r="J411" s="33"/>
      <c r="K411" s="33"/>
      <c r="L411" s="37">
        <v>4</v>
      </c>
      <c r="M411" s="30" t="str">
        <f t="shared" si="0"/>
        <v>✘ Pending</v>
      </c>
      <c r="N411" s="30">
        <f t="shared" si="1"/>
        <v>0</v>
      </c>
      <c r="O411" s="31"/>
      <c r="P411" s="32"/>
      <c r="Q411" s="33"/>
      <c r="R411" s="33"/>
      <c r="S411" s="33"/>
      <c r="T411" s="33"/>
      <c r="U411" s="33"/>
      <c r="V411" s="33"/>
      <c r="W411" s="33"/>
      <c r="X411" s="33"/>
      <c r="Y411" s="33"/>
      <c r="Z411" s="33"/>
      <c r="AA411" s="33"/>
      <c r="AB411" s="31"/>
      <c r="AC411" s="32"/>
      <c r="AD411" s="33"/>
      <c r="AE411" s="33"/>
      <c r="AF411" s="33"/>
      <c r="AG411" s="33"/>
      <c r="AH411" s="33"/>
      <c r="AI411" s="33"/>
      <c r="AJ411" s="33"/>
      <c r="AK411" s="33"/>
      <c r="AL411" s="33"/>
      <c r="AM411" s="33"/>
      <c r="AN411" s="33"/>
      <c r="AO411" s="31"/>
      <c r="AP411" s="32"/>
      <c r="AQ411" s="33"/>
      <c r="AR411" s="33"/>
      <c r="AS411" s="33"/>
      <c r="AT411" s="33"/>
      <c r="AU411" s="33"/>
      <c r="AV411" s="33"/>
      <c r="AW411" s="33"/>
      <c r="AX411" s="33"/>
      <c r="AY411" s="33"/>
      <c r="AZ411" s="33"/>
      <c r="BA411" s="33"/>
      <c r="BB411" s="31"/>
      <c r="BC411" s="32"/>
      <c r="BD411" s="33"/>
      <c r="BE411" s="33"/>
      <c r="BF411" s="33"/>
      <c r="BG411" s="33"/>
      <c r="BH411" s="33"/>
      <c r="BI411" s="33"/>
      <c r="BJ411" s="33"/>
      <c r="BK411" s="33"/>
      <c r="BL411" s="33"/>
      <c r="BM411" s="33"/>
      <c r="BN411" s="33"/>
      <c r="BO411" s="31"/>
      <c r="BP411" s="32"/>
      <c r="BQ411" s="33"/>
      <c r="BR411" s="33"/>
      <c r="BS411" s="33"/>
      <c r="BT411" s="33"/>
      <c r="BU411" s="33"/>
      <c r="BV411" s="33"/>
      <c r="BW411" s="33"/>
      <c r="BX411" s="33"/>
      <c r="BY411" s="33"/>
      <c r="BZ411" s="33"/>
      <c r="CA411" s="33"/>
      <c r="CB411" s="31"/>
      <c r="CC411" s="32"/>
      <c r="CD411" s="33"/>
      <c r="CE411" s="33"/>
      <c r="CF411" s="33"/>
      <c r="CG411" s="33"/>
      <c r="CH411" s="33"/>
      <c r="CI411" s="33"/>
      <c r="CJ411" s="33"/>
      <c r="CK411" s="33"/>
      <c r="CL411" s="33"/>
      <c r="CM411" s="33"/>
      <c r="CN411" s="33"/>
      <c r="CO411" s="31"/>
      <c r="CP411" s="32"/>
      <c r="CQ411" s="33"/>
      <c r="CR411" s="33"/>
      <c r="CS411" s="33"/>
      <c r="CT411" s="33"/>
      <c r="CU411" s="33"/>
      <c r="CV411" s="33"/>
      <c r="CW411" s="33"/>
      <c r="CX411" s="33"/>
      <c r="CY411" s="33"/>
      <c r="CZ411" s="33"/>
      <c r="DA411" s="33"/>
      <c r="DB411" s="31"/>
      <c r="DC411" s="32"/>
      <c r="DD411" s="33"/>
      <c r="DE411" s="33"/>
      <c r="DF411" s="33"/>
      <c r="DG411" s="33"/>
      <c r="DH411" s="33"/>
      <c r="DI411" s="33"/>
      <c r="DJ411" s="33"/>
      <c r="DK411" s="33"/>
      <c r="DL411" s="33"/>
      <c r="DM411" s="33"/>
      <c r="DN411" s="33"/>
      <c r="DO411" s="31"/>
      <c r="DP411" s="32"/>
      <c r="DQ411" s="33"/>
      <c r="DR411" s="33"/>
      <c r="DS411" s="33"/>
      <c r="DT411" s="33"/>
      <c r="DU411" s="33"/>
      <c r="DV411" s="33"/>
      <c r="DW411" s="33"/>
      <c r="DX411" s="33"/>
      <c r="DY411" s="33"/>
      <c r="DZ411" s="33"/>
      <c r="EA411" s="33"/>
      <c r="EB411" s="31"/>
      <c r="EC411" s="32"/>
      <c r="ED411" s="33"/>
      <c r="EE411" s="33"/>
      <c r="EF411" s="33"/>
      <c r="EG411" s="33"/>
      <c r="EH411" s="33"/>
      <c r="EI411" s="33"/>
      <c r="EJ411" s="33"/>
      <c r="EK411" s="33"/>
      <c r="EL411" s="33"/>
      <c r="EM411" s="33"/>
      <c r="EN411" s="33"/>
      <c r="EO411" s="31"/>
      <c r="EP411" s="32"/>
      <c r="EQ411" s="33"/>
      <c r="ER411" s="33"/>
      <c r="ES411" s="33"/>
      <c r="ET411" s="33"/>
      <c r="EU411" s="33"/>
      <c r="EV411" s="33"/>
      <c r="EW411" s="33"/>
      <c r="EX411" s="33"/>
      <c r="EY411" s="33"/>
      <c r="EZ411" s="33"/>
      <c r="FA411" s="33"/>
      <c r="FB411" s="31"/>
      <c r="FC411" s="32"/>
      <c r="FD411" s="33"/>
      <c r="FE411" s="33"/>
      <c r="FF411" s="33"/>
      <c r="FG411" s="33"/>
      <c r="FH411" s="33"/>
      <c r="FI411" s="33"/>
      <c r="FJ411" s="33"/>
      <c r="FK411" s="33"/>
      <c r="FL411" s="33"/>
      <c r="FM411" s="33"/>
      <c r="FN411" s="33"/>
      <c r="FO411" s="34">
        <f t="shared" ref="FO411:FV411" si="404">IFERROR(R411*1,0)+IFERROR(AE411*1,0)+IFERROR(AR411*1,0)+IFERROR(BE411*1,0)+IFERROR(BR411*1,0)+IFERROR(CE411*1,0)+IFERROR(CR411*1,0)+IFERROR(DE411*1,0)+IFERROR(DR411*1,0)+IFERROR(EE411*1,0)+IFERROR(ER411*1,0)+IFERROR(FE411*1,0)</f>
        <v>0</v>
      </c>
      <c r="FP411" s="34">
        <f t="shared" si="404"/>
        <v>0</v>
      </c>
      <c r="FQ411" s="34">
        <f t="shared" si="404"/>
        <v>0</v>
      </c>
      <c r="FR411" s="34">
        <f t="shared" si="404"/>
        <v>0</v>
      </c>
      <c r="FS411" s="34">
        <f t="shared" si="404"/>
        <v>0</v>
      </c>
      <c r="FT411" s="34">
        <f t="shared" si="404"/>
        <v>0</v>
      </c>
      <c r="FU411" s="34">
        <f t="shared" si="404"/>
        <v>0</v>
      </c>
      <c r="FV411" s="34">
        <f t="shared" si="404"/>
        <v>0</v>
      </c>
      <c r="FW411" s="28"/>
      <c r="FX411" s="29">
        <f t="shared" si="3"/>
        <v>0</v>
      </c>
    </row>
    <row r="412" spans="1:180" ht="18" customHeight="1" x14ac:dyDescent="0.25">
      <c r="A412" s="3" t="str">
        <f>IF(C412&lt;&gt;"","DRG-"&amp;TEXT(407,"000"),"")</f>
        <v/>
      </c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38">
        <v>4</v>
      </c>
      <c r="M412" s="23" t="str">
        <f t="shared" si="0"/>
        <v>✘ Pending</v>
      </c>
      <c r="N412" s="23">
        <f t="shared" si="1"/>
        <v>0</v>
      </c>
      <c r="O412" s="25"/>
      <c r="P412" s="26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  <c r="AB412" s="25"/>
      <c r="AC412" s="26"/>
      <c r="AD412" s="24"/>
      <c r="AE412" s="24"/>
      <c r="AF412" s="24"/>
      <c r="AG412" s="24"/>
      <c r="AH412" s="24"/>
      <c r="AI412" s="24"/>
      <c r="AJ412" s="24"/>
      <c r="AK412" s="24"/>
      <c r="AL412" s="24"/>
      <c r="AM412" s="24"/>
      <c r="AN412" s="24"/>
      <c r="AO412" s="25"/>
      <c r="AP412" s="26"/>
      <c r="AQ412" s="24"/>
      <c r="AR412" s="24"/>
      <c r="AS412" s="24"/>
      <c r="AT412" s="24"/>
      <c r="AU412" s="24"/>
      <c r="AV412" s="24"/>
      <c r="AW412" s="24"/>
      <c r="AX412" s="24"/>
      <c r="AY412" s="24"/>
      <c r="AZ412" s="24"/>
      <c r="BA412" s="24"/>
      <c r="BB412" s="25"/>
      <c r="BC412" s="26"/>
      <c r="BD412" s="24"/>
      <c r="BE412" s="24"/>
      <c r="BF412" s="24"/>
      <c r="BG412" s="24"/>
      <c r="BH412" s="24"/>
      <c r="BI412" s="24"/>
      <c r="BJ412" s="24"/>
      <c r="BK412" s="24"/>
      <c r="BL412" s="24"/>
      <c r="BM412" s="24"/>
      <c r="BN412" s="24"/>
      <c r="BO412" s="25"/>
      <c r="BP412" s="26"/>
      <c r="BQ412" s="24"/>
      <c r="BR412" s="24"/>
      <c r="BS412" s="24"/>
      <c r="BT412" s="24"/>
      <c r="BU412" s="24"/>
      <c r="BV412" s="24"/>
      <c r="BW412" s="24"/>
      <c r="BX412" s="24"/>
      <c r="BY412" s="24"/>
      <c r="BZ412" s="24"/>
      <c r="CA412" s="24"/>
      <c r="CB412" s="25"/>
      <c r="CC412" s="26"/>
      <c r="CD412" s="24"/>
      <c r="CE412" s="24"/>
      <c r="CF412" s="24"/>
      <c r="CG412" s="24"/>
      <c r="CH412" s="24"/>
      <c r="CI412" s="24"/>
      <c r="CJ412" s="24"/>
      <c r="CK412" s="24"/>
      <c r="CL412" s="24"/>
      <c r="CM412" s="24"/>
      <c r="CN412" s="24"/>
      <c r="CO412" s="25"/>
      <c r="CP412" s="26"/>
      <c r="CQ412" s="24"/>
      <c r="CR412" s="24"/>
      <c r="CS412" s="24"/>
      <c r="CT412" s="24"/>
      <c r="CU412" s="24"/>
      <c r="CV412" s="24"/>
      <c r="CW412" s="24"/>
      <c r="CX412" s="24"/>
      <c r="CY412" s="24"/>
      <c r="CZ412" s="24"/>
      <c r="DA412" s="24"/>
      <c r="DB412" s="25"/>
      <c r="DC412" s="26"/>
      <c r="DD412" s="24"/>
      <c r="DE412" s="24"/>
      <c r="DF412" s="24"/>
      <c r="DG412" s="24"/>
      <c r="DH412" s="24"/>
      <c r="DI412" s="24"/>
      <c r="DJ412" s="24"/>
      <c r="DK412" s="24"/>
      <c r="DL412" s="24"/>
      <c r="DM412" s="24"/>
      <c r="DN412" s="24"/>
      <c r="DO412" s="25"/>
      <c r="DP412" s="26"/>
      <c r="DQ412" s="24"/>
      <c r="DR412" s="24"/>
      <c r="DS412" s="24"/>
      <c r="DT412" s="24"/>
      <c r="DU412" s="24"/>
      <c r="DV412" s="24"/>
      <c r="DW412" s="24"/>
      <c r="DX412" s="24"/>
      <c r="DY412" s="24"/>
      <c r="DZ412" s="24"/>
      <c r="EA412" s="24"/>
      <c r="EB412" s="25"/>
      <c r="EC412" s="26"/>
      <c r="ED412" s="24"/>
      <c r="EE412" s="24"/>
      <c r="EF412" s="24"/>
      <c r="EG412" s="24"/>
      <c r="EH412" s="24"/>
      <c r="EI412" s="24"/>
      <c r="EJ412" s="24"/>
      <c r="EK412" s="24"/>
      <c r="EL412" s="24"/>
      <c r="EM412" s="24"/>
      <c r="EN412" s="24"/>
      <c r="EO412" s="25"/>
      <c r="EP412" s="26"/>
      <c r="EQ412" s="24"/>
      <c r="ER412" s="24"/>
      <c r="ES412" s="24"/>
      <c r="ET412" s="24"/>
      <c r="EU412" s="24"/>
      <c r="EV412" s="24"/>
      <c r="EW412" s="24"/>
      <c r="EX412" s="24"/>
      <c r="EY412" s="24"/>
      <c r="EZ412" s="24"/>
      <c r="FA412" s="24"/>
      <c r="FB412" s="25"/>
      <c r="FC412" s="26"/>
      <c r="FD412" s="24"/>
      <c r="FE412" s="24"/>
      <c r="FF412" s="24"/>
      <c r="FG412" s="24"/>
      <c r="FH412" s="24"/>
      <c r="FI412" s="24"/>
      <c r="FJ412" s="24"/>
      <c r="FK412" s="24"/>
      <c r="FL412" s="24"/>
      <c r="FM412" s="24"/>
      <c r="FN412" s="24"/>
      <c r="FO412" s="27">
        <f t="shared" ref="FO412:FV412" si="405">IFERROR(R412*1,0)+IFERROR(AE412*1,0)+IFERROR(AR412*1,0)+IFERROR(BE412*1,0)+IFERROR(BR412*1,0)+IFERROR(CE412*1,0)+IFERROR(CR412*1,0)+IFERROR(DE412*1,0)+IFERROR(DR412*1,0)+IFERROR(EE412*1,0)+IFERROR(ER412*1,0)+IFERROR(FE412*1,0)</f>
        <v>0</v>
      </c>
      <c r="FP412" s="27">
        <f t="shared" si="405"/>
        <v>0</v>
      </c>
      <c r="FQ412" s="27">
        <f t="shared" si="405"/>
        <v>0</v>
      </c>
      <c r="FR412" s="27">
        <f t="shared" si="405"/>
        <v>0</v>
      </c>
      <c r="FS412" s="27">
        <f t="shared" si="405"/>
        <v>0</v>
      </c>
      <c r="FT412" s="27">
        <f t="shared" si="405"/>
        <v>0</v>
      </c>
      <c r="FU412" s="27">
        <f t="shared" si="405"/>
        <v>0</v>
      </c>
      <c r="FV412" s="27">
        <f t="shared" si="405"/>
        <v>0</v>
      </c>
      <c r="FW412" s="28"/>
      <c r="FX412" s="29">
        <f t="shared" si="3"/>
        <v>0</v>
      </c>
    </row>
    <row r="413" spans="1:180" ht="18" customHeight="1" x14ac:dyDescent="0.25">
      <c r="A413" s="3" t="str">
        <f>IF(C413&lt;&gt;"","DRG-"&amp;TEXT(408,"000"),"")</f>
        <v/>
      </c>
      <c r="B413" s="33"/>
      <c r="C413" s="33"/>
      <c r="D413" s="33"/>
      <c r="E413" s="33"/>
      <c r="F413" s="33"/>
      <c r="G413" s="33"/>
      <c r="H413" s="33"/>
      <c r="I413" s="33"/>
      <c r="J413" s="33"/>
      <c r="K413" s="33"/>
      <c r="L413" s="37">
        <v>4</v>
      </c>
      <c r="M413" s="30" t="str">
        <f t="shared" si="0"/>
        <v>✘ Pending</v>
      </c>
      <c r="N413" s="30">
        <f t="shared" si="1"/>
        <v>0</v>
      </c>
      <c r="O413" s="31"/>
      <c r="P413" s="32"/>
      <c r="Q413" s="33"/>
      <c r="R413" s="33"/>
      <c r="S413" s="33"/>
      <c r="T413" s="33"/>
      <c r="U413" s="33"/>
      <c r="V413" s="33"/>
      <c r="W413" s="33"/>
      <c r="X413" s="33"/>
      <c r="Y413" s="33"/>
      <c r="Z413" s="33"/>
      <c r="AA413" s="33"/>
      <c r="AB413" s="31"/>
      <c r="AC413" s="32"/>
      <c r="AD413" s="33"/>
      <c r="AE413" s="33"/>
      <c r="AF413" s="33"/>
      <c r="AG413" s="33"/>
      <c r="AH413" s="33"/>
      <c r="AI413" s="33"/>
      <c r="AJ413" s="33"/>
      <c r="AK413" s="33"/>
      <c r="AL413" s="33"/>
      <c r="AM413" s="33"/>
      <c r="AN413" s="33"/>
      <c r="AO413" s="31"/>
      <c r="AP413" s="32"/>
      <c r="AQ413" s="33"/>
      <c r="AR413" s="33"/>
      <c r="AS413" s="33"/>
      <c r="AT413" s="33"/>
      <c r="AU413" s="33"/>
      <c r="AV413" s="33"/>
      <c r="AW413" s="33"/>
      <c r="AX413" s="33"/>
      <c r="AY413" s="33"/>
      <c r="AZ413" s="33"/>
      <c r="BA413" s="33"/>
      <c r="BB413" s="31"/>
      <c r="BC413" s="32"/>
      <c r="BD413" s="33"/>
      <c r="BE413" s="33"/>
      <c r="BF413" s="33"/>
      <c r="BG413" s="33"/>
      <c r="BH413" s="33"/>
      <c r="BI413" s="33"/>
      <c r="BJ413" s="33"/>
      <c r="BK413" s="33"/>
      <c r="BL413" s="33"/>
      <c r="BM413" s="33"/>
      <c r="BN413" s="33"/>
      <c r="BO413" s="31"/>
      <c r="BP413" s="32"/>
      <c r="BQ413" s="33"/>
      <c r="BR413" s="33"/>
      <c r="BS413" s="33"/>
      <c r="BT413" s="33"/>
      <c r="BU413" s="33"/>
      <c r="BV413" s="33"/>
      <c r="BW413" s="33"/>
      <c r="BX413" s="33"/>
      <c r="BY413" s="33"/>
      <c r="BZ413" s="33"/>
      <c r="CA413" s="33"/>
      <c r="CB413" s="31"/>
      <c r="CC413" s="32"/>
      <c r="CD413" s="33"/>
      <c r="CE413" s="33"/>
      <c r="CF413" s="33"/>
      <c r="CG413" s="33"/>
      <c r="CH413" s="33"/>
      <c r="CI413" s="33"/>
      <c r="CJ413" s="33"/>
      <c r="CK413" s="33"/>
      <c r="CL413" s="33"/>
      <c r="CM413" s="33"/>
      <c r="CN413" s="33"/>
      <c r="CO413" s="31"/>
      <c r="CP413" s="32"/>
      <c r="CQ413" s="33"/>
      <c r="CR413" s="33"/>
      <c r="CS413" s="33"/>
      <c r="CT413" s="33"/>
      <c r="CU413" s="33"/>
      <c r="CV413" s="33"/>
      <c r="CW413" s="33"/>
      <c r="CX413" s="33"/>
      <c r="CY413" s="33"/>
      <c r="CZ413" s="33"/>
      <c r="DA413" s="33"/>
      <c r="DB413" s="31"/>
      <c r="DC413" s="32"/>
      <c r="DD413" s="33"/>
      <c r="DE413" s="33"/>
      <c r="DF413" s="33"/>
      <c r="DG413" s="33"/>
      <c r="DH413" s="33"/>
      <c r="DI413" s="33"/>
      <c r="DJ413" s="33"/>
      <c r="DK413" s="33"/>
      <c r="DL413" s="33"/>
      <c r="DM413" s="33"/>
      <c r="DN413" s="33"/>
      <c r="DO413" s="31"/>
      <c r="DP413" s="32"/>
      <c r="DQ413" s="33"/>
      <c r="DR413" s="33"/>
      <c r="DS413" s="33"/>
      <c r="DT413" s="33"/>
      <c r="DU413" s="33"/>
      <c r="DV413" s="33"/>
      <c r="DW413" s="33"/>
      <c r="DX413" s="33"/>
      <c r="DY413" s="33"/>
      <c r="DZ413" s="33"/>
      <c r="EA413" s="33"/>
      <c r="EB413" s="31"/>
      <c r="EC413" s="32"/>
      <c r="ED413" s="33"/>
      <c r="EE413" s="33"/>
      <c r="EF413" s="33"/>
      <c r="EG413" s="33"/>
      <c r="EH413" s="33"/>
      <c r="EI413" s="33"/>
      <c r="EJ413" s="33"/>
      <c r="EK413" s="33"/>
      <c r="EL413" s="33"/>
      <c r="EM413" s="33"/>
      <c r="EN413" s="33"/>
      <c r="EO413" s="31"/>
      <c r="EP413" s="32"/>
      <c r="EQ413" s="33"/>
      <c r="ER413" s="33"/>
      <c r="ES413" s="33"/>
      <c r="ET413" s="33"/>
      <c r="EU413" s="33"/>
      <c r="EV413" s="33"/>
      <c r="EW413" s="33"/>
      <c r="EX413" s="33"/>
      <c r="EY413" s="33"/>
      <c r="EZ413" s="33"/>
      <c r="FA413" s="33"/>
      <c r="FB413" s="31"/>
      <c r="FC413" s="32"/>
      <c r="FD413" s="33"/>
      <c r="FE413" s="33"/>
      <c r="FF413" s="33"/>
      <c r="FG413" s="33"/>
      <c r="FH413" s="33"/>
      <c r="FI413" s="33"/>
      <c r="FJ413" s="33"/>
      <c r="FK413" s="33"/>
      <c r="FL413" s="33"/>
      <c r="FM413" s="33"/>
      <c r="FN413" s="33"/>
      <c r="FO413" s="34">
        <f t="shared" ref="FO413:FV413" si="406">IFERROR(R413*1,0)+IFERROR(AE413*1,0)+IFERROR(AR413*1,0)+IFERROR(BE413*1,0)+IFERROR(BR413*1,0)+IFERROR(CE413*1,0)+IFERROR(CR413*1,0)+IFERROR(DE413*1,0)+IFERROR(DR413*1,0)+IFERROR(EE413*1,0)+IFERROR(ER413*1,0)+IFERROR(FE413*1,0)</f>
        <v>0</v>
      </c>
      <c r="FP413" s="34">
        <f t="shared" si="406"/>
        <v>0</v>
      </c>
      <c r="FQ413" s="34">
        <f t="shared" si="406"/>
        <v>0</v>
      </c>
      <c r="FR413" s="34">
        <f t="shared" si="406"/>
        <v>0</v>
      </c>
      <c r="FS413" s="34">
        <f t="shared" si="406"/>
        <v>0</v>
      </c>
      <c r="FT413" s="34">
        <f t="shared" si="406"/>
        <v>0</v>
      </c>
      <c r="FU413" s="34">
        <f t="shared" si="406"/>
        <v>0</v>
      </c>
      <c r="FV413" s="34">
        <f t="shared" si="406"/>
        <v>0</v>
      </c>
      <c r="FW413" s="28"/>
      <c r="FX413" s="29">
        <f t="shared" si="3"/>
        <v>0</v>
      </c>
    </row>
    <row r="414" spans="1:180" ht="18" customHeight="1" x14ac:dyDescent="0.25">
      <c r="A414" s="3" t="str">
        <f>IF(C414&lt;&gt;"","DRG-"&amp;TEXT(409,"000"),"")</f>
        <v/>
      </c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38">
        <v>4</v>
      </c>
      <c r="M414" s="23" t="str">
        <f t="shared" si="0"/>
        <v>✘ Pending</v>
      </c>
      <c r="N414" s="23">
        <f t="shared" si="1"/>
        <v>0</v>
      </c>
      <c r="O414" s="25"/>
      <c r="P414" s="26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  <c r="AB414" s="25"/>
      <c r="AC414" s="26"/>
      <c r="AD414" s="24"/>
      <c r="AE414" s="24"/>
      <c r="AF414" s="24"/>
      <c r="AG414" s="24"/>
      <c r="AH414" s="24"/>
      <c r="AI414" s="24"/>
      <c r="AJ414" s="24"/>
      <c r="AK414" s="24"/>
      <c r="AL414" s="24"/>
      <c r="AM414" s="24"/>
      <c r="AN414" s="24"/>
      <c r="AO414" s="25"/>
      <c r="AP414" s="26"/>
      <c r="AQ414" s="24"/>
      <c r="AR414" s="24"/>
      <c r="AS414" s="24"/>
      <c r="AT414" s="24"/>
      <c r="AU414" s="24"/>
      <c r="AV414" s="24"/>
      <c r="AW414" s="24"/>
      <c r="AX414" s="24"/>
      <c r="AY414" s="24"/>
      <c r="AZ414" s="24"/>
      <c r="BA414" s="24"/>
      <c r="BB414" s="25"/>
      <c r="BC414" s="26"/>
      <c r="BD414" s="24"/>
      <c r="BE414" s="24"/>
      <c r="BF414" s="24"/>
      <c r="BG414" s="24"/>
      <c r="BH414" s="24"/>
      <c r="BI414" s="24"/>
      <c r="BJ414" s="24"/>
      <c r="BK414" s="24"/>
      <c r="BL414" s="24"/>
      <c r="BM414" s="24"/>
      <c r="BN414" s="24"/>
      <c r="BO414" s="25"/>
      <c r="BP414" s="26"/>
      <c r="BQ414" s="24"/>
      <c r="BR414" s="24"/>
      <c r="BS414" s="24"/>
      <c r="BT414" s="24"/>
      <c r="BU414" s="24"/>
      <c r="BV414" s="24"/>
      <c r="BW414" s="24"/>
      <c r="BX414" s="24"/>
      <c r="BY414" s="24"/>
      <c r="BZ414" s="24"/>
      <c r="CA414" s="24"/>
      <c r="CB414" s="25"/>
      <c r="CC414" s="26"/>
      <c r="CD414" s="24"/>
      <c r="CE414" s="24"/>
      <c r="CF414" s="24"/>
      <c r="CG414" s="24"/>
      <c r="CH414" s="24"/>
      <c r="CI414" s="24"/>
      <c r="CJ414" s="24"/>
      <c r="CK414" s="24"/>
      <c r="CL414" s="24"/>
      <c r="CM414" s="24"/>
      <c r="CN414" s="24"/>
      <c r="CO414" s="25"/>
      <c r="CP414" s="26"/>
      <c r="CQ414" s="24"/>
      <c r="CR414" s="24"/>
      <c r="CS414" s="24"/>
      <c r="CT414" s="24"/>
      <c r="CU414" s="24"/>
      <c r="CV414" s="24"/>
      <c r="CW414" s="24"/>
      <c r="CX414" s="24"/>
      <c r="CY414" s="24"/>
      <c r="CZ414" s="24"/>
      <c r="DA414" s="24"/>
      <c r="DB414" s="25"/>
      <c r="DC414" s="26"/>
      <c r="DD414" s="24"/>
      <c r="DE414" s="24"/>
      <c r="DF414" s="24"/>
      <c r="DG414" s="24"/>
      <c r="DH414" s="24"/>
      <c r="DI414" s="24"/>
      <c r="DJ414" s="24"/>
      <c r="DK414" s="24"/>
      <c r="DL414" s="24"/>
      <c r="DM414" s="24"/>
      <c r="DN414" s="24"/>
      <c r="DO414" s="25"/>
      <c r="DP414" s="26"/>
      <c r="DQ414" s="24"/>
      <c r="DR414" s="24"/>
      <c r="DS414" s="24"/>
      <c r="DT414" s="24"/>
      <c r="DU414" s="24"/>
      <c r="DV414" s="24"/>
      <c r="DW414" s="24"/>
      <c r="DX414" s="24"/>
      <c r="DY414" s="24"/>
      <c r="DZ414" s="24"/>
      <c r="EA414" s="24"/>
      <c r="EB414" s="25"/>
      <c r="EC414" s="26"/>
      <c r="ED414" s="24"/>
      <c r="EE414" s="24"/>
      <c r="EF414" s="24"/>
      <c r="EG414" s="24"/>
      <c r="EH414" s="24"/>
      <c r="EI414" s="24"/>
      <c r="EJ414" s="24"/>
      <c r="EK414" s="24"/>
      <c r="EL414" s="24"/>
      <c r="EM414" s="24"/>
      <c r="EN414" s="24"/>
      <c r="EO414" s="25"/>
      <c r="EP414" s="26"/>
      <c r="EQ414" s="24"/>
      <c r="ER414" s="24"/>
      <c r="ES414" s="24"/>
      <c r="ET414" s="24"/>
      <c r="EU414" s="24"/>
      <c r="EV414" s="24"/>
      <c r="EW414" s="24"/>
      <c r="EX414" s="24"/>
      <c r="EY414" s="24"/>
      <c r="EZ414" s="24"/>
      <c r="FA414" s="24"/>
      <c r="FB414" s="25"/>
      <c r="FC414" s="26"/>
      <c r="FD414" s="24"/>
      <c r="FE414" s="24"/>
      <c r="FF414" s="24"/>
      <c r="FG414" s="24"/>
      <c r="FH414" s="24"/>
      <c r="FI414" s="24"/>
      <c r="FJ414" s="24"/>
      <c r="FK414" s="24"/>
      <c r="FL414" s="24"/>
      <c r="FM414" s="24"/>
      <c r="FN414" s="24"/>
      <c r="FO414" s="27">
        <f t="shared" ref="FO414:FV414" si="407">IFERROR(R414*1,0)+IFERROR(AE414*1,0)+IFERROR(AR414*1,0)+IFERROR(BE414*1,0)+IFERROR(BR414*1,0)+IFERROR(CE414*1,0)+IFERROR(CR414*1,0)+IFERROR(DE414*1,0)+IFERROR(DR414*1,0)+IFERROR(EE414*1,0)+IFERROR(ER414*1,0)+IFERROR(FE414*1,0)</f>
        <v>0</v>
      </c>
      <c r="FP414" s="27">
        <f t="shared" si="407"/>
        <v>0</v>
      </c>
      <c r="FQ414" s="27">
        <f t="shared" si="407"/>
        <v>0</v>
      </c>
      <c r="FR414" s="27">
        <f t="shared" si="407"/>
        <v>0</v>
      </c>
      <c r="FS414" s="27">
        <f t="shared" si="407"/>
        <v>0</v>
      </c>
      <c r="FT414" s="27">
        <f t="shared" si="407"/>
        <v>0</v>
      </c>
      <c r="FU414" s="27">
        <f t="shared" si="407"/>
        <v>0</v>
      </c>
      <c r="FV414" s="27">
        <f t="shared" si="407"/>
        <v>0</v>
      </c>
      <c r="FW414" s="28"/>
      <c r="FX414" s="29">
        <f t="shared" si="3"/>
        <v>0</v>
      </c>
    </row>
    <row r="415" spans="1:180" ht="18" customHeight="1" x14ac:dyDescent="0.25">
      <c r="A415" s="3" t="str">
        <f>IF(C415&lt;&gt;"","DRG-"&amp;TEXT(410,"000"),"")</f>
        <v/>
      </c>
      <c r="B415" s="33"/>
      <c r="C415" s="33"/>
      <c r="D415" s="33"/>
      <c r="E415" s="33"/>
      <c r="F415" s="33"/>
      <c r="G415" s="33"/>
      <c r="H415" s="33"/>
      <c r="I415" s="33"/>
      <c r="J415" s="33"/>
      <c r="K415" s="33"/>
      <c r="L415" s="37">
        <v>4</v>
      </c>
      <c r="M415" s="30" t="str">
        <f t="shared" si="0"/>
        <v>✘ Pending</v>
      </c>
      <c r="N415" s="30">
        <f t="shared" si="1"/>
        <v>0</v>
      </c>
      <c r="O415" s="31"/>
      <c r="P415" s="32"/>
      <c r="Q415" s="33"/>
      <c r="R415" s="33"/>
      <c r="S415" s="33"/>
      <c r="T415" s="33"/>
      <c r="U415" s="33"/>
      <c r="V415" s="33"/>
      <c r="W415" s="33"/>
      <c r="X415" s="33"/>
      <c r="Y415" s="33"/>
      <c r="Z415" s="33"/>
      <c r="AA415" s="33"/>
      <c r="AB415" s="31"/>
      <c r="AC415" s="32"/>
      <c r="AD415" s="33"/>
      <c r="AE415" s="33"/>
      <c r="AF415" s="33"/>
      <c r="AG415" s="33"/>
      <c r="AH415" s="33"/>
      <c r="AI415" s="33"/>
      <c r="AJ415" s="33"/>
      <c r="AK415" s="33"/>
      <c r="AL415" s="33"/>
      <c r="AM415" s="33"/>
      <c r="AN415" s="33"/>
      <c r="AO415" s="31"/>
      <c r="AP415" s="32"/>
      <c r="AQ415" s="33"/>
      <c r="AR415" s="33"/>
      <c r="AS415" s="33"/>
      <c r="AT415" s="33"/>
      <c r="AU415" s="33"/>
      <c r="AV415" s="33"/>
      <c r="AW415" s="33"/>
      <c r="AX415" s="33"/>
      <c r="AY415" s="33"/>
      <c r="AZ415" s="33"/>
      <c r="BA415" s="33"/>
      <c r="BB415" s="31"/>
      <c r="BC415" s="32"/>
      <c r="BD415" s="33"/>
      <c r="BE415" s="33"/>
      <c r="BF415" s="33"/>
      <c r="BG415" s="33"/>
      <c r="BH415" s="33"/>
      <c r="BI415" s="33"/>
      <c r="BJ415" s="33"/>
      <c r="BK415" s="33"/>
      <c r="BL415" s="33"/>
      <c r="BM415" s="33"/>
      <c r="BN415" s="33"/>
      <c r="BO415" s="31"/>
      <c r="BP415" s="32"/>
      <c r="BQ415" s="33"/>
      <c r="BR415" s="33"/>
      <c r="BS415" s="33"/>
      <c r="BT415" s="33"/>
      <c r="BU415" s="33"/>
      <c r="BV415" s="33"/>
      <c r="BW415" s="33"/>
      <c r="BX415" s="33"/>
      <c r="BY415" s="33"/>
      <c r="BZ415" s="33"/>
      <c r="CA415" s="33"/>
      <c r="CB415" s="31"/>
      <c r="CC415" s="32"/>
      <c r="CD415" s="33"/>
      <c r="CE415" s="33"/>
      <c r="CF415" s="33"/>
      <c r="CG415" s="33"/>
      <c r="CH415" s="33"/>
      <c r="CI415" s="33"/>
      <c r="CJ415" s="33"/>
      <c r="CK415" s="33"/>
      <c r="CL415" s="33"/>
      <c r="CM415" s="33"/>
      <c r="CN415" s="33"/>
      <c r="CO415" s="31"/>
      <c r="CP415" s="32"/>
      <c r="CQ415" s="33"/>
      <c r="CR415" s="33"/>
      <c r="CS415" s="33"/>
      <c r="CT415" s="33"/>
      <c r="CU415" s="33"/>
      <c r="CV415" s="33"/>
      <c r="CW415" s="33"/>
      <c r="CX415" s="33"/>
      <c r="CY415" s="33"/>
      <c r="CZ415" s="33"/>
      <c r="DA415" s="33"/>
      <c r="DB415" s="31"/>
      <c r="DC415" s="32"/>
      <c r="DD415" s="33"/>
      <c r="DE415" s="33"/>
      <c r="DF415" s="33"/>
      <c r="DG415" s="33"/>
      <c r="DH415" s="33"/>
      <c r="DI415" s="33"/>
      <c r="DJ415" s="33"/>
      <c r="DK415" s="33"/>
      <c r="DL415" s="33"/>
      <c r="DM415" s="33"/>
      <c r="DN415" s="33"/>
      <c r="DO415" s="31"/>
      <c r="DP415" s="32"/>
      <c r="DQ415" s="33"/>
      <c r="DR415" s="33"/>
      <c r="DS415" s="33"/>
      <c r="DT415" s="33"/>
      <c r="DU415" s="33"/>
      <c r="DV415" s="33"/>
      <c r="DW415" s="33"/>
      <c r="DX415" s="33"/>
      <c r="DY415" s="33"/>
      <c r="DZ415" s="33"/>
      <c r="EA415" s="33"/>
      <c r="EB415" s="31"/>
      <c r="EC415" s="32"/>
      <c r="ED415" s="33"/>
      <c r="EE415" s="33"/>
      <c r="EF415" s="33"/>
      <c r="EG415" s="33"/>
      <c r="EH415" s="33"/>
      <c r="EI415" s="33"/>
      <c r="EJ415" s="33"/>
      <c r="EK415" s="33"/>
      <c r="EL415" s="33"/>
      <c r="EM415" s="33"/>
      <c r="EN415" s="33"/>
      <c r="EO415" s="31"/>
      <c r="EP415" s="32"/>
      <c r="EQ415" s="33"/>
      <c r="ER415" s="33"/>
      <c r="ES415" s="33"/>
      <c r="ET415" s="33"/>
      <c r="EU415" s="33"/>
      <c r="EV415" s="33"/>
      <c r="EW415" s="33"/>
      <c r="EX415" s="33"/>
      <c r="EY415" s="33"/>
      <c r="EZ415" s="33"/>
      <c r="FA415" s="33"/>
      <c r="FB415" s="31"/>
      <c r="FC415" s="32"/>
      <c r="FD415" s="33"/>
      <c r="FE415" s="33"/>
      <c r="FF415" s="33"/>
      <c r="FG415" s="33"/>
      <c r="FH415" s="33"/>
      <c r="FI415" s="33"/>
      <c r="FJ415" s="33"/>
      <c r="FK415" s="33"/>
      <c r="FL415" s="33"/>
      <c r="FM415" s="33"/>
      <c r="FN415" s="33"/>
      <c r="FO415" s="34">
        <f t="shared" ref="FO415:FV415" si="408">IFERROR(R415*1,0)+IFERROR(AE415*1,0)+IFERROR(AR415*1,0)+IFERROR(BE415*1,0)+IFERROR(BR415*1,0)+IFERROR(CE415*1,0)+IFERROR(CR415*1,0)+IFERROR(DE415*1,0)+IFERROR(DR415*1,0)+IFERROR(EE415*1,0)+IFERROR(ER415*1,0)+IFERROR(FE415*1,0)</f>
        <v>0</v>
      </c>
      <c r="FP415" s="34">
        <f t="shared" si="408"/>
        <v>0</v>
      </c>
      <c r="FQ415" s="34">
        <f t="shared" si="408"/>
        <v>0</v>
      </c>
      <c r="FR415" s="34">
        <f t="shared" si="408"/>
        <v>0</v>
      </c>
      <c r="FS415" s="34">
        <f t="shared" si="408"/>
        <v>0</v>
      </c>
      <c r="FT415" s="34">
        <f t="shared" si="408"/>
        <v>0</v>
      </c>
      <c r="FU415" s="34">
        <f t="shared" si="408"/>
        <v>0</v>
      </c>
      <c r="FV415" s="34">
        <f t="shared" si="408"/>
        <v>0</v>
      </c>
      <c r="FW415" s="28"/>
      <c r="FX415" s="29">
        <f t="shared" si="3"/>
        <v>0</v>
      </c>
    </row>
    <row r="416" spans="1:180" ht="18" customHeight="1" x14ac:dyDescent="0.25">
      <c r="A416" s="3" t="str">
        <f>IF(C416&lt;&gt;"","DRG-"&amp;TEXT(411,"000"),"")</f>
        <v/>
      </c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38">
        <v>4</v>
      </c>
      <c r="M416" s="23" t="str">
        <f t="shared" si="0"/>
        <v>✘ Pending</v>
      </c>
      <c r="N416" s="23">
        <f t="shared" si="1"/>
        <v>0</v>
      </c>
      <c r="O416" s="25"/>
      <c r="P416" s="26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  <c r="AB416" s="25"/>
      <c r="AC416" s="26"/>
      <c r="AD416" s="24"/>
      <c r="AE416" s="24"/>
      <c r="AF416" s="24"/>
      <c r="AG416" s="24"/>
      <c r="AH416" s="24"/>
      <c r="AI416" s="24"/>
      <c r="AJ416" s="24"/>
      <c r="AK416" s="24"/>
      <c r="AL416" s="24"/>
      <c r="AM416" s="24"/>
      <c r="AN416" s="24"/>
      <c r="AO416" s="25"/>
      <c r="AP416" s="26"/>
      <c r="AQ416" s="24"/>
      <c r="AR416" s="24"/>
      <c r="AS416" s="24"/>
      <c r="AT416" s="24"/>
      <c r="AU416" s="24"/>
      <c r="AV416" s="24"/>
      <c r="AW416" s="24"/>
      <c r="AX416" s="24"/>
      <c r="AY416" s="24"/>
      <c r="AZ416" s="24"/>
      <c r="BA416" s="24"/>
      <c r="BB416" s="25"/>
      <c r="BC416" s="26"/>
      <c r="BD416" s="24"/>
      <c r="BE416" s="24"/>
      <c r="BF416" s="24"/>
      <c r="BG416" s="24"/>
      <c r="BH416" s="24"/>
      <c r="BI416" s="24"/>
      <c r="BJ416" s="24"/>
      <c r="BK416" s="24"/>
      <c r="BL416" s="24"/>
      <c r="BM416" s="24"/>
      <c r="BN416" s="24"/>
      <c r="BO416" s="25"/>
      <c r="BP416" s="26"/>
      <c r="BQ416" s="24"/>
      <c r="BR416" s="24"/>
      <c r="BS416" s="24"/>
      <c r="BT416" s="24"/>
      <c r="BU416" s="24"/>
      <c r="BV416" s="24"/>
      <c r="BW416" s="24"/>
      <c r="BX416" s="24"/>
      <c r="BY416" s="24"/>
      <c r="BZ416" s="24"/>
      <c r="CA416" s="24"/>
      <c r="CB416" s="25"/>
      <c r="CC416" s="26"/>
      <c r="CD416" s="24"/>
      <c r="CE416" s="24"/>
      <c r="CF416" s="24"/>
      <c r="CG416" s="24"/>
      <c r="CH416" s="24"/>
      <c r="CI416" s="24"/>
      <c r="CJ416" s="24"/>
      <c r="CK416" s="24"/>
      <c r="CL416" s="24"/>
      <c r="CM416" s="24"/>
      <c r="CN416" s="24"/>
      <c r="CO416" s="25"/>
      <c r="CP416" s="26"/>
      <c r="CQ416" s="24"/>
      <c r="CR416" s="24"/>
      <c r="CS416" s="24"/>
      <c r="CT416" s="24"/>
      <c r="CU416" s="24"/>
      <c r="CV416" s="24"/>
      <c r="CW416" s="24"/>
      <c r="CX416" s="24"/>
      <c r="CY416" s="24"/>
      <c r="CZ416" s="24"/>
      <c r="DA416" s="24"/>
      <c r="DB416" s="25"/>
      <c r="DC416" s="26"/>
      <c r="DD416" s="24"/>
      <c r="DE416" s="24"/>
      <c r="DF416" s="24"/>
      <c r="DG416" s="24"/>
      <c r="DH416" s="24"/>
      <c r="DI416" s="24"/>
      <c r="DJ416" s="24"/>
      <c r="DK416" s="24"/>
      <c r="DL416" s="24"/>
      <c r="DM416" s="24"/>
      <c r="DN416" s="24"/>
      <c r="DO416" s="25"/>
      <c r="DP416" s="26"/>
      <c r="DQ416" s="24"/>
      <c r="DR416" s="24"/>
      <c r="DS416" s="24"/>
      <c r="DT416" s="24"/>
      <c r="DU416" s="24"/>
      <c r="DV416" s="24"/>
      <c r="DW416" s="24"/>
      <c r="DX416" s="24"/>
      <c r="DY416" s="24"/>
      <c r="DZ416" s="24"/>
      <c r="EA416" s="24"/>
      <c r="EB416" s="25"/>
      <c r="EC416" s="26"/>
      <c r="ED416" s="24"/>
      <c r="EE416" s="24"/>
      <c r="EF416" s="24"/>
      <c r="EG416" s="24"/>
      <c r="EH416" s="24"/>
      <c r="EI416" s="24"/>
      <c r="EJ416" s="24"/>
      <c r="EK416" s="24"/>
      <c r="EL416" s="24"/>
      <c r="EM416" s="24"/>
      <c r="EN416" s="24"/>
      <c r="EO416" s="25"/>
      <c r="EP416" s="26"/>
      <c r="EQ416" s="24"/>
      <c r="ER416" s="24"/>
      <c r="ES416" s="24"/>
      <c r="ET416" s="24"/>
      <c r="EU416" s="24"/>
      <c r="EV416" s="24"/>
      <c r="EW416" s="24"/>
      <c r="EX416" s="24"/>
      <c r="EY416" s="24"/>
      <c r="EZ416" s="24"/>
      <c r="FA416" s="24"/>
      <c r="FB416" s="25"/>
      <c r="FC416" s="26"/>
      <c r="FD416" s="24"/>
      <c r="FE416" s="24"/>
      <c r="FF416" s="24"/>
      <c r="FG416" s="24"/>
      <c r="FH416" s="24"/>
      <c r="FI416" s="24"/>
      <c r="FJ416" s="24"/>
      <c r="FK416" s="24"/>
      <c r="FL416" s="24"/>
      <c r="FM416" s="24"/>
      <c r="FN416" s="24"/>
      <c r="FO416" s="27">
        <f t="shared" ref="FO416:FV416" si="409">IFERROR(R416*1,0)+IFERROR(AE416*1,0)+IFERROR(AR416*1,0)+IFERROR(BE416*1,0)+IFERROR(BR416*1,0)+IFERROR(CE416*1,0)+IFERROR(CR416*1,0)+IFERROR(DE416*1,0)+IFERROR(DR416*1,0)+IFERROR(EE416*1,0)+IFERROR(ER416*1,0)+IFERROR(FE416*1,0)</f>
        <v>0</v>
      </c>
      <c r="FP416" s="27">
        <f t="shared" si="409"/>
        <v>0</v>
      </c>
      <c r="FQ416" s="27">
        <f t="shared" si="409"/>
        <v>0</v>
      </c>
      <c r="FR416" s="27">
        <f t="shared" si="409"/>
        <v>0</v>
      </c>
      <c r="FS416" s="27">
        <f t="shared" si="409"/>
        <v>0</v>
      </c>
      <c r="FT416" s="27">
        <f t="shared" si="409"/>
        <v>0</v>
      </c>
      <c r="FU416" s="27">
        <f t="shared" si="409"/>
        <v>0</v>
      </c>
      <c r="FV416" s="27">
        <f t="shared" si="409"/>
        <v>0</v>
      </c>
      <c r="FW416" s="28"/>
      <c r="FX416" s="29">
        <f t="shared" si="3"/>
        <v>0</v>
      </c>
    </row>
    <row r="417" spans="1:180" ht="18" customHeight="1" x14ac:dyDescent="0.25">
      <c r="A417" s="3" t="str">
        <f>IF(C417&lt;&gt;"","DRG-"&amp;TEXT(412,"000"),"")</f>
        <v/>
      </c>
      <c r="B417" s="33"/>
      <c r="C417" s="33"/>
      <c r="D417" s="33"/>
      <c r="E417" s="33"/>
      <c r="F417" s="33"/>
      <c r="G417" s="33"/>
      <c r="H417" s="33"/>
      <c r="I417" s="33"/>
      <c r="J417" s="33"/>
      <c r="K417" s="33"/>
      <c r="L417" s="37">
        <v>4</v>
      </c>
      <c r="M417" s="30" t="str">
        <f t="shared" si="0"/>
        <v>✘ Pending</v>
      </c>
      <c r="N417" s="30">
        <f t="shared" si="1"/>
        <v>0</v>
      </c>
      <c r="O417" s="31"/>
      <c r="P417" s="32"/>
      <c r="Q417" s="33"/>
      <c r="R417" s="33"/>
      <c r="S417" s="33"/>
      <c r="T417" s="33"/>
      <c r="U417" s="33"/>
      <c r="V417" s="33"/>
      <c r="W417" s="33"/>
      <c r="X417" s="33"/>
      <c r="Y417" s="33"/>
      <c r="Z417" s="33"/>
      <c r="AA417" s="33"/>
      <c r="AB417" s="31"/>
      <c r="AC417" s="32"/>
      <c r="AD417" s="33"/>
      <c r="AE417" s="33"/>
      <c r="AF417" s="33"/>
      <c r="AG417" s="33"/>
      <c r="AH417" s="33"/>
      <c r="AI417" s="33"/>
      <c r="AJ417" s="33"/>
      <c r="AK417" s="33"/>
      <c r="AL417" s="33"/>
      <c r="AM417" s="33"/>
      <c r="AN417" s="33"/>
      <c r="AO417" s="31"/>
      <c r="AP417" s="32"/>
      <c r="AQ417" s="33"/>
      <c r="AR417" s="33"/>
      <c r="AS417" s="33"/>
      <c r="AT417" s="33"/>
      <c r="AU417" s="33"/>
      <c r="AV417" s="33"/>
      <c r="AW417" s="33"/>
      <c r="AX417" s="33"/>
      <c r="AY417" s="33"/>
      <c r="AZ417" s="33"/>
      <c r="BA417" s="33"/>
      <c r="BB417" s="31"/>
      <c r="BC417" s="32"/>
      <c r="BD417" s="33"/>
      <c r="BE417" s="33"/>
      <c r="BF417" s="33"/>
      <c r="BG417" s="33"/>
      <c r="BH417" s="33"/>
      <c r="BI417" s="33"/>
      <c r="BJ417" s="33"/>
      <c r="BK417" s="33"/>
      <c r="BL417" s="33"/>
      <c r="BM417" s="33"/>
      <c r="BN417" s="33"/>
      <c r="BO417" s="31"/>
      <c r="BP417" s="32"/>
      <c r="BQ417" s="33"/>
      <c r="BR417" s="33"/>
      <c r="BS417" s="33"/>
      <c r="BT417" s="33"/>
      <c r="BU417" s="33"/>
      <c r="BV417" s="33"/>
      <c r="BW417" s="33"/>
      <c r="BX417" s="33"/>
      <c r="BY417" s="33"/>
      <c r="BZ417" s="33"/>
      <c r="CA417" s="33"/>
      <c r="CB417" s="31"/>
      <c r="CC417" s="32"/>
      <c r="CD417" s="33"/>
      <c r="CE417" s="33"/>
      <c r="CF417" s="33"/>
      <c r="CG417" s="33"/>
      <c r="CH417" s="33"/>
      <c r="CI417" s="33"/>
      <c r="CJ417" s="33"/>
      <c r="CK417" s="33"/>
      <c r="CL417" s="33"/>
      <c r="CM417" s="33"/>
      <c r="CN417" s="33"/>
      <c r="CO417" s="31"/>
      <c r="CP417" s="32"/>
      <c r="CQ417" s="33"/>
      <c r="CR417" s="33"/>
      <c r="CS417" s="33"/>
      <c r="CT417" s="33"/>
      <c r="CU417" s="33"/>
      <c r="CV417" s="33"/>
      <c r="CW417" s="33"/>
      <c r="CX417" s="33"/>
      <c r="CY417" s="33"/>
      <c r="CZ417" s="33"/>
      <c r="DA417" s="33"/>
      <c r="DB417" s="31"/>
      <c r="DC417" s="32"/>
      <c r="DD417" s="33"/>
      <c r="DE417" s="33"/>
      <c r="DF417" s="33"/>
      <c r="DG417" s="33"/>
      <c r="DH417" s="33"/>
      <c r="DI417" s="33"/>
      <c r="DJ417" s="33"/>
      <c r="DK417" s="33"/>
      <c r="DL417" s="33"/>
      <c r="DM417" s="33"/>
      <c r="DN417" s="33"/>
      <c r="DO417" s="31"/>
      <c r="DP417" s="32"/>
      <c r="DQ417" s="33"/>
      <c r="DR417" s="33"/>
      <c r="DS417" s="33"/>
      <c r="DT417" s="33"/>
      <c r="DU417" s="33"/>
      <c r="DV417" s="33"/>
      <c r="DW417" s="33"/>
      <c r="DX417" s="33"/>
      <c r="DY417" s="33"/>
      <c r="DZ417" s="33"/>
      <c r="EA417" s="33"/>
      <c r="EB417" s="31"/>
      <c r="EC417" s="32"/>
      <c r="ED417" s="33"/>
      <c r="EE417" s="33"/>
      <c r="EF417" s="33"/>
      <c r="EG417" s="33"/>
      <c r="EH417" s="33"/>
      <c r="EI417" s="33"/>
      <c r="EJ417" s="33"/>
      <c r="EK417" s="33"/>
      <c r="EL417" s="33"/>
      <c r="EM417" s="33"/>
      <c r="EN417" s="33"/>
      <c r="EO417" s="31"/>
      <c r="EP417" s="32"/>
      <c r="EQ417" s="33"/>
      <c r="ER417" s="33"/>
      <c r="ES417" s="33"/>
      <c r="ET417" s="33"/>
      <c r="EU417" s="33"/>
      <c r="EV417" s="33"/>
      <c r="EW417" s="33"/>
      <c r="EX417" s="33"/>
      <c r="EY417" s="33"/>
      <c r="EZ417" s="33"/>
      <c r="FA417" s="33"/>
      <c r="FB417" s="31"/>
      <c r="FC417" s="32"/>
      <c r="FD417" s="33"/>
      <c r="FE417" s="33"/>
      <c r="FF417" s="33"/>
      <c r="FG417" s="33"/>
      <c r="FH417" s="33"/>
      <c r="FI417" s="33"/>
      <c r="FJ417" s="33"/>
      <c r="FK417" s="33"/>
      <c r="FL417" s="33"/>
      <c r="FM417" s="33"/>
      <c r="FN417" s="33"/>
      <c r="FO417" s="34">
        <f t="shared" ref="FO417:FV417" si="410">IFERROR(R417*1,0)+IFERROR(AE417*1,0)+IFERROR(AR417*1,0)+IFERROR(BE417*1,0)+IFERROR(BR417*1,0)+IFERROR(CE417*1,0)+IFERROR(CR417*1,0)+IFERROR(DE417*1,0)+IFERROR(DR417*1,0)+IFERROR(EE417*1,0)+IFERROR(ER417*1,0)+IFERROR(FE417*1,0)</f>
        <v>0</v>
      </c>
      <c r="FP417" s="34">
        <f t="shared" si="410"/>
        <v>0</v>
      </c>
      <c r="FQ417" s="34">
        <f t="shared" si="410"/>
        <v>0</v>
      </c>
      <c r="FR417" s="34">
        <f t="shared" si="410"/>
        <v>0</v>
      </c>
      <c r="FS417" s="34">
        <f t="shared" si="410"/>
        <v>0</v>
      </c>
      <c r="FT417" s="34">
        <f t="shared" si="410"/>
        <v>0</v>
      </c>
      <c r="FU417" s="34">
        <f t="shared" si="410"/>
        <v>0</v>
      </c>
      <c r="FV417" s="34">
        <f t="shared" si="410"/>
        <v>0</v>
      </c>
      <c r="FW417" s="28"/>
      <c r="FX417" s="29">
        <f t="shared" si="3"/>
        <v>0</v>
      </c>
    </row>
    <row r="418" spans="1:180" ht="18" customHeight="1" x14ac:dyDescent="0.25">
      <c r="A418" s="3" t="str">
        <f>IF(C418&lt;&gt;"","DRG-"&amp;TEXT(413,"000"),"")</f>
        <v/>
      </c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38">
        <v>4</v>
      </c>
      <c r="M418" s="23" t="str">
        <f t="shared" si="0"/>
        <v>✘ Pending</v>
      </c>
      <c r="N418" s="23">
        <f t="shared" si="1"/>
        <v>0</v>
      </c>
      <c r="O418" s="25"/>
      <c r="P418" s="26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  <c r="AB418" s="25"/>
      <c r="AC418" s="26"/>
      <c r="AD418" s="24"/>
      <c r="AE418" s="24"/>
      <c r="AF418" s="24"/>
      <c r="AG418" s="24"/>
      <c r="AH418" s="24"/>
      <c r="AI418" s="24"/>
      <c r="AJ418" s="24"/>
      <c r="AK418" s="24"/>
      <c r="AL418" s="24"/>
      <c r="AM418" s="24"/>
      <c r="AN418" s="24"/>
      <c r="AO418" s="25"/>
      <c r="AP418" s="26"/>
      <c r="AQ418" s="24"/>
      <c r="AR418" s="24"/>
      <c r="AS418" s="24"/>
      <c r="AT418" s="24"/>
      <c r="AU418" s="24"/>
      <c r="AV418" s="24"/>
      <c r="AW418" s="24"/>
      <c r="AX418" s="24"/>
      <c r="AY418" s="24"/>
      <c r="AZ418" s="24"/>
      <c r="BA418" s="24"/>
      <c r="BB418" s="25"/>
      <c r="BC418" s="26"/>
      <c r="BD418" s="24"/>
      <c r="BE418" s="24"/>
      <c r="BF418" s="24"/>
      <c r="BG418" s="24"/>
      <c r="BH418" s="24"/>
      <c r="BI418" s="24"/>
      <c r="BJ418" s="24"/>
      <c r="BK418" s="24"/>
      <c r="BL418" s="24"/>
      <c r="BM418" s="24"/>
      <c r="BN418" s="24"/>
      <c r="BO418" s="25"/>
      <c r="BP418" s="26"/>
      <c r="BQ418" s="24"/>
      <c r="BR418" s="24"/>
      <c r="BS418" s="24"/>
      <c r="BT418" s="24"/>
      <c r="BU418" s="24"/>
      <c r="BV418" s="24"/>
      <c r="BW418" s="24"/>
      <c r="BX418" s="24"/>
      <c r="BY418" s="24"/>
      <c r="BZ418" s="24"/>
      <c r="CA418" s="24"/>
      <c r="CB418" s="25"/>
      <c r="CC418" s="26"/>
      <c r="CD418" s="24"/>
      <c r="CE418" s="24"/>
      <c r="CF418" s="24"/>
      <c r="CG418" s="24"/>
      <c r="CH418" s="24"/>
      <c r="CI418" s="24"/>
      <c r="CJ418" s="24"/>
      <c r="CK418" s="24"/>
      <c r="CL418" s="24"/>
      <c r="CM418" s="24"/>
      <c r="CN418" s="24"/>
      <c r="CO418" s="25"/>
      <c r="CP418" s="26"/>
      <c r="CQ418" s="24"/>
      <c r="CR418" s="24"/>
      <c r="CS418" s="24"/>
      <c r="CT418" s="24"/>
      <c r="CU418" s="24"/>
      <c r="CV418" s="24"/>
      <c r="CW418" s="24"/>
      <c r="CX418" s="24"/>
      <c r="CY418" s="24"/>
      <c r="CZ418" s="24"/>
      <c r="DA418" s="24"/>
      <c r="DB418" s="25"/>
      <c r="DC418" s="26"/>
      <c r="DD418" s="24"/>
      <c r="DE418" s="24"/>
      <c r="DF418" s="24"/>
      <c r="DG418" s="24"/>
      <c r="DH418" s="24"/>
      <c r="DI418" s="24"/>
      <c r="DJ418" s="24"/>
      <c r="DK418" s="24"/>
      <c r="DL418" s="24"/>
      <c r="DM418" s="24"/>
      <c r="DN418" s="24"/>
      <c r="DO418" s="25"/>
      <c r="DP418" s="26"/>
      <c r="DQ418" s="24"/>
      <c r="DR418" s="24"/>
      <c r="DS418" s="24"/>
      <c r="DT418" s="24"/>
      <c r="DU418" s="24"/>
      <c r="DV418" s="24"/>
      <c r="DW418" s="24"/>
      <c r="DX418" s="24"/>
      <c r="DY418" s="24"/>
      <c r="DZ418" s="24"/>
      <c r="EA418" s="24"/>
      <c r="EB418" s="25"/>
      <c r="EC418" s="26"/>
      <c r="ED418" s="24"/>
      <c r="EE418" s="24"/>
      <c r="EF418" s="24"/>
      <c r="EG418" s="24"/>
      <c r="EH418" s="24"/>
      <c r="EI418" s="24"/>
      <c r="EJ418" s="24"/>
      <c r="EK418" s="24"/>
      <c r="EL418" s="24"/>
      <c r="EM418" s="24"/>
      <c r="EN418" s="24"/>
      <c r="EO418" s="25"/>
      <c r="EP418" s="26"/>
      <c r="EQ418" s="24"/>
      <c r="ER418" s="24"/>
      <c r="ES418" s="24"/>
      <c r="ET418" s="24"/>
      <c r="EU418" s="24"/>
      <c r="EV418" s="24"/>
      <c r="EW418" s="24"/>
      <c r="EX418" s="24"/>
      <c r="EY418" s="24"/>
      <c r="EZ418" s="24"/>
      <c r="FA418" s="24"/>
      <c r="FB418" s="25"/>
      <c r="FC418" s="26"/>
      <c r="FD418" s="24"/>
      <c r="FE418" s="24"/>
      <c r="FF418" s="24"/>
      <c r="FG418" s="24"/>
      <c r="FH418" s="24"/>
      <c r="FI418" s="24"/>
      <c r="FJ418" s="24"/>
      <c r="FK418" s="24"/>
      <c r="FL418" s="24"/>
      <c r="FM418" s="24"/>
      <c r="FN418" s="24"/>
      <c r="FO418" s="27">
        <f t="shared" ref="FO418:FV418" si="411">IFERROR(R418*1,0)+IFERROR(AE418*1,0)+IFERROR(AR418*1,0)+IFERROR(BE418*1,0)+IFERROR(BR418*1,0)+IFERROR(CE418*1,0)+IFERROR(CR418*1,0)+IFERROR(DE418*1,0)+IFERROR(DR418*1,0)+IFERROR(EE418*1,0)+IFERROR(ER418*1,0)+IFERROR(FE418*1,0)</f>
        <v>0</v>
      </c>
      <c r="FP418" s="27">
        <f t="shared" si="411"/>
        <v>0</v>
      </c>
      <c r="FQ418" s="27">
        <f t="shared" si="411"/>
        <v>0</v>
      </c>
      <c r="FR418" s="27">
        <f t="shared" si="411"/>
        <v>0</v>
      </c>
      <c r="FS418" s="27">
        <f t="shared" si="411"/>
        <v>0</v>
      </c>
      <c r="FT418" s="27">
        <f t="shared" si="411"/>
        <v>0</v>
      </c>
      <c r="FU418" s="27">
        <f t="shared" si="411"/>
        <v>0</v>
      </c>
      <c r="FV418" s="27">
        <f t="shared" si="411"/>
        <v>0</v>
      </c>
      <c r="FW418" s="28"/>
      <c r="FX418" s="29">
        <f t="shared" si="3"/>
        <v>0</v>
      </c>
    </row>
    <row r="419" spans="1:180" ht="18" customHeight="1" x14ac:dyDescent="0.25">
      <c r="A419" s="3" t="str">
        <f>IF(C419&lt;&gt;"","DRG-"&amp;TEXT(414,"000"),"")</f>
        <v/>
      </c>
      <c r="B419" s="33"/>
      <c r="C419" s="33"/>
      <c r="D419" s="33"/>
      <c r="E419" s="33"/>
      <c r="F419" s="33"/>
      <c r="G419" s="33"/>
      <c r="H419" s="33"/>
      <c r="I419" s="33"/>
      <c r="J419" s="33"/>
      <c r="K419" s="33"/>
      <c r="L419" s="37">
        <v>4</v>
      </c>
      <c r="M419" s="30" t="str">
        <f t="shared" si="0"/>
        <v>✘ Pending</v>
      </c>
      <c r="N419" s="30">
        <f t="shared" si="1"/>
        <v>0</v>
      </c>
      <c r="O419" s="31"/>
      <c r="P419" s="32"/>
      <c r="Q419" s="33"/>
      <c r="R419" s="33"/>
      <c r="S419" s="33"/>
      <c r="T419" s="33"/>
      <c r="U419" s="33"/>
      <c r="V419" s="33"/>
      <c r="W419" s="33"/>
      <c r="X419" s="33"/>
      <c r="Y419" s="33"/>
      <c r="Z419" s="33"/>
      <c r="AA419" s="33"/>
      <c r="AB419" s="31"/>
      <c r="AC419" s="32"/>
      <c r="AD419" s="33"/>
      <c r="AE419" s="33"/>
      <c r="AF419" s="33"/>
      <c r="AG419" s="33"/>
      <c r="AH419" s="33"/>
      <c r="AI419" s="33"/>
      <c r="AJ419" s="33"/>
      <c r="AK419" s="33"/>
      <c r="AL419" s="33"/>
      <c r="AM419" s="33"/>
      <c r="AN419" s="33"/>
      <c r="AO419" s="31"/>
      <c r="AP419" s="32"/>
      <c r="AQ419" s="33"/>
      <c r="AR419" s="33"/>
      <c r="AS419" s="33"/>
      <c r="AT419" s="33"/>
      <c r="AU419" s="33"/>
      <c r="AV419" s="33"/>
      <c r="AW419" s="33"/>
      <c r="AX419" s="33"/>
      <c r="AY419" s="33"/>
      <c r="AZ419" s="33"/>
      <c r="BA419" s="33"/>
      <c r="BB419" s="31"/>
      <c r="BC419" s="32"/>
      <c r="BD419" s="33"/>
      <c r="BE419" s="33"/>
      <c r="BF419" s="33"/>
      <c r="BG419" s="33"/>
      <c r="BH419" s="33"/>
      <c r="BI419" s="33"/>
      <c r="BJ419" s="33"/>
      <c r="BK419" s="33"/>
      <c r="BL419" s="33"/>
      <c r="BM419" s="33"/>
      <c r="BN419" s="33"/>
      <c r="BO419" s="31"/>
      <c r="BP419" s="32"/>
      <c r="BQ419" s="33"/>
      <c r="BR419" s="33"/>
      <c r="BS419" s="33"/>
      <c r="BT419" s="33"/>
      <c r="BU419" s="33"/>
      <c r="BV419" s="33"/>
      <c r="BW419" s="33"/>
      <c r="BX419" s="33"/>
      <c r="BY419" s="33"/>
      <c r="BZ419" s="33"/>
      <c r="CA419" s="33"/>
      <c r="CB419" s="31"/>
      <c r="CC419" s="32"/>
      <c r="CD419" s="33"/>
      <c r="CE419" s="33"/>
      <c r="CF419" s="33"/>
      <c r="CG419" s="33"/>
      <c r="CH419" s="33"/>
      <c r="CI419" s="33"/>
      <c r="CJ419" s="33"/>
      <c r="CK419" s="33"/>
      <c r="CL419" s="33"/>
      <c r="CM419" s="33"/>
      <c r="CN419" s="33"/>
      <c r="CO419" s="31"/>
      <c r="CP419" s="32"/>
      <c r="CQ419" s="33"/>
      <c r="CR419" s="33"/>
      <c r="CS419" s="33"/>
      <c r="CT419" s="33"/>
      <c r="CU419" s="33"/>
      <c r="CV419" s="33"/>
      <c r="CW419" s="33"/>
      <c r="CX419" s="33"/>
      <c r="CY419" s="33"/>
      <c r="CZ419" s="33"/>
      <c r="DA419" s="33"/>
      <c r="DB419" s="31"/>
      <c r="DC419" s="32"/>
      <c r="DD419" s="33"/>
      <c r="DE419" s="33"/>
      <c r="DF419" s="33"/>
      <c r="DG419" s="33"/>
      <c r="DH419" s="33"/>
      <c r="DI419" s="33"/>
      <c r="DJ419" s="33"/>
      <c r="DK419" s="33"/>
      <c r="DL419" s="33"/>
      <c r="DM419" s="33"/>
      <c r="DN419" s="33"/>
      <c r="DO419" s="31"/>
      <c r="DP419" s="32"/>
      <c r="DQ419" s="33"/>
      <c r="DR419" s="33"/>
      <c r="DS419" s="33"/>
      <c r="DT419" s="33"/>
      <c r="DU419" s="33"/>
      <c r="DV419" s="33"/>
      <c r="DW419" s="33"/>
      <c r="DX419" s="33"/>
      <c r="DY419" s="33"/>
      <c r="DZ419" s="33"/>
      <c r="EA419" s="33"/>
      <c r="EB419" s="31"/>
      <c r="EC419" s="32"/>
      <c r="ED419" s="33"/>
      <c r="EE419" s="33"/>
      <c r="EF419" s="33"/>
      <c r="EG419" s="33"/>
      <c r="EH419" s="33"/>
      <c r="EI419" s="33"/>
      <c r="EJ419" s="33"/>
      <c r="EK419" s="33"/>
      <c r="EL419" s="33"/>
      <c r="EM419" s="33"/>
      <c r="EN419" s="33"/>
      <c r="EO419" s="31"/>
      <c r="EP419" s="32"/>
      <c r="EQ419" s="33"/>
      <c r="ER419" s="33"/>
      <c r="ES419" s="33"/>
      <c r="ET419" s="33"/>
      <c r="EU419" s="33"/>
      <c r="EV419" s="33"/>
      <c r="EW419" s="33"/>
      <c r="EX419" s="33"/>
      <c r="EY419" s="33"/>
      <c r="EZ419" s="33"/>
      <c r="FA419" s="33"/>
      <c r="FB419" s="31"/>
      <c r="FC419" s="32"/>
      <c r="FD419" s="33"/>
      <c r="FE419" s="33"/>
      <c r="FF419" s="33"/>
      <c r="FG419" s="33"/>
      <c r="FH419" s="33"/>
      <c r="FI419" s="33"/>
      <c r="FJ419" s="33"/>
      <c r="FK419" s="33"/>
      <c r="FL419" s="33"/>
      <c r="FM419" s="33"/>
      <c r="FN419" s="33"/>
      <c r="FO419" s="34">
        <f t="shared" ref="FO419:FV419" si="412">IFERROR(R419*1,0)+IFERROR(AE419*1,0)+IFERROR(AR419*1,0)+IFERROR(BE419*1,0)+IFERROR(BR419*1,0)+IFERROR(CE419*1,0)+IFERROR(CR419*1,0)+IFERROR(DE419*1,0)+IFERROR(DR419*1,0)+IFERROR(EE419*1,0)+IFERROR(ER419*1,0)+IFERROR(FE419*1,0)</f>
        <v>0</v>
      </c>
      <c r="FP419" s="34">
        <f t="shared" si="412"/>
        <v>0</v>
      </c>
      <c r="FQ419" s="34">
        <f t="shared" si="412"/>
        <v>0</v>
      </c>
      <c r="FR419" s="34">
        <f t="shared" si="412"/>
        <v>0</v>
      </c>
      <c r="FS419" s="34">
        <f t="shared" si="412"/>
        <v>0</v>
      </c>
      <c r="FT419" s="34">
        <f t="shared" si="412"/>
        <v>0</v>
      </c>
      <c r="FU419" s="34">
        <f t="shared" si="412"/>
        <v>0</v>
      </c>
      <c r="FV419" s="34">
        <f t="shared" si="412"/>
        <v>0</v>
      </c>
      <c r="FW419" s="28"/>
      <c r="FX419" s="29">
        <f t="shared" si="3"/>
        <v>0</v>
      </c>
    </row>
    <row r="420" spans="1:180" ht="18" customHeight="1" x14ac:dyDescent="0.25">
      <c r="A420" s="3" t="str">
        <f>IF(C420&lt;&gt;"","DRG-"&amp;TEXT(415,"000"),"")</f>
        <v/>
      </c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38">
        <v>4</v>
      </c>
      <c r="M420" s="23" t="str">
        <f t="shared" si="0"/>
        <v>✘ Pending</v>
      </c>
      <c r="N420" s="23">
        <f t="shared" si="1"/>
        <v>0</v>
      </c>
      <c r="O420" s="25"/>
      <c r="P420" s="26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  <c r="AB420" s="25"/>
      <c r="AC420" s="26"/>
      <c r="AD420" s="24"/>
      <c r="AE420" s="24"/>
      <c r="AF420" s="24"/>
      <c r="AG420" s="24"/>
      <c r="AH420" s="24"/>
      <c r="AI420" s="24"/>
      <c r="AJ420" s="24"/>
      <c r="AK420" s="24"/>
      <c r="AL420" s="24"/>
      <c r="AM420" s="24"/>
      <c r="AN420" s="24"/>
      <c r="AO420" s="25"/>
      <c r="AP420" s="26"/>
      <c r="AQ420" s="24"/>
      <c r="AR420" s="24"/>
      <c r="AS420" s="24"/>
      <c r="AT420" s="24"/>
      <c r="AU420" s="24"/>
      <c r="AV420" s="24"/>
      <c r="AW420" s="24"/>
      <c r="AX420" s="24"/>
      <c r="AY420" s="24"/>
      <c r="AZ420" s="24"/>
      <c r="BA420" s="24"/>
      <c r="BB420" s="25"/>
      <c r="BC420" s="26"/>
      <c r="BD420" s="24"/>
      <c r="BE420" s="24"/>
      <c r="BF420" s="24"/>
      <c r="BG420" s="24"/>
      <c r="BH420" s="24"/>
      <c r="BI420" s="24"/>
      <c r="BJ420" s="24"/>
      <c r="BK420" s="24"/>
      <c r="BL420" s="24"/>
      <c r="BM420" s="24"/>
      <c r="BN420" s="24"/>
      <c r="BO420" s="25"/>
      <c r="BP420" s="26"/>
      <c r="BQ420" s="24"/>
      <c r="BR420" s="24"/>
      <c r="BS420" s="24"/>
      <c r="BT420" s="24"/>
      <c r="BU420" s="24"/>
      <c r="BV420" s="24"/>
      <c r="BW420" s="24"/>
      <c r="BX420" s="24"/>
      <c r="BY420" s="24"/>
      <c r="BZ420" s="24"/>
      <c r="CA420" s="24"/>
      <c r="CB420" s="25"/>
      <c r="CC420" s="26"/>
      <c r="CD420" s="24"/>
      <c r="CE420" s="24"/>
      <c r="CF420" s="24"/>
      <c r="CG420" s="24"/>
      <c r="CH420" s="24"/>
      <c r="CI420" s="24"/>
      <c r="CJ420" s="24"/>
      <c r="CK420" s="24"/>
      <c r="CL420" s="24"/>
      <c r="CM420" s="24"/>
      <c r="CN420" s="24"/>
      <c r="CO420" s="25"/>
      <c r="CP420" s="26"/>
      <c r="CQ420" s="24"/>
      <c r="CR420" s="24"/>
      <c r="CS420" s="24"/>
      <c r="CT420" s="24"/>
      <c r="CU420" s="24"/>
      <c r="CV420" s="24"/>
      <c r="CW420" s="24"/>
      <c r="CX420" s="24"/>
      <c r="CY420" s="24"/>
      <c r="CZ420" s="24"/>
      <c r="DA420" s="24"/>
      <c r="DB420" s="25"/>
      <c r="DC420" s="26"/>
      <c r="DD420" s="24"/>
      <c r="DE420" s="24"/>
      <c r="DF420" s="24"/>
      <c r="DG420" s="24"/>
      <c r="DH420" s="24"/>
      <c r="DI420" s="24"/>
      <c r="DJ420" s="24"/>
      <c r="DK420" s="24"/>
      <c r="DL420" s="24"/>
      <c r="DM420" s="24"/>
      <c r="DN420" s="24"/>
      <c r="DO420" s="25"/>
      <c r="DP420" s="26"/>
      <c r="DQ420" s="24"/>
      <c r="DR420" s="24"/>
      <c r="DS420" s="24"/>
      <c r="DT420" s="24"/>
      <c r="DU420" s="24"/>
      <c r="DV420" s="24"/>
      <c r="DW420" s="24"/>
      <c r="DX420" s="24"/>
      <c r="DY420" s="24"/>
      <c r="DZ420" s="24"/>
      <c r="EA420" s="24"/>
      <c r="EB420" s="25"/>
      <c r="EC420" s="26"/>
      <c r="ED420" s="24"/>
      <c r="EE420" s="24"/>
      <c r="EF420" s="24"/>
      <c r="EG420" s="24"/>
      <c r="EH420" s="24"/>
      <c r="EI420" s="24"/>
      <c r="EJ420" s="24"/>
      <c r="EK420" s="24"/>
      <c r="EL420" s="24"/>
      <c r="EM420" s="24"/>
      <c r="EN420" s="24"/>
      <c r="EO420" s="25"/>
      <c r="EP420" s="26"/>
      <c r="EQ420" s="24"/>
      <c r="ER420" s="24"/>
      <c r="ES420" s="24"/>
      <c r="ET420" s="24"/>
      <c r="EU420" s="24"/>
      <c r="EV420" s="24"/>
      <c r="EW420" s="24"/>
      <c r="EX420" s="24"/>
      <c r="EY420" s="24"/>
      <c r="EZ420" s="24"/>
      <c r="FA420" s="24"/>
      <c r="FB420" s="25"/>
      <c r="FC420" s="26"/>
      <c r="FD420" s="24"/>
      <c r="FE420" s="24"/>
      <c r="FF420" s="24"/>
      <c r="FG420" s="24"/>
      <c r="FH420" s="24"/>
      <c r="FI420" s="24"/>
      <c r="FJ420" s="24"/>
      <c r="FK420" s="24"/>
      <c r="FL420" s="24"/>
      <c r="FM420" s="24"/>
      <c r="FN420" s="24"/>
      <c r="FO420" s="27">
        <f t="shared" ref="FO420:FV420" si="413">IFERROR(R420*1,0)+IFERROR(AE420*1,0)+IFERROR(AR420*1,0)+IFERROR(BE420*1,0)+IFERROR(BR420*1,0)+IFERROR(CE420*1,0)+IFERROR(CR420*1,0)+IFERROR(DE420*1,0)+IFERROR(DR420*1,0)+IFERROR(EE420*1,0)+IFERROR(ER420*1,0)+IFERROR(FE420*1,0)</f>
        <v>0</v>
      </c>
      <c r="FP420" s="27">
        <f t="shared" si="413"/>
        <v>0</v>
      </c>
      <c r="FQ420" s="27">
        <f t="shared" si="413"/>
        <v>0</v>
      </c>
      <c r="FR420" s="27">
        <f t="shared" si="413"/>
        <v>0</v>
      </c>
      <c r="FS420" s="27">
        <f t="shared" si="413"/>
        <v>0</v>
      </c>
      <c r="FT420" s="27">
        <f t="shared" si="413"/>
        <v>0</v>
      </c>
      <c r="FU420" s="27">
        <f t="shared" si="413"/>
        <v>0</v>
      </c>
      <c r="FV420" s="27">
        <f t="shared" si="413"/>
        <v>0</v>
      </c>
      <c r="FW420" s="28"/>
      <c r="FX420" s="29">
        <f t="shared" si="3"/>
        <v>0</v>
      </c>
    </row>
    <row r="421" spans="1:180" ht="18" customHeight="1" x14ac:dyDescent="0.25">
      <c r="A421" s="3" t="str">
        <f>IF(C421&lt;&gt;"","DRG-"&amp;TEXT(416,"000"),"")</f>
        <v/>
      </c>
      <c r="B421" s="33"/>
      <c r="C421" s="33"/>
      <c r="D421" s="33"/>
      <c r="E421" s="33"/>
      <c r="F421" s="33"/>
      <c r="G421" s="33"/>
      <c r="H421" s="33"/>
      <c r="I421" s="33"/>
      <c r="J421" s="33"/>
      <c r="K421" s="33"/>
      <c r="L421" s="37">
        <v>4</v>
      </c>
      <c r="M421" s="30" t="str">
        <f t="shared" si="0"/>
        <v>✘ Pending</v>
      </c>
      <c r="N421" s="30">
        <f t="shared" si="1"/>
        <v>0</v>
      </c>
      <c r="O421" s="31"/>
      <c r="P421" s="32"/>
      <c r="Q421" s="33"/>
      <c r="R421" s="33"/>
      <c r="S421" s="33"/>
      <c r="T421" s="33"/>
      <c r="U421" s="33"/>
      <c r="V421" s="33"/>
      <c r="W421" s="33"/>
      <c r="X421" s="33"/>
      <c r="Y421" s="33"/>
      <c r="Z421" s="33"/>
      <c r="AA421" s="33"/>
      <c r="AB421" s="31"/>
      <c r="AC421" s="32"/>
      <c r="AD421" s="33"/>
      <c r="AE421" s="33"/>
      <c r="AF421" s="33"/>
      <c r="AG421" s="33"/>
      <c r="AH421" s="33"/>
      <c r="AI421" s="33"/>
      <c r="AJ421" s="33"/>
      <c r="AK421" s="33"/>
      <c r="AL421" s="33"/>
      <c r="AM421" s="33"/>
      <c r="AN421" s="33"/>
      <c r="AO421" s="31"/>
      <c r="AP421" s="32"/>
      <c r="AQ421" s="33"/>
      <c r="AR421" s="33"/>
      <c r="AS421" s="33"/>
      <c r="AT421" s="33"/>
      <c r="AU421" s="33"/>
      <c r="AV421" s="33"/>
      <c r="AW421" s="33"/>
      <c r="AX421" s="33"/>
      <c r="AY421" s="33"/>
      <c r="AZ421" s="33"/>
      <c r="BA421" s="33"/>
      <c r="BB421" s="31"/>
      <c r="BC421" s="32"/>
      <c r="BD421" s="33"/>
      <c r="BE421" s="33"/>
      <c r="BF421" s="33"/>
      <c r="BG421" s="33"/>
      <c r="BH421" s="33"/>
      <c r="BI421" s="33"/>
      <c r="BJ421" s="33"/>
      <c r="BK421" s="33"/>
      <c r="BL421" s="33"/>
      <c r="BM421" s="33"/>
      <c r="BN421" s="33"/>
      <c r="BO421" s="31"/>
      <c r="BP421" s="32"/>
      <c r="BQ421" s="33"/>
      <c r="BR421" s="33"/>
      <c r="BS421" s="33"/>
      <c r="BT421" s="33"/>
      <c r="BU421" s="33"/>
      <c r="BV421" s="33"/>
      <c r="BW421" s="33"/>
      <c r="BX421" s="33"/>
      <c r="BY421" s="33"/>
      <c r="BZ421" s="33"/>
      <c r="CA421" s="33"/>
      <c r="CB421" s="31"/>
      <c r="CC421" s="32"/>
      <c r="CD421" s="33"/>
      <c r="CE421" s="33"/>
      <c r="CF421" s="33"/>
      <c r="CG421" s="33"/>
      <c r="CH421" s="33"/>
      <c r="CI421" s="33"/>
      <c r="CJ421" s="33"/>
      <c r="CK421" s="33"/>
      <c r="CL421" s="33"/>
      <c r="CM421" s="33"/>
      <c r="CN421" s="33"/>
      <c r="CO421" s="31"/>
      <c r="CP421" s="32"/>
      <c r="CQ421" s="33"/>
      <c r="CR421" s="33"/>
      <c r="CS421" s="33"/>
      <c r="CT421" s="33"/>
      <c r="CU421" s="33"/>
      <c r="CV421" s="33"/>
      <c r="CW421" s="33"/>
      <c r="CX421" s="33"/>
      <c r="CY421" s="33"/>
      <c r="CZ421" s="33"/>
      <c r="DA421" s="33"/>
      <c r="DB421" s="31"/>
      <c r="DC421" s="32"/>
      <c r="DD421" s="33"/>
      <c r="DE421" s="33"/>
      <c r="DF421" s="33"/>
      <c r="DG421" s="33"/>
      <c r="DH421" s="33"/>
      <c r="DI421" s="33"/>
      <c r="DJ421" s="33"/>
      <c r="DK421" s="33"/>
      <c r="DL421" s="33"/>
      <c r="DM421" s="33"/>
      <c r="DN421" s="33"/>
      <c r="DO421" s="31"/>
      <c r="DP421" s="32"/>
      <c r="DQ421" s="33"/>
      <c r="DR421" s="33"/>
      <c r="DS421" s="33"/>
      <c r="DT421" s="33"/>
      <c r="DU421" s="33"/>
      <c r="DV421" s="33"/>
      <c r="DW421" s="33"/>
      <c r="DX421" s="33"/>
      <c r="DY421" s="33"/>
      <c r="DZ421" s="33"/>
      <c r="EA421" s="33"/>
      <c r="EB421" s="31"/>
      <c r="EC421" s="32"/>
      <c r="ED421" s="33"/>
      <c r="EE421" s="33"/>
      <c r="EF421" s="33"/>
      <c r="EG421" s="33"/>
      <c r="EH421" s="33"/>
      <c r="EI421" s="33"/>
      <c r="EJ421" s="33"/>
      <c r="EK421" s="33"/>
      <c r="EL421" s="33"/>
      <c r="EM421" s="33"/>
      <c r="EN421" s="33"/>
      <c r="EO421" s="31"/>
      <c r="EP421" s="32"/>
      <c r="EQ421" s="33"/>
      <c r="ER421" s="33"/>
      <c r="ES421" s="33"/>
      <c r="ET421" s="33"/>
      <c r="EU421" s="33"/>
      <c r="EV421" s="33"/>
      <c r="EW421" s="33"/>
      <c r="EX421" s="33"/>
      <c r="EY421" s="33"/>
      <c r="EZ421" s="33"/>
      <c r="FA421" s="33"/>
      <c r="FB421" s="31"/>
      <c r="FC421" s="32"/>
      <c r="FD421" s="33"/>
      <c r="FE421" s="33"/>
      <c r="FF421" s="33"/>
      <c r="FG421" s="33"/>
      <c r="FH421" s="33"/>
      <c r="FI421" s="33"/>
      <c r="FJ421" s="33"/>
      <c r="FK421" s="33"/>
      <c r="FL421" s="33"/>
      <c r="FM421" s="33"/>
      <c r="FN421" s="33"/>
      <c r="FO421" s="34">
        <f t="shared" ref="FO421:FV421" si="414">IFERROR(R421*1,0)+IFERROR(AE421*1,0)+IFERROR(AR421*1,0)+IFERROR(BE421*1,0)+IFERROR(BR421*1,0)+IFERROR(CE421*1,0)+IFERROR(CR421*1,0)+IFERROR(DE421*1,0)+IFERROR(DR421*1,0)+IFERROR(EE421*1,0)+IFERROR(ER421*1,0)+IFERROR(FE421*1,0)</f>
        <v>0</v>
      </c>
      <c r="FP421" s="34">
        <f t="shared" si="414"/>
        <v>0</v>
      </c>
      <c r="FQ421" s="34">
        <f t="shared" si="414"/>
        <v>0</v>
      </c>
      <c r="FR421" s="34">
        <f t="shared" si="414"/>
        <v>0</v>
      </c>
      <c r="FS421" s="34">
        <f t="shared" si="414"/>
        <v>0</v>
      </c>
      <c r="FT421" s="34">
        <f t="shared" si="414"/>
        <v>0</v>
      </c>
      <c r="FU421" s="34">
        <f t="shared" si="414"/>
        <v>0</v>
      </c>
      <c r="FV421" s="34">
        <f t="shared" si="414"/>
        <v>0</v>
      </c>
      <c r="FW421" s="28"/>
      <c r="FX421" s="29">
        <f t="shared" si="3"/>
        <v>0</v>
      </c>
    </row>
    <row r="422" spans="1:180" ht="18" customHeight="1" x14ac:dyDescent="0.25">
      <c r="A422" s="3" t="str">
        <f>IF(C422&lt;&gt;"","DRG-"&amp;TEXT(417,"000"),"")</f>
        <v/>
      </c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38">
        <v>4</v>
      </c>
      <c r="M422" s="23" t="str">
        <f t="shared" si="0"/>
        <v>✘ Pending</v>
      </c>
      <c r="N422" s="23">
        <f t="shared" si="1"/>
        <v>0</v>
      </c>
      <c r="O422" s="25"/>
      <c r="P422" s="26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  <c r="AB422" s="25"/>
      <c r="AC422" s="26"/>
      <c r="AD422" s="24"/>
      <c r="AE422" s="24"/>
      <c r="AF422" s="24"/>
      <c r="AG422" s="24"/>
      <c r="AH422" s="24"/>
      <c r="AI422" s="24"/>
      <c r="AJ422" s="24"/>
      <c r="AK422" s="24"/>
      <c r="AL422" s="24"/>
      <c r="AM422" s="24"/>
      <c r="AN422" s="24"/>
      <c r="AO422" s="25"/>
      <c r="AP422" s="26"/>
      <c r="AQ422" s="24"/>
      <c r="AR422" s="24"/>
      <c r="AS422" s="24"/>
      <c r="AT422" s="24"/>
      <c r="AU422" s="24"/>
      <c r="AV422" s="24"/>
      <c r="AW422" s="24"/>
      <c r="AX422" s="24"/>
      <c r="AY422" s="24"/>
      <c r="AZ422" s="24"/>
      <c r="BA422" s="24"/>
      <c r="BB422" s="25"/>
      <c r="BC422" s="26"/>
      <c r="BD422" s="24"/>
      <c r="BE422" s="24"/>
      <c r="BF422" s="24"/>
      <c r="BG422" s="24"/>
      <c r="BH422" s="24"/>
      <c r="BI422" s="24"/>
      <c r="BJ422" s="24"/>
      <c r="BK422" s="24"/>
      <c r="BL422" s="24"/>
      <c r="BM422" s="24"/>
      <c r="BN422" s="24"/>
      <c r="BO422" s="25"/>
      <c r="BP422" s="26"/>
      <c r="BQ422" s="24"/>
      <c r="BR422" s="24"/>
      <c r="BS422" s="24"/>
      <c r="BT422" s="24"/>
      <c r="BU422" s="24"/>
      <c r="BV422" s="24"/>
      <c r="BW422" s="24"/>
      <c r="BX422" s="24"/>
      <c r="BY422" s="24"/>
      <c r="BZ422" s="24"/>
      <c r="CA422" s="24"/>
      <c r="CB422" s="25"/>
      <c r="CC422" s="26"/>
      <c r="CD422" s="24"/>
      <c r="CE422" s="24"/>
      <c r="CF422" s="24"/>
      <c r="CG422" s="24"/>
      <c r="CH422" s="24"/>
      <c r="CI422" s="24"/>
      <c r="CJ422" s="24"/>
      <c r="CK422" s="24"/>
      <c r="CL422" s="24"/>
      <c r="CM422" s="24"/>
      <c r="CN422" s="24"/>
      <c r="CO422" s="25"/>
      <c r="CP422" s="26"/>
      <c r="CQ422" s="24"/>
      <c r="CR422" s="24"/>
      <c r="CS422" s="24"/>
      <c r="CT422" s="24"/>
      <c r="CU422" s="24"/>
      <c r="CV422" s="24"/>
      <c r="CW422" s="24"/>
      <c r="CX422" s="24"/>
      <c r="CY422" s="24"/>
      <c r="CZ422" s="24"/>
      <c r="DA422" s="24"/>
      <c r="DB422" s="25"/>
      <c r="DC422" s="26"/>
      <c r="DD422" s="24"/>
      <c r="DE422" s="24"/>
      <c r="DF422" s="24"/>
      <c r="DG422" s="24"/>
      <c r="DH422" s="24"/>
      <c r="DI422" s="24"/>
      <c r="DJ422" s="24"/>
      <c r="DK422" s="24"/>
      <c r="DL422" s="24"/>
      <c r="DM422" s="24"/>
      <c r="DN422" s="24"/>
      <c r="DO422" s="25"/>
      <c r="DP422" s="26"/>
      <c r="DQ422" s="24"/>
      <c r="DR422" s="24"/>
      <c r="DS422" s="24"/>
      <c r="DT422" s="24"/>
      <c r="DU422" s="24"/>
      <c r="DV422" s="24"/>
      <c r="DW422" s="24"/>
      <c r="DX422" s="24"/>
      <c r="DY422" s="24"/>
      <c r="DZ422" s="24"/>
      <c r="EA422" s="24"/>
      <c r="EB422" s="25"/>
      <c r="EC422" s="26"/>
      <c r="ED422" s="24"/>
      <c r="EE422" s="24"/>
      <c r="EF422" s="24"/>
      <c r="EG422" s="24"/>
      <c r="EH422" s="24"/>
      <c r="EI422" s="24"/>
      <c r="EJ422" s="24"/>
      <c r="EK422" s="24"/>
      <c r="EL422" s="24"/>
      <c r="EM422" s="24"/>
      <c r="EN422" s="24"/>
      <c r="EO422" s="25"/>
      <c r="EP422" s="26"/>
      <c r="EQ422" s="24"/>
      <c r="ER422" s="24"/>
      <c r="ES422" s="24"/>
      <c r="ET422" s="24"/>
      <c r="EU422" s="24"/>
      <c r="EV422" s="24"/>
      <c r="EW422" s="24"/>
      <c r="EX422" s="24"/>
      <c r="EY422" s="24"/>
      <c r="EZ422" s="24"/>
      <c r="FA422" s="24"/>
      <c r="FB422" s="25"/>
      <c r="FC422" s="26"/>
      <c r="FD422" s="24"/>
      <c r="FE422" s="24"/>
      <c r="FF422" s="24"/>
      <c r="FG422" s="24"/>
      <c r="FH422" s="24"/>
      <c r="FI422" s="24"/>
      <c r="FJ422" s="24"/>
      <c r="FK422" s="24"/>
      <c r="FL422" s="24"/>
      <c r="FM422" s="24"/>
      <c r="FN422" s="24"/>
      <c r="FO422" s="27">
        <f t="shared" ref="FO422:FV422" si="415">IFERROR(R422*1,0)+IFERROR(AE422*1,0)+IFERROR(AR422*1,0)+IFERROR(BE422*1,0)+IFERROR(BR422*1,0)+IFERROR(CE422*1,0)+IFERROR(CR422*1,0)+IFERROR(DE422*1,0)+IFERROR(DR422*1,0)+IFERROR(EE422*1,0)+IFERROR(ER422*1,0)+IFERROR(FE422*1,0)</f>
        <v>0</v>
      </c>
      <c r="FP422" s="27">
        <f t="shared" si="415"/>
        <v>0</v>
      </c>
      <c r="FQ422" s="27">
        <f t="shared" si="415"/>
        <v>0</v>
      </c>
      <c r="FR422" s="27">
        <f t="shared" si="415"/>
        <v>0</v>
      </c>
      <c r="FS422" s="27">
        <f t="shared" si="415"/>
        <v>0</v>
      </c>
      <c r="FT422" s="27">
        <f t="shared" si="415"/>
        <v>0</v>
      </c>
      <c r="FU422" s="27">
        <f t="shared" si="415"/>
        <v>0</v>
      </c>
      <c r="FV422" s="27">
        <f t="shared" si="415"/>
        <v>0</v>
      </c>
      <c r="FW422" s="28"/>
      <c r="FX422" s="29">
        <f t="shared" si="3"/>
        <v>0</v>
      </c>
    </row>
    <row r="423" spans="1:180" ht="18" customHeight="1" x14ac:dyDescent="0.25">
      <c r="A423" s="3" t="str">
        <f>IF(C423&lt;&gt;"","DRG-"&amp;TEXT(418,"000"),"")</f>
        <v/>
      </c>
      <c r="B423" s="33"/>
      <c r="C423" s="33"/>
      <c r="D423" s="33"/>
      <c r="E423" s="33"/>
      <c r="F423" s="33"/>
      <c r="G423" s="33"/>
      <c r="H423" s="33"/>
      <c r="I423" s="33"/>
      <c r="J423" s="33"/>
      <c r="K423" s="33"/>
      <c r="L423" s="37">
        <v>4</v>
      </c>
      <c r="M423" s="30" t="str">
        <f t="shared" si="0"/>
        <v>✘ Pending</v>
      </c>
      <c r="N423" s="30">
        <f t="shared" si="1"/>
        <v>0</v>
      </c>
      <c r="O423" s="31"/>
      <c r="P423" s="32"/>
      <c r="Q423" s="33"/>
      <c r="R423" s="33"/>
      <c r="S423" s="33"/>
      <c r="T423" s="33"/>
      <c r="U423" s="33"/>
      <c r="V423" s="33"/>
      <c r="W423" s="33"/>
      <c r="X423" s="33"/>
      <c r="Y423" s="33"/>
      <c r="Z423" s="33"/>
      <c r="AA423" s="33"/>
      <c r="AB423" s="31"/>
      <c r="AC423" s="32"/>
      <c r="AD423" s="33"/>
      <c r="AE423" s="33"/>
      <c r="AF423" s="33"/>
      <c r="AG423" s="33"/>
      <c r="AH423" s="33"/>
      <c r="AI423" s="33"/>
      <c r="AJ423" s="33"/>
      <c r="AK423" s="33"/>
      <c r="AL423" s="33"/>
      <c r="AM423" s="33"/>
      <c r="AN423" s="33"/>
      <c r="AO423" s="31"/>
      <c r="AP423" s="32"/>
      <c r="AQ423" s="33"/>
      <c r="AR423" s="33"/>
      <c r="AS423" s="33"/>
      <c r="AT423" s="33"/>
      <c r="AU423" s="33"/>
      <c r="AV423" s="33"/>
      <c r="AW423" s="33"/>
      <c r="AX423" s="33"/>
      <c r="AY423" s="33"/>
      <c r="AZ423" s="33"/>
      <c r="BA423" s="33"/>
      <c r="BB423" s="31"/>
      <c r="BC423" s="32"/>
      <c r="BD423" s="33"/>
      <c r="BE423" s="33"/>
      <c r="BF423" s="33"/>
      <c r="BG423" s="33"/>
      <c r="BH423" s="33"/>
      <c r="BI423" s="33"/>
      <c r="BJ423" s="33"/>
      <c r="BK423" s="33"/>
      <c r="BL423" s="33"/>
      <c r="BM423" s="33"/>
      <c r="BN423" s="33"/>
      <c r="BO423" s="31"/>
      <c r="BP423" s="32"/>
      <c r="BQ423" s="33"/>
      <c r="BR423" s="33"/>
      <c r="BS423" s="33"/>
      <c r="BT423" s="33"/>
      <c r="BU423" s="33"/>
      <c r="BV423" s="33"/>
      <c r="BW423" s="33"/>
      <c r="BX423" s="33"/>
      <c r="BY423" s="33"/>
      <c r="BZ423" s="33"/>
      <c r="CA423" s="33"/>
      <c r="CB423" s="31"/>
      <c r="CC423" s="32"/>
      <c r="CD423" s="33"/>
      <c r="CE423" s="33"/>
      <c r="CF423" s="33"/>
      <c r="CG423" s="33"/>
      <c r="CH423" s="33"/>
      <c r="CI423" s="33"/>
      <c r="CJ423" s="33"/>
      <c r="CK423" s="33"/>
      <c r="CL423" s="33"/>
      <c r="CM423" s="33"/>
      <c r="CN423" s="33"/>
      <c r="CO423" s="31"/>
      <c r="CP423" s="32"/>
      <c r="CQ423" s="33"/>
      <c r="CR423" s="33"/>
      <c r="CS423" s="33"/>
      <c r="CT423" s="33"/>
      <c r="CU423" s="33"/>
      <c r="CV423" s="33"/>
      <c r="CW423" s="33"/>
      <c r="CX423" s="33"/>
      <c r="CY423" s="33"/>
      <c r="CZ423" s="33"/>
      <c r="DA423" s="33"/>
      <c r="DB423" s="31"/>
      <c r="DC423" s="32"/>
      <c r="DD423" s="33"/>
      <c r="DE423" s="33"/>
      <c r="DF423" s="33"/>
      <c r="DG423" s="33"/>
      <c r="DH423" s="33"/>
      <c r="DI423" s="33"/>
      <c r="DJ423" s="33"/>
      <c r="DK423" s="33"/>
      <c r="DL423" s="33"/>
      <c r="DM423" s="33"/>
      <c r="DN423" s="33"/>
      <c r="DO423" s="31"/>
      <c r="DP423" s="32"/>
      <c r="DQ423" s="33"/>
      <c r="DR423" s="33"/>
      <c r="DS423" s="33"/>
      <c r="DT423" s="33"/>
      <c r="DU423" s="33"/>
      <c r="DV423" s="33"/>
      <c r="DW423" s="33"/>
      <c r="DX423" s="33"/>
      <c r="DY423" s="33"/>
      <c r="DZ423" s="33"/>
      <c r="EA423" s="33"/>
      <c r="EB423" s="31"/>
      <c r="EC423" s="32"/>
      <c r="ED423" s="33"/>
      <c r="EE423" s="33"/>
      <c r="EF423" s="33"/>
      <c r="EG423" s="33"/>
      <c r="EH423" s="33"/>
      <c r="EI423" s="33"/>
      <c r="EJ423" s="33"/>
      <c r="EK423" s="33"/>
      <c r="EL423" s="33"/>
      <c r="EM423" s="33"/>
      <c r="EN423" s="33"/>
      <c r="EO423" s="31"/>
      <c r="EP423" s="32"/>
      <c r="EQ423" s="33"/>
      <c r="ER423" s="33"/>
      <c r="ES423" s="33"/>
      <c r="ET423" s="33"/>
      <c r="EU423" s="33"/>
      <c r="EV423" s="33"/>
      <c r="EW423" s="33"/>
      <c r="EX423" s="33"/>
      <c r="EY423" s="33"/>
      <c r="EZ423" s="33"/>
      <c r="FA423" s="33"/>
      <c r="FB423" s="31"/>
      <c r="FC423" s="32"/>
      <c r="FD423" s="33"/>
      <c r="FE423" s="33"/>
      <c r="FF423" s="33"/>
      <c r="FG423" s="33"/>
      <c r="FH423" s="33"/>
      <c r="FI423" s="33"/>
      <c r="FJ423" s="33"/>
      <c r="FK423" s="33"/>
      <c r="FL423" s="33"/>
      <c r="FM423" s="33"/>
      <c r="FN423" s="33"/>
      <c r="FO423" s="34">
        <f t="shared" ref="FO423:FV423" si="416">IFERROR(R423*1,0)+IFERROR(AE423*1,0)+IFERROR(AR423*1,0)+IFERROR(BE423*1,0)+IFERROR(BR423*1,0)+IFERROR(CE423*1,0)+IFERROR(CR423*1,0)+IFERROR(DE423*1,0)+IFERROR(DR423*1,0)+IFERROR(EE423*1,0)+IFERROR(ER423*1,0)+IFERROR(FE423*1,0)</f>
        <v>0</v>
      </c>
      <c r="FP423" s="34">
        <f t="shared" si="416"/>
        <v>0</v>
      </c>
      <c r="FQ423" s="34">
        <f t="shared" si="416"/>
        <v>0</v>
      </c>
      <c r="FR423" s="34">
        <f t="shared" si="416"/>
        <v>0</v>
      </c>
      <c r="FS423" s="34">
        <f t="shared" si="416"/>
        <v>0</v>
      </c>
      <c r="FT423" s="34">
        <f t="shared" si="416"/>
        <v>0</v>
      </c>
      <c r="FU423" s="34">
        <f t="shared" si="416"/>
        <v>0</v>
      </c>
      <c r="FV423" s="34">
        <f t="shared" si="416"/>
        <v>0</v>
      </c>
      <c r="FW423" s="28"/>
      <c r="FX423" s="29">
        <f t="shared" si="3"/>
        <v>0</v>
      </c>
    </row>
    <row r="424" spans="1:180" ht="18" customHeight="1" x14ac:dyDescent="0.25">
      <c r="A424" s="3" t="str">
        <f>IF(C424&lt;&gt;"","DRG-"&amp;TEXT(419,"000"),"")</f>
        <v/>
      </c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38">
        <v>4</v>
      </c>
      <c r="M424" s="23" t="str">
        <f t="shared" si="0"/>
        <v>✘ Pending</v>
      </c>
      <c r="N424" s="23">
        <f t="shared" si="1"/>
        <v>0</v>
      </c>
      <c r="O424" s="25"/>
      <c r="P424" s="26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  <c r="AB424" s="25"/>
      <c r="AC424" s="26"/>
      <c r="AD424" s="24"/>
      <c r="AE424" s="24"/>
      <c r="AF424" s="24"/>
      <c r="AG424" s="24"/>
      <c r="AH424" s="24"/>
      <c r="AI424" s="24"/>
      <c r="AJ424" s="24"/>
      <c r="AK424" s="24"/>
      <c r="AL424" s="24"/>
      <c r="AM424" s="24"/>
      <c r="AN424" s="24"/>
      <c r="AO424" s="25"/>
      <c r="AP424" s="26"/>
      <c r="AQ424" s="24"/>
      <c r="AR424" s="24"/>
      <c r="AS424" s="24"/>
      <c r="AT424" s="24"/>
      <c r="AU424" s="24"/>
      <c r="AV424" s="24"/>
      <c r="AW424" s="24"/>
      <c r="AX424" s="24"/>
      <c r="AY424" s="24"/>
      <c r="AZ424" s="24"/>
      <c r="BA424" s="24"/>
      <c r="BB424" s="25"/>
      <c r="BC424" s="26"/>
      <c r="BD424" s="24"/>
      <c r="BE424" s="24"/>
      <c r="BF424" s="24"/>
      <c r="BG424" s="24"/>
      <c r="BH424" s="24"/>
      <c r="BI424" s="24"/>
      <c r="BJ424" s="24"/>
      <c r="BK424" s="24"/>
      <c r="BL424" s="24"/>
      <c r="BM424" s="24"/>
      <c r="BN424" s="24"/>
      <c r="BO424" s="25"/>
      <c r="BP424" s="26"/>
      <c r="BQ424" s="24"/>
      <c r="BR424" s="24"/>
      <c r="BS424" s="24"/>
      <c r="BT424" s="24"/>
      <c r="BU424" s="24"/>
      <c r="BV424" s="24"/>
      <c r="BW424" s="24"/>
      <c r="BX424" s="24"/>
      <c r="BY424" s="24"/>
      <c r="BZ424" s="24"/>
      <c r="CA424" s="24"/>
      <c r="CB424" s="25"/>
      <c r="CC424" s="26"/>
      <c r="CD424" s="24"/>
      <c r="CE424" s="24"/>
      <c r="CF424" s="24"/>
      <c r="CG424" s="24"/>
      <c r="CH424" s="24"/>
      <c r="CI424" s="24"/>
      <c r="CJ424" s="24"/>
      <c r="CK424" s="24"/>
      <c r="CL424" s="24"/>
      <c r="CM424" s="24"/>
      <c r="CN424" s="24"/>
      <c r="CO424" s="25"/>
      <c r="CP424" s="26"/>
      <c r="CQ424" s="24"/>
      <c r="CR424" s="24"/>
      <c r="CS424" s="24"/>
      <c r="CT424" s="24"/>
      <c r="CU424" s="24"/>
      <c r="CV424" s="24"/>
      <c r="CW424" s="24"/>
      <c r="CX424" s="24"/>
      <c r="CY424" s="24"/>
      <c r="CZ424" s="24"/>
      <c r="DA424" s="24"/>
      <c r="DB424" s="25"/>
      <c r="DC424" s="26"/>
      <c r="DD424" s="24"/>
      <c r="DE424" s="24"/>
      <c r="DF424" s="24"/>
      <c r="DG424" s="24"/>
      <c r="DH424" s="24"/>
      <c r="DI424" s="24"/>
      <c r="DJ424" s="24"/>
      <c r="DK424" s="24"/>
      <c r="DL424" s="24"/>
      <c r="DM424" s="24"/>
      <c r="DN424" s="24"/>
      <c r="DO424" s="25"/>
      <c r="DP424" s="26"/>
      <c r="DQ424" s="24"/>
      <c r="DR424" s="24"/>
      <c r="DS424" s="24"/>
      <c r="DT424" s="24"/>
      <c r="DU424" s="24"/>
      <c r="DV424" s="24"/>
      <c r="DW424" s="24"/>
      <c r="DX424" s="24"/>
      <c r="DY424" s="24"/>
      <c r="DZ424" s="24"/>
      <c r="EA424" s="24"/>
      <c r="EB424" s="25"/>
      <c r="EC424" s="26"/>
      <c r="ED424" s="24"/>
      <c r="EE424" s="24"/>
      <c r="EF424" s="24"/>
      <c r="EG424" s="24"/>
      <c r="EH424" s="24"/>
      <c r="EI424" s="24"/>
      <c r="EJ424" s="24"/>
      <c r="EK424" s="24"/>
      <c r="EL424" s="24"/>
      <c r="EM424" s="24"/>
      <c r="EN424" s="24"/>
      <c r="EO424" s="25"/>
      <c r="EP424" s="26"/>
      <c r="EQ424" s="24"/>
      <c r="ER424" s="24"/>
      <c r="ES424" s="24"/>
      <c r="ET424" s="24"/>
      <c r="EU424" s="24"/>
      <c r="EV424" s="24"/>
      <c r="EW424" s="24"/>
      <c r="EX424" s="24"/>
      <c r="EY424" s="24"/>
      <c r="EZ424" s="24"/>
      <c r="FA424" s="24"/>
      <c r="FB424" s="25"/>
      <c r="FC424" s="26"/>
      <c r="FD424" s="24"/>
      <c r="FE424" s="24"/>
      <c r="FF424" s="24"/>
      <c r="FG424" s="24"/>
      <c r="FH424" s="24"/>
      <c r="FI424" s="24"/>
      <c r="FJ424" s="24"/>
      <c r="FK424" s="24"/>
      <c r="FL424" s="24"/>
      <c r="FM424" s="24"/>
      <c r="FN424" s="24"/>
      <c r="FO424" s="27">
        <f t="shared" ref="FO424:FV424" si="417">IFERROR(R424*1,0)+IFERROR(AE424*1,0)+IFERROR(AR424*1,0)+IFERROR(BE424*1,0)+IFERROR(BR424*1,0)+IFERROR(CE424*1,0)+IFERROR(CR424*1,0)+IFERROR(DE424*1,0)+IFERROR(DR424*1,0)+IFERROR(EE424*1,0)+IFERROR(ER424*1,0)+IFERROR(FE424*1,0)</f>
        <v>0</v>
      </c>
      <c r="FP424" s="27">
        <f t="shared" si="417"/>
        <v>0</v>
      </c>
      <c r="FQ424" s="27">
        <f t="shared" si="417"/>
        <v>0</v>
      </c>
      <c r="FR424" s="27">
        <f t="shared" si="417"/>
        <v>0</v>
      </c>
      <c r="FS424" s="27">
        <f t="shared" si="417"/>
        <v>0</v>
      </c>
      <c r="FT424" s="27">
        <f t="shared" si="417"/>
        <v>0</v>
      </c>
      <c r="FU424" s="27">
        <f t="shared" si="417"/>
        <v>0</v>
      </c>
      <c r="FV424" s="27">
        <f t="shared" si="417"/>
        <v>0</v>
      </c>
      <c r="FW424" s="28"/>
      <c r="FX424" s="29">
        <f t="shared" si="3"/>
        <v>0</v>
      </c>
    </row>
    <row r="425" spans="1:180" ht="18" customHeight="1" x14ac:dyDescent="0.25">
      <c r="A425" s="3" t="str">
        <f>IF(C425&lt;&gt;"","DRG-"&amp;TEXT(420,"000"),"")</f>
        <v/>
      </c>
      <c r="B425" s="33"/>
      <c r="C425" s="33"/>
      <c r="D425" s="33"/>
      <c r="E425" s="33"/>
      <c r="F425" s="33"/>
      <c r="G425" s="33"/>
      <c r="H425" s="33"/>
      <c r="I425" s="33"/>
      <c r="J425" s="33"/>
      <c r="K425" s="33"/>
      <c r="L425" s="37">
        <v>4</v>
      </c>
      <c r="M425" s="30" t="str">
        <f t="shared" si="0"/>
        <v>✘ Pending</v>
      </c>
      <c r="N425" s="30">
        <f t="shared" si="1"/>
        <v>0</v>
      </c>
      <c r="O425" s="31"/>
      <c r="P425" s="32"/>
      <c r="Q425" s="33"/>
      <c r="R425" s="33"/>
      <c r="S425" s="33"/>
      <c r="T425" s="33"/>
      <c r="U425" s="33"/>
      <c r="V425" s="33"/>
      <c r="W425" s="33"/>
      <c r="X425" s="33"/>
      <c r="Y425" s="33"/>
      <c r="Z425" s="33"/>
      <c r="AA425" s="33"/>
      <c r="AB425" s="31"/>
      <c r="AC425" s="32"/>
      <c r="AD425" s="33"/>
      <c r="AE425" s="33"/>
      <c r="AF425" s="33"/>
      <c r="AG425" s="33"/>
      <c r="AH425" s="33"/>
      <c r="AI425" s="33"/>
      <c r="AJ425" s="33"/>
      <c r="AK425" s="33"/>
      <c r="AL425" s="33"/>
      <c r="AM425" s="33"/>
      <c r="AN425" s="33"/>
      <c r="AO425" s="31"/>
      <c r="AP425" s="32"/>
      <c r="AQ425" s="33"/>
      <c r="AR425" s="33"/>
      <c r="AS425" s="33"/>
      <c r="AT425" s="33"/>
      <c r="AU425" s="33"/>
      <c r="AV425" s="33"/>
      <c r="AW425" s="33"/>
      <c r="AX425" s="33"/>
      <c r="AY425" s="33"/>
      <c r="AZ425" s="33"/>
      <c r="BA425" s="33"/>
      <c r="BB425" s="31"/>
      <c r="BC425" s="32"/>
      <c r="BD425" s="33"/>
      <c r="BE425" s="33"/>
      <c r="BF425" s="33"/>
      <c r="BG425" s="33"/>
      <c r="BH425" s="33"/>
      <c r="BI425" s="33"/>
      <c r="BJ425" s="33"/>
      <c r="BK425" s="33"/>
      <c r="BL425" s="33"/>
      <c r="BM425" s="33"/>
      <c r="BN425" s="33"/>
      <c r="BO425" s="31"/>
      <c r="BP425" s="32"/>
      <c r="BQ425" s="33"/>
      <c r="BR425" s="33"/>
      <c r="BS425" s="33"/>
      <c r="BT425" s="33"/>
      <c r="BU425" s="33"/>
      <c r="BV425" s="33"/>
      <c r="BW425" s="33"/>
      <c r="BX425" s="33"/>
      <c r="BY425" s="33"/>
      <c r="BZ425" s="33"/>
      <c r="CA425" s="33"/>
      <c r="CB425" s="31"/>
      <c r="CC425" s="32"/>
      <c r="CD425" s="33"/>
      <c r="CE425" s="33"/>
      <c r="CF425" s="33"/>
      <c r="CG425" s="33"/>
      <c r="CH425" s="33"/>
      <c r="CI425" s="33"/>
      <c r="CJ425" s="33"/>
      <c r="CK425" s="33"/>
      <c r="CL425" s="33"/>
      <c r="CM425" s="33"/>
      <c r="CN425" s="33"/>
      <c r="CO425" s="31"/>
      <c r="CP425" s="32"/>
      <c r="CQ425" s="33"/>
      <c r="CR425" s="33"/>
      <c r="CS425" s="33"/>
      <c r="CT425" s="33"/>
      <c r="CU425" s="33"/>
      <c r="CV425" s="33"/>
      <c r="CW425" s="33"/>
      <c r="CX425" s="33"/>
      <c r="CY425" s="33"/>
      <c r="CZ425" s="33"/>
      <c r="DA425" s="33"/>
      <c r="DB425" s="31"/>
      <c r="DC425" s="32"/>
      <c r="DD425" s="33"/>
      <c r="DE425" s="33"/>
      <c r="DF425" s="33"/>
      <c r="DG425" s="33"/>
      <c r="DH425" s="33"/>
      <c r="DI425" s="33"/>
      <c r="DJ425" s="33"/>
      <c r="DK425" s="33"/>
      <c r="DL425" s="33"/>
      <c r="DM425" s="33"/>
      <c r="DN425" s="33"/>
      <c r="DO425" s="31"/>
      <c r="DP425" s="32"/>
      <c r="DQ425" s="33"/>
      <c r="DR425" s="33"/>
      <c r="DS425" s="33"/>
      <c r="DT425" s="33"/>
      <c r="DU425" s="33"/>
      <c r="DV425" s="33"/>
      <c r="DW425" s="33"/>
      <c r="DX425" s="33"/>
      <c r="DY425" s="33"/>
      <c r="DZ425" s="33"/>
      <c r="EA425" s="33"/>
      <c r="EB425" s="31"/>
      <c r="EC425" s="32"/>
      <c r="ED425" s="33"/>
      <c r="EE425" s="33"/>
      <c r="EF425" s="33"/>
      <c r="EG425" s="33"/>
      <c r="EH425" s="33"/>
      <c r="EI425" s="33"/>
      <c r="EJ425" s="33"/>
      <c r="EK425" s="33"/>
      <c r="EL425" s="33"/>
      <c r="EM425" s="33"/>
      <c r="EN425" s="33"/>
      <c r="EO425" s="31"/>
      <c r="EP425" s="32"/>
      <c r="EQ425" s="33"/>
      <c r="ER425" s="33"/>
      <c r="ES425" s="33"/>
      <c r="ET425" s="33"/>
      <c r="EU425" s="33"/>
      <c r="EV425" s="33"/>
      <c r="EW425" s="33"/>
      <c r="EX425" s="33"/>
      <c r="EY425" s="33"/>
      <c r="EZ425" s="33"/>
      <c r="FA425" s="33"/>
      <c r="FB425" s="31"/>
      <c r="FC425" s="32"/>
      <c r="FD425" s="33"/>
      <c r="FE425" s="33"/>
      <c r="FF425" s="33"/>
      <c r="FG425" s="33"/>
      <c r="FH425" s="33"/>
      <c r="FI425" s="33"/>
      <c r="FJ425" s="33"/>
      <c r="FK425" s="33"/>
      <c r="FL425" s="33"/>
      <c r="FM425" s="33"/>
      <c r="FN425" s="33"/>
      <c r="FO425" s="34">
        <f t="shared" ref="FO425:FV425" si="418">IFERROR(R425*1,0)+IFERROR(AE425*1,0)+IFERROR(AR425*1,0)+IFERROR(BE425*1,0)+IFERROR(BR425*1,0)+IFERROR(CE425*1,0)+IFERROR(CR425*1,0)+IFERROR(DE425*1,0)+IFERROR(DR425*1,0)+IFERROR(EE425*1,0)+IFERROR(ER425*1,0)+IFERROR(FE425*1,0)</f>
        <v>0</v>
      </c>
      <c r="FP425" s="34">
        <f t="shared" si="418"/>
        <v>0</v>
      </c>
      <c r="FQ425" s="34">
        <f t="shared" si="418"/>
        <v>0</v>
      </c>
      <c r="FR425" s="34">
        <f t="shared" si="418"/>
        <v>0</v>
      </c>
      <c r="FS425" s="34">
        <f t="shared" si="418"/>
        <v>0</v>
      </c>
      <c r="FT425" s="34">
        <f t="shared" si="418"/>
        <v>0</v>
      </c>
      <c r="FU425" s="34">
        <f t="shared" si="418"/>
        <v>0</v>
      </c>
      <c r="FV425" s="34">
        <f t="shared" si="418"/>
        <v>0</v>
      </c>
      <c r="FW425" s="28"/>
      <c r="FX425" s="29">
        <f t="shared" si="3"/>
        <v>0</v>
      </c>
    </row>
    <row r="426" spans="1:180" ht="18" customHeight="1" x14ac:dyDescent="0.25">
      <c r="A426" s="3" t="str">
        <f>IF(C426&lt;&gt;"","DRG-"&amp;TEXT(421,"000"),"")</f>
        <v/>
      </c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38">
        <v>4</v>
      </c>
      <c r="M426" s="23" t="str">
        <f t="shared" si="0"/>
        <v>✘ Pending</v>
      </c>
      <c r="N426" s="23">
        <f t="shared" si="1"/>
        <v>0</v>
      </c>
      <c r="O426" s="25"/>
      <c r="P426" s="26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  <c r="AB426" s="25"/>
      <c r="AC426" s="26"/>
      <c r="AD426" s="24"/>
      <c r="AE426" s="24"/>
      <c r="AF426" s="24"/>
      <c r="AG426" s="24"/>
      <c r="AH426" s="24"/>
      <c r="AI426" s="24"/>
      <c r="AJ426" s="24"/>
      <c r="AK426" s="24"/>
      <c r="AL426" s="24"/>
      <c r="AM426" s="24"/>
      <c r="AN426" s="24"/>
      <c r="AO426" s="25"/>
      <c r="AP426" s="26"/>
      <c r="AQ426" s="24"/>
      <c r="AR426" s="24"/>
      <c r="AS426" s="24"/>
      <c r="AT426" s="24"/>
      <c r="AU426" s="24"/>
      <c r="AV426" s="24"/>
      <c r="AW426" s="24"/>
      <c r="AX426" s="24"/>
      <c r="AY426" s="24"/>
      <c r="AZ426" s="24"/>
      <c r="BA426" s="24"/>
      <c r="BB426" s="25"/>
      <c r="BC426" s="26"/>
      <c r="BD426" s="24"/>
      <c r="BE426" s="24"/>
      <c r="BF426" s="24"/>
      <c r="BG426" s="24"/>
      <c r="BH426" s="24"/>
      <c r="BI426" s="24"/>
      <c r="BJ426" s="24"/>
      <c r="BK426" s="24"/>
      <c r="BL426" s="24"/>
      <c r="BM426" s="24"/>
      <c r="BN426" s="24"/>
      <c r="BO426" s="25"/>
      <c r="BP426" s="26"/>
      <c r="BQ426" s="24"/>
      <c r="BR426" s="24"/>
      <c r="BS426" s="24"/>
      <c r="BT426" s="24"/>
      <c r="BU426" s="24"/>
      <c r="BV426" s="24"/>
      <c r="BW426" s="24"/>
      <c r="BX426" s="24"/>
      <c r="BY426" s="24"/>
      <c r="BZ426" s="24"/>
      <c r="CA426" s="24"/>
      <c r="CB426" s="25"/>
      <c r="CC426" s="26"/>
      <c r="CD426" s="24"/>
      <c r="CE426" s="24"/>
      <c r="CF426" s="24"/>
      <c r="CG426" s="24"/>
      <c r="CH426" s="24"/>
      <c r="CI426" s="24"/>
      <c r="CJ426" s="24"/>
      <c r="CK426" s="24"/>
      <c r="CL426" s="24"/>
      <c r="CM426" s="24"/>
      <c r="CN426" s="24"/>
      <c r="CO426" s="25"/>
      <c r="CP426" s="26"/>
      <c r="CQ426" s="24"/>
      <c r="CR426" s="24"/>
      <c r="CS426" s="24"/>
      <c r="CT426" s="24"/>
      <c r="CU426" s="24"/>
      <c r="CV426" s="24"/>
      <c r="CW426" s="24"/>
      <c r="CX426" s="24"/>
      <c r="CY426" s="24"/>
      <c r="CZ426" s="24"/>
      <c r="DA426" s="24"/>
      <c r="DB426" s="25"/>
      <c r="DC426" s="26"/>
      <c r="DD426" s="24"/>
      <c r="DE426" s="24"/>
      <c r="DF426" s="24"/>
      <c r="DG426" s="24"/>
      <c r="DH426" s="24"/>
      <c r="DI426" s="24"/>
      <c r="DJ426" s="24"/>
      <c r="DK426" s="24"/>
      <c r="DL426" s="24"/>
      <c r="DM426" s="24"/>
      <c r="DN426" s="24"/>
      <c r="DO426" s="25"/>
      <c r="DP426" s="26"/>
      <c r="DQ426" s="24"/>
      <c r="DR426" s="24"/>
      <c r="DS426" s="24"/>
      <c r="DT426" s="24"/>
      <c r="DU426" s="24"/>
      <c r="DV426" s="24"/>
      <c r="DW426" s="24"/>
      <c r="DX426" s="24"/>
      <c r="DY426" s="24"/>
      <c r="DZ426" s="24"/>
      <c r="EA426" s="24"/>
      <c r="EB426" s="25"/>
      <c r="EC426" s="26"/>
      <c r="ED426" s="24"/>
      <c r="EE426" s="24"/>
      <c r="EF426" s="24"/>
      <c r="EG426" s="24"/>
      <c r="EH426" s="24"/>
      <c r="EI426" s="24"/>
      <c r="EJ426" s="24"/>
      <c r="EK426" s="24"/>
      <c r="EL426" s="24"/>
      <c r="EM426" s="24"/>
      <c r="EN426" s="24"/>
      <c r="EO426" s="25"/>
      <c r="EP426" s="26"/>
      <c r="EQ426" s="24"/>
      <c r="ER426" s="24"/>
      <c r="ES426" s="24"/>
      <c r="ET426" s="24"/>
      <c r="EU426" s="24"/>
      <c r="EV426" s="24"/>
      <c r="EW426" s="24"/>
      <c r="EX426" s="24"/>
      <c r="EY426" s="24"/>
      <c r="EZ426" s="24"/>
      <c r="FA426" s="24"/>
      <c r="FB426" s="25"/>
      <c r="FC426" s="26"/>
      <c r="FD426" s="24"/>
      <c r="FE426" s="24"/>
      <c r="FF426" s="24"/>
      <c r="FG426" s="24"/>
      <c r="FH426" s="24"/>
      <c r="FI426" s="24"/>
      <c r="FJ426" s="24"/>
      <c r="FK426" s="24"/>
      <c r="FL426" s="24"/>
      <c r="FM426" s="24"/>
      <c r="FN426" s="24"/>
      <c r="FO426" s="27">
        <f t="shared" ref="FO426:FV426" si="419">IFERROR(R426*1,0)+IFERROR(AE426*1,0)+IFERROR(AR426*1,0)+IFERROR(BE426*1,0)+IFERROR(BR426*1,0)+IFERROR(CE426*1,0)+IFERROR(CR426*1,0)+IFERROR(DE426*1,0)+IFERROR(DR426*1,0)+IFERROR(EE426*1,0)+IFERROR(ER426*1,0)+IFERROR(FE426*1,0)</f>
        <v>0</v>
      </c>
      <c r="FP426" s="27">
        <f t="shared" si="419"/>
        <v>0</v>
      </c>
      <c r="FQ426" s="27">
        <f t="shared" si="419"/>
        <v>0</v>
      </c>
      <c r="FR426" s="27">
        <f t="shared" si="419"/>
        <v>0</v>
      </c>
      <c r="FS426" s="27">
        <f t="shared" si="419"/>
        <v>0</v>
      </c>
      <c r="FT426" s="27">
        <f t="shared" si="419"/>
        <v>0</v>
      </c>
      <c r="FU426" s="27">
        <f t="shared" si="419"/>
        <v>0</v>
      </c>
      <c r="FV426" s="27">
        <f t="shared" si="419"/>
        <v>0</v>
      </c>
      <c r="FW426" s="28"/>
      <c r="FX426" s="29">
        <f t="shared" si="3"/>
        <v>0</v>
      </c>
    </row>
    <row r="427" spans="1:180" ht="18" customHeight="1" x14ac:dyDescent="0.25">
      <c r="A427" s="3" t="str">
        <f>IF(C427&lt;&gt;"","DRG-"&amp;TEXT(422,"000"),"")</f>
        <v/>
      </c>
      <c r="B427" s="33"/>
      <c r="C427" s="33"/>
      <c r="D427" s="33"/>
      <c r="E427" s="33"/>
      <c r="F427" s="33"/>
      <c r="G427" s="33"/>
      <c r="H427" s="33"/>
      <c r="I427" s="33"/>
      <c r="J427" s="33"/>
      <c r="K427" s="33"/>
      <c r="L427" s="37">
        <v>4</v>
      </c>
      <c r="M427" s="30" t="str">
        <f t="shared" si="0"/>
        <v>✘ Pending</v>
      </c>
      <c r="N427" s="30">
        <f t="shared" si="1"/>
        <v>0</v>
      </c>
      <c r="O427" s="31"/>
      <c r="P427" s="32"/>
      <c r="Q427" s="33"/>
      <c r="R427" s="33"/>
      <c r="S427" s="33"/>
      <c r="T427" s="33"/>
      <c r="U427" s="33"/>
      <c r="V427" s="33"/>
      <c r="W427" s="33"/>
      <c r="X427" s="33"/>
      <c r="Y427" s="33"/>
      <c r="Z427" s="33"/>
      <c r="AA427" s="33"/>
      <c r="AB427" s="31"/>
      <c r="AC427" s="32"/>
      <c r="AD427" s="33"/>
      <c r="AE427" s="33"/>
      <c r="AF427" s="33"/>
      <c r="AG427" s="33"/>
      <c r="AH427" s="33"/>
      <c r="AI427" s="33"/>
      <c r="AJ427" s="33"/>
      <c r="AK427" s="33"/>
      <c r="AL427" s="33"/>
      <c r="AM427" s="33"/>
      <c r="AN427" s="33"/>
      <c r="AO427" s="31"/>
      <c r="AP427" s="32"/>
      <c r="AQ427" s="33"/>
      <c r="AR427" s="33"/>
      <c r="AS427" s="33"/>
      <c r="AT427" s="33"/>
      <c r="AU427" s="33"/>
      <c r="AV427" s="33"/>
      <c r="AW427" s="33"/>
      <c r="AX427" s="33"/>
      <c r="AY427" s="33"/>
      <c r="AZ427" s="33"/>
      <c r="BA427" s="33"/>
      <c r="BB427" s="31"/>
      <c r="BC427" s="32"/>
      <c r="BD427" s="33"/>
      <c r="BE427" s="33"/>
      <c r="BF427" s="33"/>
      <c r="BG427" s="33"/>
      <c r="BH427" s="33"/>
      <c r="BI427" s="33"/>
      <c r="BJ427" s="33"/>
      <c r="BK427" s="33"/>
      <c r="BL427" s="33"/>
      <c r="BM427" s="33"/>
      <c r="BN427" s="33"/>
      <c r="BO427" s="31"/>
      <c r="BP427" s="32"/>
      <c r="BQ427" s="33"/>
      <c r="BR427" s="33"/>
      <c r="BS427" s="33"/>
      <c r="BT427" s="33"/>
      <c r="BU427" s="33"/>
      <c r="BV427" s="33"/>
      <c r="BW427" s="33"/>
      <c r="BX427" s="33"/>
      <c r="BY427" s="33"/>
      <c r="BZ427" s="33"/>
      <c r="CA427" s="33"/>
      <c r="CB427" s="31"/>
      <c r="CC427" s="32"/>
      <c r="CD427" s="33"/>
      <c r="CE427" s="33"/>
      <c r="CF427" s="33"/>
      <c r="CG427" s="33"/>
      <c r="CH427" s="33"/>
      <c r="CI427" s="33"/>
      <c r="CJ427" s="33"/>
      <c r="CK427" s="33"/>
      <c r="CL427" s="33"/>
      <c r="CM427" s="33"/>
      <c r="CN427" s="33"/>
      <c r="CO427" s="31"/>
      <c r="CP427" s="32"/>
      <c r="CQ427" s="33"/>
      <c r="CR427" s="33"/>
      <c r="CS427" s="33"/>
      <c r="CT427" s="33"/>
      <c r="CU427" s="33"/>
      <c r="CV427" s="33"/>
      <c r="CW427" s="33"/>
      <c r="CX427" s="33"/>
      <c r="CY427" s="33"/>
      <c r="CZ427" s="33"/>
      <c r="DA427" s="33"/>
      <c r="DB427" s="31"/>
      <c r="DC427" s="32"/>
      <c r="DD427" s="33"/>
      <c r="DE427" s="33"/>
      <c r="DF427" s="33"/>
      <c r="DG427" s="33"/>
      <c r="DH427" s="33"/>
      <c r="DI427" s="33"/>
      <c r="DJ427" s="33"/>
      <c r="DK427" s="33"/>
      <c r="DL427" s="33"/>
      <c r="DM427" s="33"/>
      <c r="DN427" s="33"/>
      <c r="DO427" s="31"/>
      <c r="DP427" s="32"/>
      <c r="DQ427" s="33"/>
      <c r="DR427" s="33"/>
      <c r="DS427" s="33"/>
      <c r="DT427" s="33"/>
      <c r="DU427" s="33"/>
      <c r="DV427" s="33"/>
      <c r="DW427" s="33"/>
      <c r="DX427" s="33"/>
      <c r="DY427" s="33"/>
      <c r="DZ427" s="33"/>
      <c r="EA427" s="33"/>
      <c r="EB427" s="31"/>
      <c r="EC427" s="32"/>
      <c r="ED427" s="33"/>
      <c r="EE427" s="33"/>
      <c r="EF427" s="33"/>
      <c r="EG427" s="33"/>
      <c r="EH427" s="33"/>
      <c r="EI427" s="33"/>
      <c r="EJ427" s="33"/>
      <c r="EK427" s="33"/>
      <c r="EL427" s="33"/>
      <c r="EM427" s="33"/>
      <c r="EN427" s="33"/>
      <c r="EO427" s="31"/>
      <c r="EP427" s="32"/>
      <c r="EQ427" s="33"/>
      <c r="ER427" s="33"/>
      <c r="ES427" s="33"/>
      <c r="ET427" s="33"/>
      <c r="EU427" s="33"/>
      <c r="EV427" s="33"/>
      <c r="EW427" s="33"/>
      <c r="EX427" s="33"/>
      <c r="EY427" s="33"/>
      <c r="EZ427" s="33"/>
      <c r="FA427" s="33"/>
      <c r="FB427" s="31"/>
      <c r="FC427" s="32"/>
      <c r="FD427" s="33"/>
      <c r="FE427" s="33"/>
      <c r="FF427" s="33"/>
      <c r="FG427" s="33"/>
      <c r="FH427" s="33"/>
      <c r="FI427" s="33"/>
      <c r="FJ427" s="33"/>
      <c r="FK427" s="33"/>
      <c r="FL427" s="33"/>
      <c r="FM427" s="33"/>
      <c r="FN427" s="33"/>
      <c r="FO427" s="34">
        <f t="shared" ref="FO427:FV427" si="420">IFERROR(R427*1,0)+IFERROR(AE427*1,0)+IFERROR(AR427*1,0)+IFERROR(BE427*1,0)+IFERROR(BR427*1,0)+IFERROR(CE427*1,0)+IFERROR(CR427*1,0)+IFERROR(DE427*1,0)+IFERROR(DR427*1,0)+IFERROR(EE427*1,0)+IFERROR(ER427*1,0)+IFERROR(FE427*1,0)</f>
        <v>0</v>
      </c>
      <c r="FP427" s="34">
        <f t="shared" si="420"/>
        <v>0</v>
      </c>
      <c r="FQ427" s="34">
        <f t="shared" si="420"/>
        <v>0</v>
      </c>
      <c r="FR427" s="34">
        <f t="shared" si="420"/>
        <v>0</v>
      </c>
      <c r="FS427" s="34">
        <f t="shared" si="420"/>
        <v>0</v>
      </c>
      <c r="FT427" s="34">
        <f t="shared" si="420"/>
        <v>0</v>
      </c>
      <c r="FU427" s="34">
        <f t="shared" si="420"/>
        <v>0</v>
      </c>
      <c r="FV427" s="34">
        <f t="shared" si="420"/>
        <v>0</v>
      </c>
      <c r="FW427" s="28"/>
      <c r="FX427" s="29">
        <f t="shared" si="3"/>
        <v>0</v>
      </c>
    </row>
    <row r="428" spans="1:180" ht="18" customHeight="1" x14ac:dyDescent="0.25">
      <c r="A428" s="3" t="str">
        <f>IF(C428&lt;&gt;"","DRG-"&amp;TEXT(423,"000"),"")</f>
        <v/>
      </c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38">
        <v>4</v>
      </c>
      <c r="M428" s="23" t="str">
        <f t="shared" si="0"/>
        <v>✘ Pending</v>
      </c>
      <c r="N428" s="23">
        <f t="shared" si="1"/>
        <v>0</v>
      </c>
      <c r="O428" s="25"/>
      <c r="P428" s="26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  <c r="AB428" s="25"/>
      <c r="AC428" s="26"/>
      <c r="AD428" s="24"/>
      <c r="AE428" s="24"/>
      <c r="AF428" s="24"/>
      <c r="AG428" s="24"/>
      <c r="AH428" s="24"/>
      <c r="AI428" s="24"/>
      <c r="AJ428" s="24"/>
      <c r="AK428" s="24"/>
      <c r="AL428" s="24"/>
      <c r="AM428" s="24"/>
      <c r="AN428" s="24"/>
      <c r="AO428" s="25"/>
      <c r="AP428" s="26"/>
      <c r="AQ428" s="24"/>
      <c r="AR428" s="24"/>
      <c r="AS428" s="24"/>
      <c r="AT428" s="24"/>
      <c r="AU428" s="24"/>
      <c r="AV428" s="24"/>
      <c r="AW428" s="24"/>
      <c r="AX428" s="24"/>
      <c r="AY428" s="24"/>
      <c r="AZ428" s="24"/>
      <c r="BA428" s="24"/>
      <c r="BB428" s="25"/>
      <c r="BC428" s="26"/>
      <c r="BD428" s="24"/>
      <c r="BE428" s="24"/>
      <c r="BF428" s="24"/>
      <c r="BG428" s="24"/>
      <c r="BH428" s="24"/>
      <c r="BI428" s="24"/>
      <c r="BJ428" s="24"/>
      <c r="BK428" s="24"/>
      <c r="BL428" s="24"/>
      <c r="BM428" s="24"/>
      <c r="BN428" s="24"/>
      <c r="BO428" s="25"/>
      <c r="BP428" s="26"/>
      <c r="BQ428" s="24"/>
      <c r="BR428" s="24"/>
      <c r="BS428" s="24"/>
      <c r="BT428" s="24"/>
      <c r="BU428" s="24"/>
      <c r="BV428" s="24"/>
      <c r="BW428" s="24"/>
      <c r="BX428" s="24"/>
      <c r="BY428" s="24"/>
      <c r="BZ428" s="24"/>
      <c r="CA428" s="24"/>
      <c r="CB428" s="25"/>
      <c r="CC428" s="26"/>
      <c r="CD428" s="24"/>
      <c r="CE428" s="24"/>
      <c r="CF428" s="24"/>
      <c r="CG428" s="24"/>
      <c r="CH428" s="24"/>
      <c r="CI428" s="24"/>
      <c r="CJ428" s="24"/>
      <c r="CK428" s="24"/>
      <c r="CL428" s="24"/>
      <c r="CM428" s="24"/>
      <c r="CN428" s="24"/>
      <c r="CO428" s="25"/>
      <c r="CP428" s="26"/>
      <c r="CQ428" s="24"/>
      <c r="CR428" s="24"/>
      <c r="CS428" s="24"/>
      <c r="CT428" s="24"/>
      <c r="CU428" s="24"/>
      <c r="CV428" s="24"/>
      <c r="CW428" s="24"/>
      <c r="CX428" s="24"/>
      <c r="CY428" s="24"/>
      <c r="CZ428" s="24"/>
      <c r="DA428" s="24"/>
      <c r="DB428" s="25"/>
      <c r="DC428" s="26"/>
      <c r="DD428" s="24"/>
      <c r="DE428" s="24"/>
      <c r="DF428" s="24"/>
      <c r="DG428" s="24"/>
      <c r="DH428" s="24"/>
      <c r="DI428" s="24"/>
      <c r="DJ428" s="24"/>
      <c r="DK428" s="24"/>
      <c r="DL428" s="24"/>
      <c r="DM428" s="24"/>
      <c r="DN428" s="24"/>
      <c r="DO428" s="25"/>
      <c r="DP428" s="26"/>
      <c r="DQ428" s="24"/>
      <c r="DR428" s="24"/>
      <c r="DS428" s="24"/>
      <c r="DT428" s="24"/>
      <c r="DU428" s="24"/>
      <c r="DV428" s="24"/>
      <c r="DW428" s="24"/>
      <c r="DX428" s="24"/>
      <c r="DY428" s="24"/>
      <c r="DZ428" s="24"/>
      <c r="EA428" s="24"/>
      <c r="EB428" s="25"/>
      <c r="EC428" s="26"/>
      <c r="ED428" s="24"/>
      <c r="EE428" s="24"/>
      <c r="EF428" s="24"/>
      <c r="EG428" s="24"/>
      <c r="EH428" s="24"/>
      <c r="EI428" s="24"/>
      <c r="EJ428" s="24"/>
      <c r="EK428" s="24"/>
      <c r="EL428" s="24"/>
      <c r="EM428" s="24"/>
      <c r="EN428" s="24"/>
      <c r="EO428" s="25"/>
      <c r="EP428" s="26"/>
      <c r="EQ428" s="24"/>
      <c r="ER428" s="24"/>
      <c r="ES428" s="24"/>
      <c r="ET428" s="24"/>
      <c r="EU428" s="24"/>
      <c r="EV428" s="24"/>
      <c r="EW428" s="24"/>
      <c r="EX428" s="24"/>
      <c r="EY428" s="24"/>
      <c r="EZ428" s="24"/>
      <c r="FA428" s="24"/>
      <c r="FB428" s="25"/>
      <c r="FC428" s="26"/>
      <c r="FD428" s="24"/>
      <c r="FE428" s="24"/>
      <c r="FF428" s="24"/>
      <c r="FG428" s="24"/>
      <c r="FH428" s="24"/>
      <c r="FI428" s="24"/>
      <c r="FJ428" s="24"/>
      <c r="FK428" s="24"/>
      <c r="FL428" s="24"/>
      <c r="FM428" s="24"/>
      <c r="FN428" s="24"/>
      <c r="FO428" s="27">
        <f t="shared" ref="FO428:FV428" si="421">IFERROR(R428*1,0)+IFERROR(AE428*1,0)+IFERROR(AR428*1,0)+IFERROR(BE428*1,0)+IFERROR(BR428*1,0)+IFERROR(CE428*1,0)+IFERROR(CR428*1,0)+IFERROR(DE428*1,0)+IFERROR(DR428*1,0)+IFERROR(EE428*1,0)+IFERROR(ER428*1,0)+IFERROR(FE428*1,0)</f>
        <v>0</v>
      </c>
      <c r="FP428" s="27">
        <f t="shared" si="421"/>
        <v>0</v>
      </c>
      <c r="FQ428" s="27">
        <f t="shared" si="421"/>
        <v>0</v>
      </c>
      <c r="FR428" s="27">
        <f t="shared" si="421"/>
        <v>0</v>
      </c>
      <c r="FS428" s="27">
        <f t="shared" si="421"/>
        <v>0</v>
      </c>
      <c r="FT428" s="27">
        <f t="shared" si="421"/>
        <v>0</v>
      </c>
      <c r="FU428" s="27">
        <f t="shared" si="421"/>
        <v>0</v>
      </c>
      <c r="FV428" s="27">
        <f t="shared" si="421"/>
        <v>0</v>
      </c>
      <c r="FW428" s="28"/>
      <c r="FX428" s="29">
        <f t="shared" si="3"/>
        <v>0</v>
      </c>
    </row>
    <row r="429" spans="1:180" ht="18" customHeight="1" x14ac:dyDescent="0.25">
      <c r="A429" s="3" t="str">
        <f>IF(C429&lt;&gt;"","DRG-"&amp;TEXT(424,"000"),"")</f>
        <v/>
      </c>
      <c r="B429" s="33"/>
      <c r="C429" s="33"/>
      <c r="D429" s="33"/>
      <c r="E429" s="33"/>
      <c r="F429" s="33"/>
      <c r="G429" s="33"/>
      <c r="H429" s="33"/>
      <c r="I429" s="33"/>
      <c r="J429" s="33"/>
      <c r="K429" s="33"/>
      <c r="L429" s="37">
        <v>4</v>
      </c>
      <c r="M429" s="30" t="str">
        <f t="shared" si="0"/>
        <v>✘ Pending</v>
      </c>
      <c r="N429" s="30">
        <f t="shared" si="1"/>
        <v>0</v>
      </c>
      <c r="O429" s="31"/>
      <c r="P429" s="32"/>
      <c r="Q429" s="33"/>
      <c r="R429" s="33"/>
      <c r="S429" s="33"/>
      <c r="T429" s="33"/>
      <c r="U429" s="33"/>
      <c r="V429" s="33"/>
      <c r="W429" s="33"/>
      <c r="X429" s="33"/>
      <c r="Y429" s="33"/>
      <c r="Z429" s="33"/>
      <c r="AA429" s="33"/>
      <c r="AB429" s="31"/>
      <c r="AC429" s="32"/>
      <c r="AD429" s="33"/>
      <c r="AE429" s="33"/>
      <c r="AF429" s="33"/>
      <c r="AG429" s="33"/>
      <c r="AH429" s="33"/>
      <c r="AI429" s="33"/>
      <c r="AJ429" s="33"/>
      <c r="AK429" s="33"/>
      <c r="AL429" s="33"/>
      <c r="AM429" s="33"/>
      <c r="AN429" s="33"/>
      <c r="AO429" s="31"/>
      <c r="AP429" s="32"/>
      <c r="AQ429" s="33"/>
      <c r="AR429" s="33"/>
      <c r="AS429" s="33"/>
      <c r="AT429" s="33"/>
      <c r="AU429" s="33"/>
      <c r="AV429" s="33"/>
      <c r="AW429" s="33"/>
      <c r="AX429" s="33"/>
      <c r="AY429" s="33"/>
      <c r="AZ429" s="33"/>
      <c r="BA429" s="33"/>
      <c r="BB429" s="31"/>
      <c r="BC429" s="32"/>
      <c r="BD429" s="33"/>
      <c r="BE429" s="33"/>
      <c r="BF429" s="33"/>
      <c r="BG429" s="33"/>
      <c r="BH429" s="33"/>
      <c r="BI429" s="33"/>
      <c r="BJ429" s="33"/>
      <c r="BK429" s="33"/>
      <c r="BL429" s="33"/>
      <c r="BM429" s="33"/>
      <c r="BN429" s="33"/>
      <c r="BO429" s="31"/>
      <c r="BP429" s="32"/>
      <c r="BQ429" s="33"/>
      <c r="BR429" s="33"/>
      <c r="BS429" s="33"/>
      <c r="BT429" s="33"/>
      <c r="BU429" s="33"/>
      <c r="BV429" s="33"/>
      <c r="BW429" s="33"/>
      <c r="BX429" s="33"/>
      <c r="BY429" s="33"/>
      <c r="BZ429" s="33"/>
      <c r="CA429" s="33"/>
      <c r="CB429" s="31"/>
      <c r="CC429" s="32"/>
      <c r="CD429" s="33"/>
      <c r="CE429" s="33"/>
      <c r="CF429" s="33"/>
      <c r="CG429" s="33"/>
      <c r="CH429" s="33"/>
      <c r="CI429" s="33"/>
      <c r="CJ429" s="33"/>
      <c r="CK429" s="33"/>
      <c r="CL429" s="33"/>
      <c r="CM429" s="33"/>
      <c r="CN429" s="33"/>
      <c r="CO429" s="31"/>
      <c r="CP429" s="32"/>
      <c r="CQ429" s="33"/>
      <c r="CR429" s="33"/>
      <c r="CS429" s="33"/>
      <c r="CT429" s="33"/>
      <c r="CU429" s="33"/>
      <c r="CV429" s="33"/>
      <c r="CW429" s="33"/>
      <c r="CX429" s="33"/>
      <c r="CY429" s="33"/>
      <c r="CZ429" s="33"/>
      <c r="DA429" s="33"/>
      <c r="DB429" s="31"/>
      <c r="DC429" s="32"/>
      <c r="DD429" s="33"/>
      <c r="DE429" s="33"/>
      <c r="DF429" s="33"/>
      <c r="DG429" s="33"/>
      <c r="DH429" s="33"/>
      <c r="DI429" s="33"/>
      <c r="DJ429" s="33"/>
      <c r="DK429" s="33"/>
      <c r="DL429" s="33"/>
      <c r="DM429" s="33"/>
      <c r="DN429" s="33"/>
      <c r="DO429" s="31"/>
      <c r="DP429" s="32"/>
      <c r="DQ429" s="33"/>
      <c r="DR429" s="33"/>
      <c r="DS429" s="33"/>
      <c r="DT429" s="33"/>
      <c r="DU429" s="33"/>
      <c r="DV429" s="33"/>
      <c r="DW429" s="33"/>
      <c r="DX429" s="33"/>
      <c r="DY429" s="33"/>
      <c r="DZ429" s="33"/>
      <c r="EA429" s="33"/>
      <c r="EB429" s="31"/>
      <c r="EC429" s="32"/>
      <c r="ED429" s="33"/>
      <c r="EE429" s="33"/>
      <c r="EF429" s="33"/>
      <c r="EG429" s="33"/>
      <c r="EH429" s="33"/>
      <c r="EI429" s="33"/>
      <c r="EJ429" s="33"/>
      <c r="EK429" s="33"/>
      <c r="EL429" s="33"/>
      <c r="EM429" s="33"/>
      <c r="EN429" s="33"/>
      <c r="EO429" s="31"/>
      <c r="EP429" s="32"/>
      <c r="EQ429" s="33"/>
      <c r="ER429" s="33"/>
      <c r="ES429" s="33"/>
      <c r="ET429" s="33"/>
      <c r="EU429" s="33"/>
      <c r="EV429" s="33"/>
      <c r="EW429" s="33"/>
      <c r="EX429" s="33"/>
      <c r="EY429" s="33"/>
      <c r="EZ429" s="33"/>
      <c r="FA429" s="33"/>
      <c r="FB429" s="31"/>
      <c r="FC429" s="32"/>
      <c r="FD429" s="33"/>
      <c r="FE429" s="33"/>
      <c r="FF429" s="33"/>
      <c r="FG429" s="33"/>
      <c r="FH429" s="33"/>
      <c r="FI429" s="33"/>
      <c r="FJ429" s="33"/>
      <c r="FK429" s="33"/>
      <c r="FL429" s="33"/>
      <c r="FM429" s="33"/>
      <c r="FN429" s="33"/>
      <c r="FO429" s="34">
        <f t="shared" ref="FO429:FV429" si="422">IFERROR(R429*1,0)+IFERROR(AE429*1,0)+IFERROR(AR429*1,0)+IFERROR(BE429*1,0)+IFERROR(BR429*1,0)+IFERROR(CE429*1,0)+IFERROR(CR429*1,0)+IFERROR(DE429*1,0)+IFERROR(DR429*1,0)+IFERROR(EE429*1,0)+IFERROR(ER429*1,0)+IFERROR(FE429*1,0)</f>
        <v>0</v>
      </c>
      <c r="FP429" s="34">
        <f t="shared" si="422"/>
        <v>0</v>
      </c>
      <c r="FQ429" s="34">
        <f t="shared" si="422"/>
        <v>0</v>
      </c>
      <c r="FR429" s="34">
        <f t="shared" si="422"/>
        <v>0</v>
      </c>
      <c r="FS429" s="34">
        <f t="shared" si="422"/>
        <v>0</v>
      </c>
      <c r="FT429" s="34">
        <f t="shared" si="422"/>
        <v>0</v>
      </c>
      <c r="FU429" s="34">
        <f t="shared" si="422"/>
        <v>0</v>
      </c>
      <c r="FV429" s="34">
        <f t="shared" si="422"/>
        <v>0</v>
      </c>
      <c r="FW429" s="28"/>
      <c r="FX429" s="29">
        <f t="shared" si="3"/>
        <v>0</v>
      </c>
    </row>
    <row r="430" spans="1:180" ht="18" customHeight="1" x14ac:dyDescent="0.25">
      <c r="A430" s="3" t="str">
        <f>IF(C430&lt;&gt;"","DRG-"&amp;TEXT(425,"000"),"")</f>
        <v/>
      </c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38">
        <v>4</v>
      </c>
      <c r="M430" s="23" t="str">
        <f t="shared" si="0"/>
        <v>✘ Pending</v>
      </c>
      <c r="N430" s="23">
        <f t="shared" si="1"/>
        <v>0</v>
      </c>
      <c r="O430" s="25"/>
      <c r="P430" s="26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  <c r="AB430" s="25"/>
      <c r="AC430" s="26"/>
      <c r="AD430" s="24"/>
      <c r="AE430" s="24"/>
      <c r="AF430" s="24"/>
      <c r="AG430" s="24"/>
      <c r="AH430" s="24"/>
      <c r="AI430" s="24"/>
      <c r="AJ430" s="24"/>
      <c r="AK430" s="24"/>
      <c r="AL430" s="24"/>
      <c r="AM430" s="24"/>
      <c r="AN430" s="24"/>
      <c r="AO430" s="25"/>
      <c r="AP430" s="26"/>
      <c r="AQ430" s="24"/>
      <c r="AR430" s="24"/>
      <c r="AS430" s="24"/>
      <c r="AT430" s="24"/>
      <c r="AU430" s="24"/>
      <c r="AV430" s="24"/>
      <c r="AW430" s="24"/>
      <c r="AX430" s="24"/>
      <c r="AY430" s="24"/>
      <c r="AZ430" s="24"/>
      <c r="BA430" s="24"/>
      <c r="BB430" s="25"/>
      <c r="BC430" s="26"/>
      <c r="BD430" s="24"/>
      <c r="BE430" s="24"/>
      <c r="BF430" s="24"/>
      <c r="BG430" s="24"/>
      <c r="BH430" s="24"/>
      <c r="BI430" s="24"/>
      <c r="BJ430" s="24"/>
      <c r="BK430" s="24"/>
      <c r="BL430" s="24"/>
      <c r="BM430" s="24"/>
      <c r="BN430" s="24"/>
      <c r="BO430" s="25"/>
      <c r="BP430" s="26"/>
      <c r="BQ430" s="24"/>
      <c r="BR430" s="24"/>
      <c r="BS430" s="24"/>
      <c r="BT430" s="24"/>
      <c r="BU430" s="24"/>
      <c r="BV430" s="24"/>
      <c r="BW430" s="24"/>
      <c r="BX430" s="24"/>
      <c r="BY430" s="24"/>
      <c r="BZ430" s="24"/>
      <c r="CA430" s="24"/>
      <c r="CB430" s="25"/>
      <c r="CC430" s="26"/>
      <c r="CD430" s="24"/>
      <c r="CE430" s="24"/>
      <c r="CF430" s="24"/>
      <c r="CG430" s="24"/>
      <c r="CH430" s="24"/>
      <c r="CI430" s="24"/>
      <c r="CJ430" s="24"/>
      <c r="CK430" s="24"/>
      <c r="CL430" s="24"/>
      <c r="CM430" s="24"/>
      <c r="CN430" s="24"/>
      <c r="CO430" s="25"/>
      <c r="CP430" s="26"/>
      <c r="CQ430" s="24"/>
      <c r="CR430" s="24"/>
      <c r="CS430" s="24"/>
      <c r="CT430" s="24"/>
      <c r="CU430" s="24"/>
      <c r="CV430" s="24"/>
      <c r="CW430" s="24"/>
      <c r="CX430" s="24"/>
      <c r="CY430" s="24"/>
      <c r="CZ430" s="24"/>
      <c r="DA430" s="24"/>
      <c r="DB430" s="25"/>
      <c r="DC430" s="26"/>
      <c r="DD430" s="24"/>
      <c r="DE430" s="24"/>
      <c r="DF430" s="24"/>
      <c r="DG430" s="24"/>
      <c r="DH430" s="24"/>
      <c r="DI430" s="24"/>
      <c r="DJ430" s="24"/>
      <c r="DK430" s="24"/>
      <c r="DL430" s="24"/>
      <c r="DM430" s="24"/>
      <c r="DN430" s="24"/>
      <c r="DO430" s="25"/>
      <c r="DP430" s="26"/>
      <c r="DQ430" s="24"/>
      <c r="DR430" s="24"/>
      <c r="DS430" s="24"/>
      <c r="DT430" s="24"/>
      <c r="DU430" s="24"/>
      <c r="DV430" s="24"/>
      <c r="DW430" s="24"/>
      <c r="DX430" s="24"/>
      <c r="DY430" s="24"/>
      <c r="DZ430" s="24"/>
      <c r="EA430" s="24"/>
      <c r="EB430" s="25"/>
      <c r="EC430" s="26"/>
      <c r="ED430" s="24"/>
      <c r="EE430" s="24"/>
      <c r="EF430" s="24"/>
      <c r="EG430" s="24"/>
      <c r="EH430" s="24"/>
      <c r="EI430" s="24"/>
      <c r="EJ430" s="24"/>
      <c r="EK430" s="24"/>
      <c r="EL430" s="24"/>
      <c r="EM430" s="24"/>
      <c r="EN430" s="24"/>
      <c r="EO430" s="25"/>
      <c r="EP430" s="26"/>
      <c r="EQ430" s="24"/>
      <c r="ER430" s="24"/>
      <c r="ES430" s="24"/>
      <c r="ET430" s="24"/>
      <c r="EU430" s="24"/>
      <c r="EV430" s="24"/>
      <c r="EW430" s="24"/>
      <c r="EX430" s="24"/>
      <c r="EY430" s="24"/>
      <c r="EZ430" s="24"/>
      <c r="FA430" s="24"/>
      <c r="FB430" s="25"/>
      <c r="FC430" s="26"/>
      <c r="FD430" s="24"/>
      <c r="FE430" s="24"/>
      <c r="FF430" s="24"/>
      <c r="FG430" s="24"/>
      <c r="FH430" s="24"/>
      <c r="FI430" s="24"/>
      <c r="FJ430" s="24"/>
      <c r="FK430" s="24"/>
      <c r="FL430" s="24"/>
      <c r="FM430" s="24"/>
      <c r="FN430" s="24"/>
      <c r="FO430" s="27">
        <f t="shared" ref="FO430:FV430" si="423">IFERROR(R430*1,0)+IFERROR(AE430*1,0)+IFERROR(AR430*1,0)+IFERROR(BE430*1,0)+IFERROR(BR430*1,0)+IFERROR(CE430*1,0)+IFERROR(CR430*1,0)+IFERROR(DE430*1,0)+IFERROR(DR430*1,0)+IFERROR(EE430*1,0)+IFERROR(ER430*1,0)+IFERROR(FE430*1,0)</f>
        <v>0</v>
      </c>
      <c r="FP430" s="27">
        <f t="shared" si="423"/>
        <v>0</v>
      </c>
      <c r="FQ430" s="27">
        <f t="shared" si="423"/>
        <v>0</v>
      </c>
      <c r="FR430" s="27">
        <f t="shared" si="423"/>
        <v>0</v>
      </c>
      <c r="FS430" s="27">
        <f t="shared" si="423"/>
        <v>0</v>
      </c>
      <c r="FT430" s="27">
        <f t="shared" si="423"/>
        <v>0</v>
      </c>
      <c r="FU430" s="27">
        <f t="shared" si="423"/>
        <v>0</v>
      </c>
      <c r="FV430" s="27">
        <f t="shared" si="423"/>
        <v>0</v>
      </c>
      <c r="FW430" s="28"/>
      <c r="FX430" s="29">
        <f t="shared" si="3"/>
        <v>0</v>
      </c>
    </row>
    <row r="431" spans="1:180" ht="18" customHeight="1" x14ac:dyDescent="0.25">
      <c r="A431" s="3" t="str">
        <f>IF(C431&lt;&gt;"","DRG-"&amp;TEXT(426,"000"),"")</f>
        <v/>
      </c>
      <c r="B431" s="33"/>
      <c r="C431" s="33"/>
      <c r="D431" s="33"/>
      <c r="E431" s="33"/>
      <c r="F431" s="33"/>
      <c r="G431" s="33"/>
      <c r="H431" s="33"/>
      <c r="I431" s="33"/>
      <c r="J431" s="33"/>
      <c r="K431" s="33"/>
      <c r="L431" s="37">
        <v>4</v>
      </c>
      <c r="M431" s="30" t="str">
        <f t="shared" si="0"/>
        <v>✘ Pending</v>
      </c>
      <c r="N431" s="30">
        <f t="shared" si="1"/>
        <v>0</v>
      </c>
      <c r="O431" s="31"/>
      <c r="P431" s="32"/>
      <c r="Q431" s="33"/>
      <c r="R431" s="33"/>
      <c r="S431" s="33"/>
      <c r="T431" s="33"/>
      <c r="U431" s="33"/>
      <c r="V431" s="33"/>
      <c r="W431" s="33"/>
      <c r="X431" s="33"/>
      <c r="Y431" s="33"/>
      <c r="Z431" s="33"/>
      <c r="AA431" s="33"/>
      <c r="AB431" s="31"/>
      <c r="AC431" s="32"/>
      <c r="AD431" s="33"/>
      <c r="AE431" s="33"/>
      <c r="AF431" s="33"/>
      <c r="AG431" s="33"/>
      <c r="AH431" s="33"/>
      <c r="AI431" s="33"/>
      <c r="AJ431" s="33"/>
      <c r="AK431" s="33"/>
      <c r="AL431" s="33"/>
      <c r="AM431" s="33"/>
      <c r="AN431" s="33"/>
      <c r="AO431" s="31"/>
      <c r="AP431" s="32"/>
      <c r="AQ431" s="33"/>
      <c r="AR431" s="33"/>
      <c r="AS431" s="33"/>
      <c r="AT431" s="33"/>
      <c r="AU431" s="33"/>
      <c r="AV431" s="33"/>
      <c r="AW431" s="33"/>
      <c r="AX431" s="33"/>
      <c r="AY431" s="33"/>
      <c r="AZ431" s="33"/>
      <c r="BA431" s="33"/>
      <c r="BB431" s="31"/>
      <c r="BC431" s="32"/>
      <c r="BD431" s="33"/>
      <c r="BE431" s="33"/>
      <c r="BF431" s="33"/>
      <c r="BG431" s="33"/>
      <c r="BH431" s="33"/>
      <c r="BI431" s="33"/>
      <c r="BJ431" s="33"/>
      <c r="BK431" s="33"/>
      <c r="BL431" s="33"/>
      <c r="BM431" s="33"/>
      <c r="BN431" s="33"/>
      <c r="BO431" s="31"/>
      <c r="BP431" s="32"/>
      <c r="BQ431" s="33"/>
      <c r="BR431" s="33"/>
      <c r="BS431" s="33"/>
      <c r="BT431" s="33"/>
      <c r="BU431" s="33"/>
      <c r="BV431" s="33"/>
      <c r="BW431" s="33"/>
      <c r="BX431" s="33"/>
      <c r="BY431" s="33"/>
      <c r="BZ431" s="33"/>
      <c r="CA431" s="33"/>
      <c r="CB431" s="31"/>
      <c r="CC431" s="32"/>
      <c r="CD431" s="33"/>
      <c r="CE431" s="33"/>
      <c r="CF431" s="33"/>
      <c r="CG431" s="33"/>
      <c r="CH431" s="33"/>
      <c r="CI431" s="33"/>
      <c r="CJ431" s="33"/>
      <c r="CK431" s="33"/>
      <c r="CL431" s="33"/>
      <c r="CM431" s="33"/>
      <c r="CN431" s="33"/>
      <c r="CO431" s="31"/>
      <c r="CP431" s="32"/>
      <c r="CQ431" s="33"/>
      <c r="CR431" s="33"/>
      <c r="CS431" s="33"/>
      <c r="CT431" s="33"/>
      <c r="CU431" s="33"/>
      <c r="CV431" s="33"/>
      <c r="CW431" s="33"/>
      <c r="CX431" s="33"/>
      <c r="CY431" s="33"/>
      <c r="CZ431" s="33"/>
      <c r="DA431" s="33"/>
      <c r="DB431" s="31"/>
      <c r="DC431" s="32"/>
      <c r="DD431" s="33"/>
      <c r="DE431" s="33"/>
      <c r="DF431" s="33"/>
      <c r="DG431" s="33"/>
      <c r="DH431" s="33"/>
      <c r="DI431" s="33"/>
      <c r="DJ431" s="33"/>
      <c r="DK431" s="33"/>
      <c r="DL431" s="33"/>
      <c r="DM431" s="33"/>
      <c r="DN431" s="33"/>
      <c r="DO431" s="31"/>
      <c r="DP431" s="32"/>
      <c r="DQ431" s="33"/>
      <c r="DR431" s="33"/>
      <c r="DS431" s="33"/>
      <c r="DT431" s="33"/>
      <c r="DU431" s="33"/>
      <c r="DV431" s="33"/>
      <c r="DW431" s="33"/>
      <c r="DX431" s="33"/>
      <c r="DY431" s="33"/>
      <c r="DZ431" s="33"/>
      <c r="EA431" s="33"/>
      <c r="EB431" s="31"/>
      <c r="EC431" s="32"/>
      <c r="ED431" s="33"/>
      <c r="EE431" s="33"/>
      <c r="EF431" s="33"/>
      <c r="EG431" s="33"/>
      <c r="EH431" s="33"/>
      <c r="EI431" s="33"/>
      <c r="EJ431" s="33"/>
      <c r="EK431" s="33"/>
      <c r="EL431" s="33"/>
      <c r="EM431" s="33"/>
      <c r="EN431" s="33"/>
      <c r="EO431" s="31"/>
      <c r="EP431" s="32"/>
      <c r="EQ431" s="33"/>
      <c r="ER431" s="33"/>
      <c r="ES431" s="33"/>
      <c r="ET431" s="33"/>
      <c r="EU431" s="33"/>
      <c r="EV431" s="33"/>
      <c r="EW431" s="33"/>
      <c r="EX431" s="33"/>
      <c r="EY431" s="33"/>
      <c r="EZ431" s="33"/>
      <c r="FA431" s="33"/>
      <c r="FB431" s="31"/>
      <c r="FC431" s="32"/>
      <c r="FD431" s="33"/>
      <c r="FE431" s="33"/>
      <c r="FF431" s="33"/>
      <c r="FG431" s="33"/>
      <c r="FH431" s="33"/>
      <c r="FI431" s="33"/>
      <c r="FJ431" s="33"/>
      <c r="FK431" s="33"/>
      <c r="FL431" s="33"/>
      <c r="FM431" s="33"/>
      <c r="FN431" s="33"/>
      <c r="FO431" s="34">
        <f t="shared" ref="FO431:FV431" si="424">IFERROR(R431*1,0)+IFERROR(AE431*1,0)+IFERROR(AR431*1,0)+IFERROR(BE431*1,0)+IFERROR(BR431*1,0)+IFERROR(CE431*1,0)+IFERROR(CR431*1,0)+IFERROR(DE431*1,0)+IFERROR(DR431*1,0)+IFERROR(EE431*1,0)+IFERROR(ER431*1,0)+IFERROR(FE431*1,0)</f>
        <v>0</v>
      </c>
      <c r="FP431" s="34">
        <f t="shared" si="424"/>
        <v>0</v>
      </c>
      <c r="FQ431" s="34">
        <f t="shared" si="424"/>
        <v>0</v>
      </c>
      <c r="FR431" s="34">
        <f t="shared" si="424"/>
        <v>0</v>
      </c>
      <c r="FS431" s="34">
        <f t="shared" si="424"/>
        <v>0</v>
      </c>
      <c r="FT431" s="34">
        <f t="shared" si="424"/>
        <v>0</v>
      </c>
      <c r="FU431" s="34">
        <f t="shared" si="424"/>
        <v>0</v>
      </c>
      <c r="FV431" s="34">
        <f t="shared" si="424"/>
        <v>0</v>
      </c>
      <c r="FW431" s="28"/>
      <c r="FX431" s="29">
        <f t="shared" si="3"/>
        <v>0</v>
      </c>
    </row>
    <row r="432" spans="1:180" ht="18" customHeight="1" x14ac:dyDescent="0.25">
      <c r="A432" s="3" t="str">
        <f>IF(C432&lt;&gt;"","DRG-"&amp;TEXT(427,"000"),"")</f>
        <v/>
      </c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38">
        <v>4</v>
      </c>
      <c r="M432" s="23" t="str">
        <f t="shared" si="0"/>
        <v>✘ Pending</v>
      </c>
      <c r="N432" s="23">
        <f t="shared" si="1"/>
        <v>0</v>
      </c>
      <c r="O432" s="25"/>
      <c r="P432" s="26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  <c r="AB432" s="25"/>
      <c r="AC432" s="26"/>
      <c r="AD432" s="24"/>
      <c r="AE432" s="24"/>
      <c r="AF432" s="24"/>
      <c r="AG432" s="24"/>
      <c r="AH432" s="24"/>
      <c r="AI432" s="24"/>
      <c r="AJ432" s="24"/>
      <c r="AK432" s="24"/>
      <c r="AL432" s="24"/>
      <c r="AM432" s="24"/>
      <c r="AN432" s="24"/>
      <c r="AO432" s="25"/>
      <c r="AP432" s="26"/>
      <c r="AQ432" s="24"/>
      <c r="AR432" s="24"/>
      <c r="AS432" s="24"/>
      <c r="AT432" s="24"/>
      <c r="AU432" s="24"/>
      <c r="AV432" s="24"/>
      <c r="AW432" s="24"/>
      <c r="AX432" s="24"/>
      <c r="AY432" s="24"/>
      <c r="AZ432" s="24"/>
      <c r="BA432" s="24"/>
      <c r="BB432" s="25"/>
      <c r="BC432" s="26"/>
      <c r="BD432" s="24"/>
      <c r="BE432" s="24"/>
      <c r="BF432" s="24"/>
      <c r="BG432" s="24"/>
      <c r="BH432" s="24"/>
      <c r="BI432" s="24"/>
      <c r="BJ432" s="24"/>
      <c r="BK432" s="24"/>
      <c r="BL432" s="24"/>
      <c r="BM432" s="24"/>
      <c r="BN432" s="24"/>
      <c r="BO432" s="25"/>
      <c r="BP432" s="26"/>
      <c r="BQ432" s="24"/>
      <c r="BR432" s="24"/>
      <c r="BS432" s="24"/>
      <c r="BT432" s="24"/>
      <c r="BU432" s="24"/>
      <c r="BV432" s="24"/>
      <c r="BW432" s="24"/>
      <c r="BX432" s="24"/>
      <c r="BY432" s="24"/>
      <c r="BZ432" s="24"/>
      <c r="CA432" s="24"/>
      <c r="CB432" s="25"/>
      <c r="CC432" s="26"/>
      <c r="CD432" s="24"/>
      <c r="CE432" s="24"/>
      <c r="CF432" s="24"/>
      <c r="CG432" s="24"/>
      <c r="CH432" s="24"/>
      <c r="CI432" s="24"/>
      <c r="CJ432" s="24"/>
      <c r="CK432" s="24"/>
      <c r="CL432" s="24"/>
      <c r="CM432" s="24"/>
      <c r="CN432" s="24"/>
      <c r="CO432" s="25"/>
      <c r="CP432" s="26"/>
      <c r="CQ432" s="24"/>
      <c r="CR432" s="24"/>
      <c r="CS432" s="24"/>
      <c r="CT432" s="24"/>
      <c r="CU432" s="24"/>
      <c r="CV432" s="24"/>
      <c r="CW432" s="24"/>
      <c r="CX432" s="24"/>
      <c r="CY432" s="24"/>
      <c r="CZ432" s="24"/>
      <c r="DA432" s="24"/>
      <c r="DB432" s="25"/>
      <c r="DC432" s="26"/>
      <c r="DD432" s="24"/>
      <c r="DE432" s="24"/>
      <c r="DF432" s="24"/>
      <c r="DG432" s="24"/>
      <c r="DH432" s="24"/>
      <c r="DI432" s="24"/>
      <c r="DJ432" s="24"/>
      <c r="DK432" s="24"/>
      <c r="DL432" s="24"/>
      <c r="DM432" s="24"/>
      <c r="DN432" s="24"/>
      <c r="DO432" s="25"/>
      <c r="DP432" s="26"/>
      <c r="DQ432" s="24"/>
      <c r="DR432" s="24"/>
      <c r="DS432" s="24"/>
      <c r="DT432" s="24"/>
      <c r="DU432" s="24"/>
      <c r="DV432" s="24"/>
      <c r="DW432" s="24"/>
      <c r="DX432" s="24"/>
      <c r="DY432" s="24"/>
      <c r="DZ432" s="24"/>
      <c r="EA432" s="24"/>
      <c r="EB432" s="25"/>
      <c r="EC432" s="26"/>
      <c r="ED432" s="24"/>
      <c r="EE432" s="24"/>
      <c r="EF432" s="24"/>
      <c r="EG432" s="24"/>
      <c r="EH432" s="24"/>
      <c r="EI432" s="24"/>
      <c r="EJ432" s="24"/>
      <c r="EK432" s="24"/>
      <c r="EL432" s="24"/>
      <c r="EM432" s="24"/>
      <c r="EN432" s="24"/>
      <c r="EO432" s="25"/>
      <c r="EP432" s="26"/>
      <c r="EQ432" s="24"/>
      <c r="ER432" s="24"/>
      <c r="ES432" s="24"/>
      <c r="ET432" s="24"/>
      <c r="EU432" s="24"/>
      <c r="EV432" s="24"/>
      <c r="EW432" s="24"/>
      <c r="EX432" s="24"/>
      <c r="EY432" s="24"/>
      <c r="EZ432" s="24"/>
      <c r="FA432" s="24"/>
      <c r="FB432" s="25"/>
      <c r="FC432" s="26"/>
      <c r="FD432" s="24"/>
      <c r="FE432" s="24"/>
      <c r="FF432" s="24"/>
      <c r="FG432" s="24"/>
      <c r="FH432" s="24"/>
      <c r="FI432" s="24"/>
      <c r="FJ432" s="24"/>
      <c r="FK432" s="24"/>
      <c r="FL432" s="24"/>
      <c r="FM432" s="24"/>
      <c r="FN432" s="24"/>
      <c r="FO432" s="27">
        <f t="shared" ref="FO432:FV432" si="425">IFERROR(R432*1,0)+IFERROR(AE432*1,0)+IFERROR(AR432*1,0)+IFERROR(BE432*1,0)+IFERROR(BR432*1,0)+IFERROR(CE432*1,0)+IFERROR(CR432*1,0)+IFERROR(DE432*1,0)+IFERROR(DR432*1,0)+IFERROR(EE432*1,0)+IFERROR(ER432*1,0)+IFERROR(FE432*1,0)</f>
        <v>0</v>
      </c>
      <c r="FP432" s="27">
        <f t="shared" si="425"/>
        <v>0</v>
      </c>
      <c r="FQ432" s="27">
        <f t="shared" si="425"/>
        <v>0</v>
      </c>
      <c r="FR432" s="27">
        <f t="shared" si="425"/>
        <v>0</v>
      </c>
      <c r="FS432" s="27">
        <f t="shared" si="425"/>
        <v>0</v>
      </c>
      <c r="FT432" s="27">
        <f t="shared" si="425"/>
        <v>0</v>
      </c>
      <c r="FU432" s="27">
        <f t="shared" si="425"/>
        <v>0</v>
      </c>
      <c r="FV432" s="27">
        <f t="shared" si="425"/>
        <v>0</v>
      </c>
      <c r="FW432" s="28"/>
      <c r="FX432" s="29">
        <f t="shared" si="3"/>
        <v>0</v>
      </c>
    </row>
    <row r="433" spans="1:180" ht="18" customHeight="1" x14ac:dyDescent="0.25">
      <c r="A433" s="3" t="str">
        <f>IF(C433&lt;&gt;"","DRG-"&amp;TEXT(428,"000"),"")</f>
        <v/>
      </c>
      <c r="B433" s="33"/>
      <c r="C433" s="33"/>
      <c r="D433" s="33"/>
      <c r="E433" s="33"/>
      <c r="F433" s="33"/>
      <c r="G433" s="33"/>
      <c r="H433" s="33"/>
      <c r="I433" s="33"/>
      <c r="J433" s="33"/>
      <c r="K433" s="33"/>
      <c r="L433" s="37">
        <v>4</v>
      </c>
      <c r="M433" s="30" t="str">
        <f t="shared" si="0"/>
        <v>✘ Pending</v>
      </c>
      <c r="N433" s="30">
        <f t="shared" si="1"/>
        <v>0</v>
      </c>
      <c r="O433" s="31"/>
      <c r="P433" s="32"/>
      <c r="Q433" s="33"/>
      <c r="R433" s="33"/>
      <c r="S433" s="33"/>
      <c r="T433" s="33"/>
      <c r="U433" s="33"/>
      <c r="V433" s="33"/>
      <c r="W433" s="33"/>
      <c r="X433" s="33"/>
      <c r="Y433" s="33"/>
      <c r="Z433" s="33"/>
      <c r="AA433" s="33"/>
      <c r="AB433" s="31"/>
      <c r="AC433" s="32"/>
      <c r="AD433" s="33"/>
      <c r="AE433" s="33"/>
      <c r="AF433" s="33"/>
      <c r="AG433" s="33"/>
      <c r="AH433" s="33"/>
      <c r="AI433" s="33"/>
      <c r="AJ433" s="33"/>
      <c r="AK433" s="33"/>
      <c r="AL433" s="33"/>
      <c r="AM433" s="33"/>
      <c r="AN433" s="33"/>
      <c r="AO433" s="31"/>
      <c r="AP433" s="32"/>
      <c r="AQ433" s="33"/>
      <c r="AR433" s="33"/>
      <c r="AS433" s="33"/>
      <c r="AT433" s="33"/>
      <c r="AU433" s="33"/>
      <c r="AV433" s="33"/>
      <c r="AW433" s="33"/>
      <c r="AX433" s="33"/>
      <c r="AY433" s="33"/>
      <c r="AZ433" s="33"/>
      <c r="BA433" s="33"/>
      <c r="BB433" s="31"/>
      <c r="BC433" s="32"/>
      <c r="BD433" s="33"/>
      <c r="BE433" s="33"/>
      <c r="BF433" s="33"/>
      <c r="BG433" s="33"/>
      <c r="BH433" s="33"/>
      <c r="BI433" s="33"/>
      <c r="BJ433" s="33"/>
      <c r="BK433" s="33"/>
      <c r="BL433" s="33"/>
      <c r="BM433" s="33"/>
      <c r="BN433" s="33"/>
      <c r="BO433" s="31"/>
      <c r="BP433" s="32"/>
      <c r="BQ433" s="33"/>
      <c r="BR433" s="33"/>
      <c r="BS433" s="33"/>
      <c r="BT433" s="33"/>
      <c r="BU433" s="33"/>
      <c r="BV433" s="33"/>
      <c r="BW433" s="33"/>
      <c r="BX433" s="33"/>
      <c r="BY433" s="33"/>
      <c r="BZ433" s="33"/>
      <c r="CA433" s="33"/>
      <c r="CB433" s="31"/>
      <c r="CC433" s="32"/>
      <c r="CD433" s="33"/>
      <c r="CE433" s="33"/>
      <c r="CF433" s="33"/>
      <c r="CG433" s="33"/>
      <c r="CH433" s="33"/>
      <c r="CI433" s="33"/>
      <c r="CJ433" s="33"/>
      <c r="CK433" s="33"/>
      <c r="CL433" s="33"/>
      <c r="CM433" s="33"/>
      <c r="CN433" s="33"/>
      <c r="CO433" s="31"/>
      <c r="CP433" s="32"/>
      <c r="CQ433" s="33"/>
      <c r="CR433" s="33"/>
      <c r="CS433" s="33"/>
      <c r="CT433" s="33"/>
      <c r="CU433" s="33"/>
      <c r="CV433" s="33"/>
      <c r="CW433" s="33"/>
      <c r="CX433" s="33"/>
      <c r="CY433" s="33"/>
      <c r="CZ433" s="33"/>
      <c r="DA433" s="33"/>
      <c r="DB433" s="31"/>
      <c r="DC433" s="32"/>
      <c r="DD433" s="33"/>
      <c r="DE433" s="33"/>
      <c r="DF433" s="33"/>
      <c r="DG433" s="33"/>
      <c r="DH433" s="33"/>
      <c r="DI433" s="33"/>
      <c r="DJ433" s="33"/>
      <c r="DK433" s="33"/>
      <c r="DL433" s="33"/>
      <c r="DM433" s="33"/>
      <c r="DN433" s="33"/>
      <c r="DO433" s="31"/>
      <c r="DP433" s="32"/>
      <c r="DQ433" s="33"/>
      <c r="DR433" s="33"/>
      <c r="DS433" s="33"/>
      <c r="DT433" s="33"/>
      <c r="DU433" s="33"/>
      <c r="DV433" s="33"/>
      <c r="DW433" s="33"/>
      <c r="DX433" s="33"/>
      <c r="DY433" s="33"/>
      <c r="DZ433" s="33"/>
      <c r="EA433" s="33"/>
      <c r="EB433" s="31"/>
      <c r="EC433" s="32"/>
      <c r="ED433" s="33"/>
      <c r="EE433" s="33"/>
      <c r="EF433" s="33"/>
      <c r="EG433" s="33"/>
      <c r="EH433" s="33"/>
      <c r="EI433" s="33"/>
      <c r="EJ433" s="33"/>
      <c r="EK433" s="33"/>
      <c r="EL433" s="33"/>
      <c r="EM433" s="33"/>
      <c r="EN433" s="33"/>
      <c r="EO433" s="31"/>
      <c r="EP433" s="32"/>
      <c r="EQ433" s="33"/>
      <c r="ER433" s="33"/>
      <c r="ES433" s="33"/>
      <c r="ET433" s="33"/>
      <c r="EU433" s="33"/>
      <c r="EV433" s="33"/>
      <c r="EW433" s="33"/>
      <c r="EX433" s="33"/>
      <c r="EY433" s="33"/>
      <c r="EZ433" s="33"/>
      <c r="FA433" s="33"/>
      <c r="FB433" s="31"/>
      <c r="FC433" s="32"/>
      <c r="FD433" s="33"/>
      <c r="FE433" s="33"/>
      <c r="FF433" s="33"/>
      <c r="FG433" s="33"/>
      <c r="FH433" s="33"/>
      <c r="FI433" s="33"/>
      <c r="FJ433" s="33"/>
      <c r="FK433" s="33"/>
      <c r="FL433" s="33"/>
      <c r="FM433" s="33"/>
      <c r="FN433" s="33"/>
      <c r="FO433" s="34">
        <f t="shared" ref="FO433:FV433" si="426">IFERROR(R433*1,0)+IFERROR(AE433*1,0)+IFERROR(AR433*1,0)+IFERROR(BE433*1,0)+IFERROR(BR433*1,0)+IFERROR(CE433*1,0)+IFERROR(CR433*1,0)+IFERROR(DE433*1,0)+IFERROR(DR433*1,0)+IFERROR(EE433*1,0)+IFERROR(ER433*1,0)+IFERROR(FE433*1,0)</f>
        <v>0</v>
      </c>
      <c r="FP433" s="34">
        <f t="shared" si="426"/>
        <v>0</v>
      </c>
      <c r="FQ433" s="34">
        <f t="shared" si="426"/>
        <v>0</v>
      </c>
      <c r="FR433" s="34">
        <f t="shared" si="426"/>
        <v>0</v>
      </c>
      <c r="FS433" s="34">
        <f t="shared" si="426"/>
        <v>0</v>
      </c>
      <c r="FT433" s="34">
        <f t="shared" si="426"/>
        <v>0</v>
      </c>
      <c r="FU433" s="34">
        <f t="shared" si="426"/>
        <v>0</v>
      </c>
      <c r="FV433" s="34">
        <f t="shared" si="426"/>
        <v>0</v>
      </c>
      <c r="FW433" s="28"/>
      <c r="FX433" s="29">
        <f t="shared" si="3"/>
        <v>0</v>
      </c>
    </row>
    <row r="434" spans="1:180" ht="18" customHeight="1" x14ac:dyDescent="0.25">
      <c r="A434" s="3" t="str">
        <f>IF(C434&lt;&gt;"","DRG-"&amp;TEXT(429,"000"),"")</f>
        <v/>
      </c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38">
        <v>4</v>
      </c>
      <c r="M434" s="23" t="str">
        <f t="shared" si="0"/>
        <v>✘ Pending</v>
      </c>
      <c r="N434" s="23">
        <f t="shared" si="1"/>
        <v>0</v>
      </c>
      <c r="O434" s="25"/>
      <c r="P434" s="26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  <c r="AB434" s="25"/>
      <c r="AC434" s="26"/>
      <c r="AD434" s="24"/>
      <c r="AE434" s="24"/>
      <c r="AF434" s="24"/>
      <c r="AG434" s="24"/>
      <c r="AH434" s="24"/>
      <c r="AI434" s="24"/>
      <c r="AJ434" s="24"/>
      <c r="AK434" s="24"/>
      <c r="AL434" s="24"/>
      <c r="AM434" s="24"/>
      <c r="AN434" s="24"/>
      <c r="AO434" s="25"/>
      <c r="AP434" s="26"/>
      <c r="AQ434" s="24"/>
      <c r="AR434" s="24"/>
      <c r="AS434" s="24"/>
      <c r="AT434" s="24"/>
      <c r="AU434" s="24"/>
      <c r="AV434" s="24"/>
      <c r="AW434" s="24"/>
      <c r="AX434" s="24"/>
      <c r="AY434" s="24"/>
      <c r="AZ434" s="24"/>
      <c r="BA434" s="24"/>
      <c r="BB434" s="25"/>
      <c r="BC434" s="26"/>
      <c r="BD434" s="24"/>
      <c r="BE434" s="24"/>
      <c r="BF434" s="24"/>
      <c r="BG434" s="24"/>
      <c r="BH434" s="24"/>
      <c r="BI434" s="24"/>
      <c r="BJ434" s="24"/>
      <c r="BK434" s="24"/>
      <c r="BL434" s="24"/>
      <c r="BM434" s="24"/>
      <c r="BN434" s="24"/>
      <c r="BO434" s="25"/>
      <c r="BP434" s="26"/>
      <c r="BQ434" s="24"/>
      <c r="BR434" s="24"/>
      <c r="BS434" s="24"/>
      <c r="BT434" s="24"/>
      <c r="BU434" s="24"/>
      <c r="BV434" s="24"/>
      <c r="BW434" s="24"/>
      <c r="BX434" s="24"/>
      <c r="BY434" s="24"/>
      <c r="BZ434" s="24"/>
      <c r="CA434" s="24"/>
      <c r="CB434" s="25"/>
      <c r="CC434" s="26"/>
      <c r="CD434" s="24"/>
      <c r="CE434" s="24"/>
      <c r="CF434" s="24"/>
      <c r="CG434" s="24"/>
      <c r="CH434" s="24"/>
      <c r="CI434" s="24"/>
      <c r="CJ434" s="24"/>
      <c r="CK434" s="24"/>
      <c r="CL434" s="24"/>
      <c r="CM434" s="24"/>
      <c r="CN434" s="24"/>
      <c r="CO434" s="25"/>
      <c r="CP434" s="26"/>
      <c r="CQ434" s="24"/>
      <c r="CR434" s="24"/>
      <c r="CS434" s="24"/>
      <c r="CT434" s="24"/>
      <c r="CU434" s="24"/>
      <c r="CV434" s="24"/>
      <c r="CW434" s="24"/>
      <c r="CX434" s="24"/>
      <c r="CY434" s="24"/>
      <c r="CZ434" s="24"/>
      <c r="DA434" s="24"/>
      <c r="DB434" s="25"/>
      <c r="DC434" s="26"/>
      <c r="DD434" s="24"/>
      <c r="DE434" s="24"/>
      <c r="DF434" s="24"/>
      <c r="DG434" s="24"/>
      <c r="DH434" s="24"/>
      <c r="DI434" s="24"/>
      <c r="DJ434" s="24"/>
      <c r="DK434" s="24"/>
      <c r="DL434" s="24"/>
      <c r="DM434" s="24"/>
      <c r="DN434" s="24"/>
      <c r="DO434" s="25"/>
      <c r="DP434" s="26"/>
      <c r="DQ434" s="24"/>
      <c r="DR434" s="24"/>
      <c r="DS434" s="24"/>
      <c r="DT434" s="24"/>
      <c r="DU434" s="24"/>
      <c r="DV434" s="24"/>
      <c r="DW434" s="24"/>
      <c r="DX434" s="24"/>
      <c r="DY434" s="24"/>
      <c r="DZ434" s="24"/>
      <c r="EA434" s="24"/>
      <c r="EB434" s="25"/>
      <c r="EC434" s="26"/>
      <c r="ED434" s="24"/>
      <c r="EE434" s="24"/>
      <c r="EF434" s="24"/>
      <c r="EG434" s="24"/>
      <c r="EH434" s="24"/>
      <c r="EI434" s="24"/>
      <c r="EJ434" s="24"/>
      <c r="EK434" s="24"/>
      <c r="EL434" s="24"/>
      <c r="EM434" s="24"/>
      <c r="EN434" s="24"/>
      <c r="EO434" s="25"/>
      <c r="EP434" s="26"/>
      <c r="EQ434" s="24"/>
      <c r="ER434" s="24"/>
      <c r="ES434" s="24"/>
      <c r="ET434" s="24"/>
      <c r="EU434" s="24"/>
      <c r="EV434" s="24"/>
      <c r="EW434" s="24"/>
      <c r="EX434" s="24"/>
      <c r="EY434" s="24"/>
      <c r="EZ434" s="24"/>
      <c r="FA434" s="24"/>
      <c r="FB434" s="25"/>
      <c r="FC434" s="26"/>
      <c r="FD434" s="24"/>
      <c r="FE434" s="24"/>
      <c r="FF434" s="24"/>
      <c r="FG434" s="24"/>
      <c r="FH434" s="24"/>
      <c r="FI434" s="24"/>
      <c r="FJ434" s="24"/>
      <c r="FK434" s="24"/>
      <c r="FL434" s="24"/>
      <c r="FM434" s="24"/>
      <c r="FN434" s="24"/>
      <c r="FO434" s="27">
        <f t="shared" ref="FO434:FV434" si="427">IFERROR(R434*1,0)+IFERROR(AE434*1,0)+IFERROR(AR434*1,0)+IFERROR(BE434*1,0)+IFERROR(BR434*1,0)+IFERROR(CE434*1,0)+IFERROR(CR434*1,0)+IFERROR(DE434*1,0)+IFERROR(DR434*1,0)+IFERROR(EE434*1,0)+IFERROR(ER434*1,0)+IFERROR(FE434*1,0)</f>
        <v>0</v>
      </c>
      <c r="FP434" s="27">
        <f t="shared" si="427"/>
        <v>0</v>
      </c>
      <c r="FQ434" s="27">
        <f t="shared" si="427"/>
        <v>0</v>
      </c>
      <c r="FR434" s="27">
        <f t="shared" si="427"/>
        <v>0</v>
      </c>
      <c r="FS434" s="27">
        <f t="shared" si="427"/>
        <v>0</v>
      </c>
      <c r="FT434" s="27">
        <f t="shared" si="427"/>
        <v>0</v>
      </c>
      <c r="FU434" s="27">
        <f t="shared" si="427"/>
        <v>0</v>
      </c>
      <c r="FV434" s="27">
        <f t="shared" si="427"/>
        <v>0</v>
      </c>
      <c r="FW434" s="28"/>
      <c r="FX434" s="29">
        <f t="shared" si="3"/>
        <v>0</v>
      </c>
    </row>
    <row r="435" spans="1:180" ht="18" customHeight="1" x14ac:dyDescent="0.25">
      <c r="A435" s="3" t="str">
        <f>IF(C435&lt;&gt;"","DRG-"&amp;TEXT(430,"000"),"")</f>
        <v/>
      </c>
      <c r="B435" s="33"/>
      <c r="C435" s="33"/>
      <c r="D435" s="33"/>
      <c r="E435" s="33"/>
      <c r="F435" s="33"/>
      <c r="G435" s="33"/>
      <c r="H435" s="33"/>
      <c r="I435" s="33"/>
      <c r="J435" s="33"/>
      <c r="K435" s="33"/>
      <c r="L435" s="37">
        <v>4</v>
      </c>
      <c r="M435" s="30" t="str">
        <f t="shared" si="0"/>
        <v>✘ Pending</v>
      </c>
      <c r="N435" s="30">
        <f t="shared" si="1"/>
        <v>0</v>
      </c>
      <c r="O435" s="31"/>
      <c r="P435" s="32"/>
      <c r="Q435" s="33"/>
      <c r="R435" s="33"/>
      <c r="S435" s="33"/>
      <c r="T435" s="33"/>
      <c r="U435" s="33"/>
      <c r="V435" s="33"/>
      <c r="W435" s="33"/>
      <c r="X435" s="33"/>
      <c r="Y435" s="33"/>
      <c r="Z435" s="33"/>
      <c r="AA435" s="33"/>
      <c r="AB435" s="31"/>
      <c r="AC435" s="32"/>
      <c r="AD435" s="33"/>
      <c r="AE435" s="33"/>
      <c r="AF435" s="33"/>
      <c r="AG435" s="33"/>
      <c r="AH435" s="33"/>
      <c r="AI435" s="33"/>
      <c r="AJ435" s="33"/>
      <c r="AK435" s="33"/>
      <c r="AL435" s="33"/>
      <c r="AM435" s="33"/>
      <c r="AN435" s="33"/>
      <c r="AO435" s="31"/>
      <c r="AP435" s="32"/>
      <c r="AQ435" s="33"/>
      <c r="AR435" s="33"/>
      <c r="AS435" s="33"/>
      <c r="AT435" s="33"/>
      <c r="AU435" s="33"/>
      <c r="AV435" s="33"/>
      <c r="AW435" s="33"/>
      <c r="AX435" s="33"/>
      <c r="AY435" s="33"/>
      <c r="AZ435" s="33"/>
      <c r="BA435" s="33"/>
      <c r="BB435" s="31"/>
      <c r="BC435" s="32"/>
      <c r="BD435" s="33"/>
      <c r="BE435" s="33"/>
      <c r="BF435" s="33"/>
      <c r="BG435" s="33"/>
      <c r="BH435" s="33"/>
      <c r="BI435" s="33"/>
      <c r="BJ435" s="33"/>
      <c r="BK435" s="33"/>
      <c r="BL435" s="33"/>
      <c r="BM435" s="33"/>
      <c r="BN435" s="33"/>
      <c r="BO435" s="31"/>
      <c r="BP435" s="32"/>
      <c r="BQ435" s="33"/>
      <c r="BR435" s="33"/>
      <c r="BS435" s="33"/>
      <c r="BT435" s="33"/>
      <c r="BU435" s="33"/>
      <c r="BV435" s="33"/>
      <c r="BW435" s="33"/>
      <c r="BX435" s="33"/>
      <c r="BY435" s="33"/>
      <c r="BZ435" s="33"/>
      <c r="CA435" s="33"/>
      <c r="CB435" s="31"/>
      <c r="CC435" s="32"/>
      <c r="CD435" s="33"/>
      <c r="CE435" s="33"/>
      <c r="CF435" s="33"/>
      <c r="CG435" s="33"/>
      <c r="CH435" s="33"/>
      <c r="CI435" s="33"/>
      <c r="CJ435" s="33"/>
      <c r="CK435" s="33"/>
      <c r="CL435" s="33"/>
      <c r="CM435" s="33"/>
      <c r="CN435" s="33"/>
      <c r="CO435" s="31"/>
      <c r="CP435" s="32"/>
      <c r="CQ435" s="33"/>
      <c r="CR435" s="33"/>
      <c r="CS435" s="33"/>
      <c r="CT435" s="33"/>
      <c r="CU435" s="33"/>
      <c r="CV435" s="33"/>
      <c r="CW435" s="33"/>
      <c r="CX435" s="33"/>
      <c r="CY435" s="33"/>
      <c r="CZ435" s="33"/>
      <c r="DA435" s="33"/>
      <c r="DB435" s="31"/>
      <c r="DC435" s="32"/>
      <c r="DD435" s="33"/>
      <c r="DE435" s="33"/>
      <c r="DF435" s="33"/>
      <c r="DG435" s="33"/>
      <c r="DH435" s="33"/>
      <c r="DI435" s="33"/>
      <c r="DJ435" s="33"/>
      <c r="DK435" s="33"/>
      <c r="DL435" s="33"/>
      <c r="DM435" s="33"/>
      <c r="DN435" s="33"/>
      <c r="DO435" s="31"/>
      <c r="DP435" s="32"/>
      <c r="DQ435" s="33"/>
      <c r="DR435" s="33"/>
      <c r="DS435" s="33"/>
      <c r="DT435" s="33"/>
      <c r="DU435" s="33"/>
      <c r="DV435" s="33"/>
      <c r="DW435" s="33"/>
      <c r="DX435" s="33"/>
      <c r="DY435" s="33"/>
      <c r="DZ435" s="33"/>
      <c r="EA435" s="33"/>
      <c r="EB435" s="31"/>
      <c r="EC435" s="32"/>
      <c r="ED435" s="33"/>
      <c r="EE435" s="33"/>
      <c r="EF435" s="33"/>
      <c r="EG435" s="33"/>
      <c r="EH435" s="33"/>
      <c r="EI435" s="33"/>
      <c r="EJ435" s="33"/>
      <c r="EK435" s="33"/>
      <c r="EL435" s="33"/>
      <c r="EM435" s="33"/>
      <c r="EN435" s="33"/>
      <c r="EO435" s="31"/>
      <c r="EP435" s="32"/>
      <c r="EQ435" s="33"/>
      <c r="ER435" s="33"/>
      <c r="ES435" s="33"/>
      <c r="ET435" s="33"/>
      <c r="EU435" s="33"/>
      <c r="EV435" s="33"/>
      <c r="EW435" s="33"/>
      <c r="EX435" s="33"/>
      <c r="EY435" s="33"/>
      <c r="EZ435" s="33"/>
      <c r="FA435" s="33"/>
      <c r="FB435" s="31"/>
      <c r="FC435" s="32"/>
      <c r="FD435" s="33"/>
      <c r="FE435" s="33"/>
      <c r="FF435" s="33"/>
      <c r="FG435" s="33"/>
      <c r="FH435" s="33"/>
      <c r="FI435" s="33"/>
      <c r="FJ435" s="33"/>
      <c r="FK435" s="33"/>
      <c r="FL435" s="33"/>
      <c r="FM435" s="33"/>
      <c r="FN435" s="33"/>
      <c r="FO435" s="34">
        <f t="shared" ref="FO435:FV435" si="428">IFERROR(R435*1,0)+IFERROR(AE435*1,0)+IFERROR(AR435*1,0)+IFERROR(BE435*1,0)+IFERROR(BR435*1,0)+IFERROR(CE435*1,0)+IFERROR(CR435*1,0)+IFERROR(DE435*1,0)+IFERROR(DR435*1,0)+IFERROR(EE435*1,0)+IFERROR(ER435*1,0)+IFERROR(FE435*1,0)</f>
        <v>0</v>
      </c>
      <c r="FP435" s="34">
        <f t="shared" si="428"/>
        <v>0</v>
      </c>
      <c r="FQ435" s="34">
        <f t="shared" si="428"/>
        <v>0</v>
      </c>
      <c r="FR435" s="34">
        <f t="shared" si="428"/>
        <v>0</v>
      </c>
      <c r="FS435" s="34">
        <f t="shared" si="428"/>
        <v>0</v>
      </c>
      <c r="FT435" s="34">
        <f t="shared" si="428"/>
        <v>0</v>
      </c>
      <c r="FU435" s="34">
        <f t="shared" si="428"/>
        <v>0</v>
      </c>
      <c r="FV435" s="34">
        <f t="shared" si="428"/>
        <v>0</v>
      </c>
      <c r="FW435" s="28"/>
      <c r="FX435" s="29">
        <f t="shared" si="3"/>
        <v>0</v>
      </c>
    </row>
    <row r="436" spans="1:180" ht="18" customHeight="1" x14ac:dyDescent="0.25">
      <c r="A436" s="3" t="str">
        <f>IF(C436&lt;&gt;"","DRG-"&amp;TEXT(431,"000"),"")</f>
        <v/>
      </c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38">
        <v>4</v>
      </c>
      <c r="M436" s="23" t="str">
        <f t="shared" si="0"/>
        <v>✘ Pending</v>
      </c>
      <c r="N436" s="23">
        <f t="shared" si="1"/>
        <v>0</v>
      </c>
      <c r="O436" s="25"/>
      <c r="P436" s="26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  <c r="AB436" s="25"/>
      <c r="AC436" s="26"/>
      <c r="AD436" s="24"/>
      <c r="AE436" s="24"/>
      <c r="AF436" s="24"/>
      <c r="AG436" s="24"/>
      <c r="AH436" s="24"/>
      <c r="AI436" s="24"/>
      <c r="AJ436" s="24"/>
      <c r="AK436" s="24"/>
      <c r="AL436" s="24"/>
      <c r="AM436" s="24"/>
      <c r="AN436" s="24"/>
      <c r="AO436" s="25"/>
      <c r="AP436" s="26"/>
      <c r="AQ436" s="24"/>
      <c r="AR436" s="24"/>
      <c r="AS436" s="24"/>
      <c r="AT436" s="24"/>
      <c r="AU436" s="24"/>
      <c r="AV436" s="24"/>
      <c r="AW436" s="24"/>
      <c r="AX436" s="24"/>
      <c r="AY436" s="24"/>
      <c r="AZ436" s="24"/>
      <c r="BA436" s="24"/>
      <c r="BB436" s="25"/>
      <c r="BC436" s="26"/>
      <c r="BD436" s="24"/>
      <c r="BE436" s="24"/>
      <c r="BF436" s="24"/>
      <c r="BG436" s="24"/>
      <c r="BH436" s="24"/>
      <c r="BI436" s="24"/>
      <c r="BJ436" s="24"/>
      <c r="BK436" s="24"/>
      <c r="BL436" s="24"/>
      <c r="BM436" s="24"/>
      <c r="BN436" s="24"/>
      <c r="BO436" s="25"/>
      <c r="BP436" s="26"/>
      <c r="BQ436" s="24"/>
      <c r="BR436" s="24"/>
      <c r="BS436" s="24"/>
      <c r="BT436" s="24"/>
      <c r="BU436" s="24"/>
      <c r="BV436" s="24"/>
      <c r="BW436" s="24"/>
      <c r="BX436" s="24"/>
      <c r="BY436" s="24"/>
      <c r="BZ436" s="24"/>
      <c r="CA436" s="24"/>
      <c r="CB436" s="25"/>
      <c r="CC436" s="26"/>
      <c r="CD436" s="24"/>
      <c r="CE436" s="24"/>
      <c r="CF436" s="24"/>
      <c r="CG436" s="24"/>
      <c r="CH436" s="24"/>
      <c r="CI436" s="24"/>
      <c r="CJ436" s="24"/>
      <c r="CK436" s="24"/>
      <c r="CL436" s="24"/>
      <c r="CM436" s="24"/>
      <c r="CN436" s="24"/>
      <c r="CO436" s="25"/>
      <c r="CP436" s="26"/>
      <c r="CQ436" s="24"/>
      <c r="CR436" s="24"/>
      <c r="CS436" s="24"/>
      <c r="CT436" s="24"/>
      <c r="CU436" s="24"/>
      <c r="CV436" s="24"/>
      <c r="CW436" s="24"/>
      <c r="CX436" s="24"/>
      <c r="CY436" s="24"/>
      <c r="CZ436" s="24"/>
      <c r="DA436" s="24"/>
      <c r="DB436" s="25"/>
      <c r="DC436" s="26"/>
      <c r="DD436" s="24"/>
      <c r="DE436" s="24"/>
      <c r="DF436" s="24"/>
      <c r="DG436" s="24"/>
      <c r="DH436" s="24"/>
      <c r="DI436" s="24"/>
      <c r="DJ436" s="24"/>
      <c r="DK436" s="24"/>
      <c r="DL436" s="24"/>
      <c r="DM436" s="24"/>
      <c r="DN436" s="24"/>
      <c r="DO436" s="25"/>
      <c r="DP436" s="26"/>
      <c r="DQ436" s="24"/>
      <c r="DR436" s="24"/>
      <c r="DS436" s="24"/>
      <c r="DT436" s="24"/>
      <c r="DU436" s="24"/>
      <c r="DV436" s="24"/>
      <c r="DW436" s="24"/>
      <c r="DX436" s="24"/>
      <c r="DY436" s="24"/>
      <c r="DZ436" s="24"/>
      <c r="EA436" s="24"/>
      <c r="EB436" s="25"/>
      <c r="EC436" s="26"/>
      <c r="ED436" s="24"/>
      <c r="EE436" s="24"/>
      <c r="EF436" s="24"/>
      <c r="EG436" s="24"/>
      <c r="EH436" s="24"/>
      <c r="EI436" s="24"/>
      <c r="EJ436" s="24"/>
      <c r="EK436" s="24"/>
      <c r="EL436" s="24"/>
      <c r="EM436" s="24"/>
      <c r="EN436" s="24"/>
      <c r="EO436" s="25"/>
      <c r="EP436" s="26"/>
      <c r="EQ436" s="24"/>
      <c r="ER436" s="24"/>
      <c r="ES436" s="24"/>
      <c r="ET436" s="24"/>
      <c r="EU436" s="24"/>
      <c r="EV436" s="24"/>
      <c r="EW436" s="24"/>
      <c r="EX436" s="24"/>
      <c r="EY436" s="24"/>
      <c r="EZ436" s="24"/>
      <c r="FA436" s="24"/>
      <c r="FB436" s="25"/>
      <c r="FC436" s="26"/>
      <c r="FD436" s="24"/>
      <c r="FE436" s="24"/>
      <c r="FF436" s="24"/>
      <c r="FG436" s="24"/>
      <c r="FH436" s="24"/>
      <c r="FI436" s="24"/>
      <c r="FJ436" s="24"/>
      <c r="FK436" s="24"/>
      <c r="FL436" s="24"/>
      <c r="FM436" s="24"/>
      <c r="FN436" s="24"/>
      <c r="FO436" s="27">
        <f t="shared" ref="FO436:FV436" si="429">IFERROR(R436*1,0)+IFERROR(AE436*1,0)+IFERROR(AR436*1,0)+IFERROR(BE436*1,0)+IFERROR(BR436*1,0)+IFERROR(CE436*1,0)+IFERROR(CR436*1,0)+IFERROR(DE436*1,0)+IFERROR(DR436*1,0)+IFERROR(EE436*1,0)+IFERROR(ER436*1,0)+IFERROR(FE436*1,0)</f>
        <v>0</v>
      </c>
      <c r="FP436" s="27">
        <f t="shared" si="429"/>
        <v>0</v>
      </c>
      <c r="FQ436" s="27">
        <f t="shared" si="429"/>
        <v>0</v>
      </c>
      <c r="FR436" s="27">
        <f t="shared" si="429"/>
        <v>0</v>
      </c>
      <c r="FS436" s="27">
        <f t="shared" si="429"/>
        <v>0</v>
      </c>
      <c r="FT436" s="27">
        <f t="shared" si="429"/>
        <v>0</v>
      </c>
      <c r="FU436" s="27">
        <f t="shared" si="429"/>
        <v>0</v>
      </c>
      <c r="FV436" s="27">
        <f t="shared" si="429"/>
        <v>0</v>
      </c>
      <c r="FW436" s="28"/>
      <c r="FX436" s="29">
        <f t="shared" si="3"/>
        <v>0</v>
      </c>
    </row>
    <row r="437" spans="1:180" ht="18" customHeight="1" x14ac:dyDescent="0.25">
      <c r="A437" s="3" t="str">
        <f>IF(C437&lt;&gt;"","DRG-"&amp;TEXT(432,"000"),"")</f>
        <v/>
      </c>
      <c r="B437" s="33"/>
      <c r="C437" s="33"/>
      <c r="D437" s="33"/>
      <c r="E437" s="33"/>
      <c r="F437" s="33"/>
      <c r="G437" s="33"/>
      <c r="H437" s="33"/>
      <c r="I437" s="33"/>
      <c r="J437" s="33"/>
      <c r="K437" s="33"/>
      <c r="L437" s="37">
        <v>4</v>
      </c>
      <c r="M437" s="30" t="str">
        <f t="shared" si="0"/>
        <v>✘ Pending</v>
      </c>
      <c r="N437" s="30">
        <f t="shared" si="1"/>
        <v>0</v>
      </c>
      <c r="O437" s="31"/>
      <c r="P437" s="32"/>
      <c r="Q437" s="33"/>
      <c r="R437" s="33"/>
      <c r="S437" s="33"/>
      <c r="T437" s="33"/>
      <c r="U437" s="33"/>
      <c r="V437" s="33"/>
      <c r="W437" s="33"/>
      <c r="X437" s="33"/>
      <c r="Y437" s="33"/>
      <c r="Z437" s="33"/>
      <c r="AA437" s="33"/>
      <c r="AB437" s="31"/>
      <c r="AC437" s="32"/>
      <c r="AD437" s="33"/>
      <c r="AE437" s="33"/>
      <c r="AF437" s="33"/>
      <c r="AG437" s="33"/>
      <c r="AH437" s="33"/>
      <c r="AI437" s="33"/>
      <c r="AJ437" s="33"/>
      <c r="AK437" s="33"/>
      <c r="AL437" s="33"/>
      <c r="AM437" s="33"/>
      <c r="AN437" s="33"/>
      <c r="AO437" s="31"/>
      <c r="AP437" s="32"/>
      <c r="AQ437" s="33"/>
      <c r="AR437" s="33"/>
      <c r="AS437" s="33"/>
      <c r="AT437" s="33"/>
      <c r="AU437" s="33"/>
      <c r="AV437" s="33"/>
      <c r="AW437" s="33"/>
      <c r="AX437" s="33"/>
      <c r="AY437" s="33"/>
      <c r="AZ437" s="33"/>
      <c r="BA437" s="33"/>
      <c r="BB437" s="31"/>
      <c r="BC437" s="32"/>
      <c r="BD437" s="33"/>
      <c r="BE437" s="33"/>
      <c r="BF437" s="33"/>
      <c r="BG437" s="33"/>
      <c r="BH437" s="33"/>
      <c r="BI437" s="33"/>
      <c r="BJ437" s="33"/>
      <c r="BK437" s="33"/>
      <c r="BL437" s="33"/>
      <c r="BM437" s="33"/>
      <c r="BN437" s="33"/>
      <c r="BO437" s="31"/>
      <c r="BP437" s="32"/>
      <c r="BQ437" s="33"/>
      <c r="BR437" s="33"/>
      <c r="BS437" s="33"/>
      <c r="BT437" s="33"/>
      <c r="BU437" s="33"/>
      <c r="BV437" s="33"/>
      <c r="BW437" s="33"/>
      <c r="BX437" s="33"/>
      <c r="BY437" s="33"/>
      <c r="BZ437" s="33"/>
      <c r="CA437" s="33"/>
      <c r="CB437" s="31"/>
      <c r="CC437" s="32"/>
      <c r="CD437" s="33"/>
      <c r="CE437" s="33"/>
      <c r="CF437" s="33"/>
      <c r="CG437" s="33"/>
      <c r="CH437" s="33"/>
      <c r="CI437" s="33"/>
      <c r="CJ437" s="33"/>
      <c r="CK437" s="33"/>
      <c r="CL437" s="33"/>
      <c r="CM437" s="33"/>
      <c r="CN437" s="33"/>
      <c r="CO437" s="31"/>
      <c r="CP437" s="32"/>
      <c r="CQ437" s="33"/>
      <c r="CR437" s="33"/>
      <c r="CS437" s="33"/>
      <c r="CT437" s="33"/>
      <c r="CU437" s="33"/>
      <c r="CV437" s="33"/>
      <c r="CW437" s="33"/>
      <c r="CX437" s="33"/>
      <c r="CY437" s="33"/>
      <c r="CZ437" s="33"/>
      <c r="DA437" s="33"/>
      <c r="DB437" s="31"/>
      <c r="DC437" s="32"/>
      <c r="DD437" s="33"/>
      <c r="DE437" s="33"/>
      <c r="DF437" s="33"/>
      <c r="DG437" s="33"/>
      <c r="DH437" s="33"/>
      <c r="DI437" s="33"/>
      <c r="DJ437" s="33"/>
      <c r="DK437" s="33"/>
      <c r="DL437" s="33"/>
      <c r="DM437" s="33"/>
      <c r="DN437" s="33"/>
      <c r="DO437" s="31"/>
      <c r="DP437" s="32"/>
      <c r="DQ437" s="33"/>
      <c r="DR437" s="33"/>
      <c r="DS437" s="33"/>
      <c r="DT437" s="33"/>
      <c r="DU437" s="33"/>
      <c r="DV437" s="33"/>
      <c r="DW437" s="33"/>
      <c r="DX437" s="33"/>
      <c r="DY437" s="33"/>
      <c r="DZ437" s="33"/>
      <c r="EA437" s="33"/>
      <c r="EB437" s="31"/>
      <c r="EC437" s="32"/>
      <c r="ED437" s="33"/>
      <c r="EE437" s="33"/>
      <c r="EF437" s="33"/>
      <c r="EG437" s="33"/>
      <c r="EH437" s="33"/>
      <c r="EI437" s="33"/>
      <c r="EJ437" s="33"/>
      <c r="EK437" s="33"/>
      <c r="EL437" s="33"/>
      <c r="EM437" s="33"/>
      <c r="EN437" s="33"/>
      <c r="EO437" s="31"/>
      <c r="EP437" s="32"/>
      <c r="EQ437" s="33"/>
      <c r="ER437" s="33"/>
      <c r="ES437" s="33"/>
      <c r="ET437" s="33"/>
      <c r="EU437" s="33"/>
      <c r="EV437" s="33"/>
      <c r="EW437" s="33"/>
      <c r="EX437" s="33"/>
      <c r="EY437" s="33"/>
      <c r="EZ437" s="33"/>
      <c r="FA437" s="33"/>
      <c r="FB437" s="31"/>
      <c r="FC437" s="32"/>
      <c r="FD437" s="33"/>
      <c r="FE437" s="33"/>
      <c r="FF437" s="33"/>
      <c r="FG437" s="33"/>
      <c r="FH437" s="33"/>
      <c r="FI437" s="33"/>
      <c r="FJ437" s="33"/>
      <c r="FK437" s="33"/>
      <c r="FL437" s="33"/>
      <c r="FM437" s="33"/>
      <c r="FN437" s="33"/>
      <c r="FO437" s="34">
        <f t="shared" ref="FO437:FV437" si="430">IFERROR(R437*1,0)+IFERROR(AE437*1,0)+IFERROR(AR437*1,0)+IFERROR(BE437*1,0)+IFERROR(BR437*1,0)+IFERROR(CE437*1,0)+IFERROR(CR437*1,0)+IFERROR(DE437*1,0)+IFERROR(DR437*1,0)+IFERROR(EE437*1,0)+IFERROR(ER437*1,0)+IFERROR(FE437*1,0)</f>
        <v>0</v>
      </c>
      <c r="FP437" s="34">
        <f t="shared" si="430"/>
        <v>0</v>
      </c>
      <c r="FQ437" s="34">
        <f t="shared" si="430"/>
        <v>0</v>
      </c>
      <c r="FR437" s="34">
        <f t="shared" si="430"/>
        <v>0</v>
      </c>
      <c r="FS437" s="34">
        <f t="shared" si="430"/>
        <v>0</v>
      </c>
      <c r="FT437" s="34">
        <f t="shared" si="430"/>
        <v>0</v>
      </c>
      <c r="FU437" s="34">
        <f t="shared" si="430"/>
        <v>0</v>
      </c>
      <c r="FV437" s="34">
        <f t="shared" si="430"/>
        <v>0</v>
      </c>
      <c r="FW437" s="28"/>
      <c r="FX437" s="29">
        <f t="shared" si="3"/>
        <v>0</v>
      </c>
    </row>
    <row r="438" spans="1:180" ht="18" customHeight="1" x14ac:dyDescent="0.25">
      <c r="A438" s="3" t="str">
        <f>IF(C438&lt;&gt;"","DRG-"&amp;TEXT(433,"000"),"")</f>
        <v/>
      </c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38">
        <v>4</v>
      </c>
      <c r="M438" s="23" t="str">
        <f t="shared" si="0"/>
        <v>✘ Pending</v>
      </c>
      <c r="N438" s="23">
        <f t="shared" si="1"/>
        <v>0</v>
      </c>
      <c r="O438" s="25"/>
      <c r="P438" s="26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5"/>
      <c r="AC438" s="26"/>
      <c r="AD438" s="24"/>
      <c r="AE438" s="24"/>
      <c r="AF438" s="24"/>
      <c r="AG438" s="24"/>
      <c r="AH438" s="24"/>
      <c r="AI438" s="24"/>
      <c r="AJ438" s="24"/>
      <c r="AK438" s="24"/>
      <c r="AL438" s="24"/>
      <c r="AM438" s="24"/>
      <c r="AN438" s="24"/>
      <c r="AO438" s="25"/>
      <c r="AP438" s="26"/>
      <c r="AQ438" s="24"/>
      <c r="AR438" s="24"/>
      <c r="AS438" s="24"/>
      <c r="AT438" s="24"/>
      <c r="AU438" s="24"/>
      <c r="AV438" s="24"/>
      <c r="AW438" s="24"/>
      <c r="AX438" s="24"/>
      <c r="AY438" s="24"/>
      <c r="AZ438" s="24"/>
      <c r="BA438" s="24"/>
      <c r="BB438" s="25"/>
      <c r="BC438" s="26"/>
      <c r="BD438" s="24"/>
      <c r="BE438" s="24"/>
      <c r="BF438" s="24"/>
      <c r="BG438" s="24"/>
      <c r="BH438" s="24"/>
      <c r="BI438" s="24"/>
      <c r="BJ438" s="24"/>
      <c r="BK438" s="24"/>
      <c r="BL438" s="24"/>
      <c r="BM438" s="24"/>
      <c r="BN438" s="24"/>
      <c r="BO438" s="25"/>
      <c r="BP438" s="26"/>
      <c r="BQ438" s="24"/>
      <c r="BR438" s="24"/>
      <c r="BS438" s="24"/>
      <c r="BT438" s="24"/>
      <c r="BU438" s="24"/>
      <c r="BV438" s="24"/>
      <c r="BW438" s="24"/>
      <c r="BX438" s="24"/>
      <c r="BY438" s="24"/>
      <c r="BZ438" s="24"/>
      <c r="CA438" s="24"/>
      <c r="CB438" s="25"/>
      <c r="CC438" s="26"/>
      <c r="CD438" s="24"/>
      <c r="CE438" s="24"/>
      <c r="CF438" s="24"/>
      <c r="CG438" s="24"/>
      <c r="CH438" s="24"/>
      <c r="CI438" s="24"/>
      <c r="CJ438" s="24"/>
      <c r="CK438" s="24"/>
      <c r="CL438" s="24"/>
      <c r="CM438" s="24"/>
      <c r="CN438" s="24"/>
      <c r="CO438" s="25"/>
      <c r="CP438" s="26"/>
      <c r="CQ438" s="24"/>
      <c r="CR438" s="24"/>
      <c r="CS438" s="24"/>
      <c r="CT438" s="24"/>
      <c r="CU438" s="24"/>
      <c r="CV438" s="24"/>
      <c r="CW438" s="24"/>
      <c r="CX438" s="24"/>
      <c r="CY438" s="24"/>
      <c r="CZ438" s="24"/>
      <c r="DA438" s="24"/>
      <c r="DB438" s="25"/>
      <c r="DC438" s="26"/>
      <c r="DD438" s="24"/>
      <c r="DE438" s="24"/>
      <c r="DF438" s="24"/>
      <c r="DG438" s="24"/>
      <c r="DH438" s="24"/>
      <c r="DI438" s="24"/>
      <c r="DJ438" s="24"/>
      <c r="DK438" s="24"/>
      <c r="DL438" s="24"/>
      <c r="DM438" s="24"/>
      <c r="DN438" s="24"/>
      <c r="DO438" s="25"/>
      <c r="DP438" s="26"/>
      <c r="DQ438" s="24"/>
      <c r="DR438" s="24"/>
      <c r="DS438" s="24"/>
      <c r="DT438" s="24"/>
      <c r="DU438" s="24"/>
      <c r="DV438" s="24"/>
      <c r="DW438" s="24"/>
      <c r="DX438" s="24"/>
      <c r="DY438" s="24"/>
      <c r="DZ438" s="24"/>
      <c r="EA438" s="24"/>
      <c r="EB438" s="25"/>
      <c r="EC438" s="26"/>
      <c r="ED438" s="24"/>
      <c r="EE438" s="24"/>
      <c r="EF438" s="24"/>
      <c r="EG438" s="24"/>
      <c r="EH438" s="24"/>
      <c r="EI438" s="24"/>
      <c r="EJ438" s="24"/>
      <c r="EK438" s="24"/>
      <c r="EL438" s="24"/>
      <c r="EM438" s="24"/>
      <c r="EN438" s="24"/>
      <c r="EO438" s="25"/>
      <c r="EP438" s="26"/>
      <c r="EQ438" s="24"/>
      <c r="ER438" s="24"/>
      <c r="ES438" s="24"/>
      <c r="ET438" s="24"/>
      <c r="EU438" s="24"/>
      <c r="EV438" s="24"/>
      <c r="EW438" s="24"/>
      <c r="EX438" s="24"/>
      <c r="EY438" s="24"/>
      <c r="EZ438" s="24"/>
      <c r="FA438" s="24"/>
      <c r="FB438" s="25"/>
      <c r="FC438" s="26"/>
      <c r="FD438" s="24"/>
      <c r="FE438" s="24"/>
      <c r="FF438" s="24"/>
      <c r="FG438" s="24"/>
      <c r="FH438" s="24"/>
      <c r="FI438" s="24"/>
      <c r="FJ438" s="24"/>
      <c r="FK438" s="24"/>
      <c r="FL438" s="24"/>
      <c r="FM438" s="24"/>
      <c r="FN438" s="24"/>
      <c r="FO438" s="27">
        <f t="shared" ref="FO438:FV438" si="431">IFERROR(R438*1,0)+IFERROR(AE438*1,0)+IFERROR(AR438*1,0)+IFERROR(BE438*1,0)+IFERROR(BR438*1,0)+IFERROR(CE438*1,0)+IFERROR(CR438*1,0)+IFERROR(DE438*1,0)+IFERROR(DR438*1,0)+IFERROR(EE438*1,0)+IFERROR(ER438*1,0)+IFERROR(FE438*1,0)</f>
        <v>0</v>
      </c>
      <c r="FP438" s="27">
        <f t="shared" si="431"/>
        <v>0</v>
      </c>
      <c r="FQ438" s="27">
        <f t="shared" si="431"/>
        <v>0</v>
      </c>
      <c r="FR438" s="27">
        <f t="shared" si="431"/>
        <v>0</v>
      </c>
      <c r="FS438" s="27">
        <f t="shared" si="431"/>
        <v>0</v>
      </c>
      <c r="FT438" s="27">
        <f t="shared" si="431"/>
        <v>0</v>
      </c>
      <c r="FU438" s="27">
        <f t="shared" si="431"/>
        <v>0</v>
      </c>
      <c r="FV438" s="27">
        <f t="shared" si="431"/>
        <v>0</v>
      </c>
      <c r="FW438" s="28"/>
      <c r="FX438" s="29">
        <f t="shared" si="3"/>
        <v>0</v>
      </c>
    </row>
    <row r="439" spans="1:180" ht="18" customHeight="1" x14ac:dyDescent="0.25">
      <c r="A439" s="3" t="str">
        <f>IF(C439&lt;&gt;"","DRG-"&amp;TEXT(434,"000"),"")</f>
        <v/>
      </c>
      <c r="B439" s="33"/>
      <c r="C439" s="33"/>
      <c r="D439" s="33"/>
      <c r="E439" s="33"/>
      <c r="F439" s="33"/>
      <c r="G439" s="33"/>
      <c r="H439" s="33"/>
      <c r="I439" s="33"/>
      <c r="J439" s="33"/>
      <c r="K439" s="33"/>
      <c r="L439" s="37">
        <v>4</v>
      </c>
      <c r="M439" s="30" t="str">
        <f t="shared" si="0"/>
        <v>✘ Pending</v>
      </c>
      <c r="N439" s="30">
        <f t="shared" si="1"/>
        <v>0</v>
      </c>
      <c r="O439" s="31"/>
      <c r="P439" s="32"/>
      <c r="Q439" s="33"/>
      <c r="R439" s="33"/>
      <c r="S439" s="33"/>
      <c r="T439" s="33"/>
      <c r="U439" s="33"/>
      <c r="V439" s="33"/>
      <c r="W439" s="33"/>
      <c r="X439" s="33"/>
      <c r="Y439" s="33"/>
      <c r="Z439" s="33"/>
      <c r="AA439" s="33"/>
      <c r="AB439" s="31"/>
      <c r="AC439" s="32"/>
      <c r="AD439" s="33"/>
      <c r="AE439" s="33"/>
      <c r="AF439" s="33"/>
      <c r="AG439" s="33"/>
      <c r="AH439" s="33"/>
      <c r="AI439" s="33"/>
      <c r="AJ439" s="33"/>
      <c r="AK439" s="33"/>
      <c r="AL439" s="33"/>
      <c r="AM439" s="33"/>
      <c r="AN439" s="33"/>
      <c r="AO439" s="31"/>
      <c r="AP439" s="32"/>
      <c r="AQ439" s="33"/>
      <c r="AR439" s="33"/>
      <c r="AS439" s="33"/>
      <c r="AT439" s="33"/>
      <c r="AU439" s="33"/>
      <c r="AV439" s="33"/>
      <c r="AW439" s="33"/>
      <c r="AX439" s="33"/>
      <c r="AY439" s="33"/>
      <c r="AZ439" s="33"/>
      <c r="BA439" s="33"/>
      <c r="BB439" s="31"/>
      <c r="BC439" s="32"/>
      <c r="BD439" s="33"/>
      <c r="BE439" s="33"/>
      <c r="BF439" s="33"/>
      <c r="BG439" s="33"/>
      <c r="BH439" s="33"/>
      <c r="BI439" s="33"/>
      <c r="BJ439" s="33"/>
      <c r="BK439" s="33"/>
      <c r="BL439" s="33"/>
      <c r="BM439" s="33"/>
      <c r="BN439" s="33"/>
      <c r="BO439" s="31"/>
      <c r="BP439" s="32"/>
      <c r="BQ439" s="33"/>
      <c r="BR439" s="33"/>
      <c r="BS439" s="33"/>
      <c r="BT439" s="33"/>
      <c r="BU439" s="33"/>
      <c r="BV439" s="33"/>
      <c r="BW439" s="33"/>
      <c r="BX439" s="33"/>
      <c r="BY439" s="33"/>
      <c r="BZ439" s="33"/>
      <c r="CA439" s="33"/>
      <c r="CB439" s="31"/>
      <c r="CC439" s="32"/>
      <c r="CD439" s="33"/>
      <c r="CE439" s="33"/>
      <c r="CF439" s="33"/>
      <c r="CG439" s="33"/>
      <c r="CH439" s="33"/>
      <c r="CI439" s="33"/>
      <c r="CJ439" s="33"/>
      <c r="CK439" s="33"/>
      <c r="CL439" s="33"/>
      <c r="CM439" s="33"/>
      <c r="CN439" s="33"/>
      <c r="CO439" s="31"/>
      <c r="CP439" s="32"/>
      <c r="CQ439" s="33"/>
      <c r="CR439" s="33"/>
      <c r="CS439" s="33"/>
      <c r="CT439" s="33"/>
      <c r="CU439" s="33"/>
      <c r="CV439" s="33"/>
      <c r="CW439" s="33"/>
      <c r="CX439" s="33"/>
      <c r="CY439" s="33"/>
      <c r="CZ439" s="33"/>
      <c r="DA439" s="33"/>
      <c r="DB439" s="31"/>
      <c r="DC439" s="32"/>
      <c r="DD439" s="33"/>
      <c r="DE439" s="33"/>
      <c r="DF439" s="33"/>
      <c r="DG439" s="33"/>
      <c r="DH439" s="33"/>
      <c r="DI439" s="33"/>
      <c r="DJ439" s="33"/>
      <c r="DK439" s="33"/>
      <c r="DL439" s="33"/>
      <c r="DM439" s="33"/>
      <c r="DN439" s="33"/>
      <c r="DO439" s="31"/>
      <c r="DP439" s="32"/>
      <c r="DQ439" s="33"/>
      <c r="DR439" s="33"/>
      <c r="DS439" s="33"/>
      <c r="DT439" s="33"/>
      <c r="DU439" s="33"/>
      <c r="DV439" s="33"/>
      <c r="DW439" s="33"/>
      <c r="DX439" s="33"/>
      <c r="DY439" s="33"/>
      <c r="DZ439" s="33"/>
      <c r="EA439" s="33"/>
      <c r="EB439" s="31"/>
      <c r="EC439" s="32"/>
      <c r="ED439" s="33"/>
      <c r="EE439" s="33"/>
      <c r="EF439" s="33"/>
      <c r="EG439" s="33"/>
      <c r="EH439" s="33"/>
      <c r="EI439" s="33"/>
      <c r="EJ439" s="33"/>
      <c r="EK439" s="33"/>
      <c r="EL439" s="33"/>
      <c r="EM439" s="33"/>
      <c r="EN439" s="33"/>
      <c r="EO439" s="31"/>
      <c r="EP439" s="32"/>
      <c r="EQ439" s="33"/>
      <c r="ER439" s="33"/>
      <c r="ES439" s="33"/>
      <c r="ET439" s="33"/>
      <c r="EU439" s="33"/>
      <c r="EV439" s="33"/>
      <c r="EW439" s="33"/>
      <c r="EX439" s="33"/>
      <c r="EY439" s="33"/>
      <c r="EZ439" s="33"/>
      <c r="FA439" s="33"/>
      <c r="FB439" s="31"/>
      <c r="FC439" s="32"/>
      <c r="FD439" s="33"/>
      <c r="FE439" s="33"/>
      <c r="FF439" s="33"/>
      <c r="FG439" s="33"/>
      <c r="FH439" s="33"/>
      <c r="FI439" s="33"/>
      <c r="FJ439" s="33"/>
      <c r="FK439" s="33"/>
      <c r="FL439" s="33"/>
      <c r="FM439" s="33"/>
      <c r="FN439" s="33"/>
      <c r="FO439" s="34">
        <f t="shared" ref="FO439:FV439" si="432">IFERROR(R439*1,0)+IFERROR(AE439*1,0)+IFERROR(AR439*1,0)+IFERROR(BE439*1,0)+IFERROR(BR439*1,0)+IFERROR(CE439*1,0)+IFERROR(CR439*1,0)+IFERROR(DE439*1,0)+IFERROR(DR439*1,0)+IFERROR(EE439*1,0)+IFERROR(ER439*1,0)+IFERROR(FE439*1,0)</f>
        <v>0</v>
      </c>
      <c r="FP439" s="34">
        <f t="shared" si="432"/>
        <v>0</v>
      </c>
      <c r="FQ439" s="34">
        <f t="shared" si="432"/>
        <v>0</v>
      </c>
      <c r="FR439" s="34">
        <f t="shared" si="432"/>
        <v>0</v>
      </c>
      <c r="FS439" s="34">
        <f t="shared" si="432"/>
        <v>0</v>
      </c>
      <c r="FT439" s="34">
        <f t="shared" si="432"/>
        <v>0</v>
      </c>
      <c r="FU439" s="34">
        <f t="shared" si="432"/>
        <v>0</v>
      </c>
      <c r="FV439" s="34">
        <f t="shared" si="432"/>
        <v>0</v>
      </c>
      <c r="FW439" s="28"/>
      <c r="FX439" s="29">
        <f t="shared" si="3"/>
        <v>0</v>
      </c>
    </row>
    <row r="440" spans="1:180" ht="18" customHeight="1" x14ac:dyDescent="0.25">
      <c r="A440" s="3" t="str">
        <f>IF(C440&lt;&gt;"","DRG-"&amp;TEXT(435,"000"),"")</f>
        <v/>
      </c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38">
        <v>4</v>
      </c>
      <c r="M440" s="23" t="str">
        <f t="shared" si="0"/>
        <v>✘ Pending</v>
      </c>
      <c r="N440" s="23">
        <f t="shared" si="1"/>
        <v>0</v>
      </c>
      <c r="O440" s="25"/>
      <c r="P440" s="26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  <c r="AB440" s="25"/>
      <c r="AC440" s="26"/>
      <c r="AD440" s="24"/>
      <c r="AE440" s="24"/>
      <c r="AF440" s="24"/>
      <c r="AG440" s="24"/>
      <c r="AH440" s="24"/>
      <c r="AI440" s="24"/>
      <c r="AJ440" s="24"/>
      <c r="AK440" s="24"/>
      <c r="AL440" s="24"/>
      <c r="AM440" s="24"/>
      <c r="AN440" s="24"/>
      <c r="AO440" s="25"/>
      <c r="AP440" s="26"/>
      <c r="AQ440" s="24"/>
      <c r="AR440" s="24"/>
      <c r="AS440" s="24"/>
      <c r="AT440" s="24"/>
      <c r="AU440" s="24"/>
      <c r="AV440" s="24"/>
      <c r="AW440" s="24"/>
      <c r="AX440" s="24"/>
      <c r="AY440" s="24"/>
      <c r="AZ440" s="24"/>
      <c r="BA440" s="24"/>
      <c r="BB440" s="25"/>
      <c r="BC440" s="26"/>
      <c r="BD440" s="24"/>
      <c r="BE440" s="24"/>
      <c r="BF440" s="24"/>
      <c r="BG440" s="24"/>
      <c r="BH440" s="24"/>
      <c r="BI440" s="24"/>
      <c r="BJ440" s="24"/>
      <c r="BK440" s="24"/>
      <c r="BL440" s="24"/>
      <c r="BM440" s="24"/>
      <c r="BN440" s="24"/>
      <c r="BO440" s="25"/>
      <c r="BP440" s="26"/>
      <c r="BQ440" s="24"/>
      <c r="BR440" s="24"/>
      <c r="BS440" s="24"/>
      <c r="BT440" s="24"/>
      <c r="BU440" s="24"/>
      <c r="BV440" s="24"/>
      <c r="BW440" s="24"/>
      <c r="BX440" s="24"/>
      <c r="BY440" s="24"/>
      <c r="BZ440" s="24"/>
      <c r="CA440" s="24"/>
      <c r="CB440" s="25"/>
      <c r="CC440" s="26"/>
      <c r="CD440" s="24"/>
      <c r="CE440" s="24"/>
      <c r="CF440" s="24"/>
      <c r="CG440" s="24"/>
      <c r="CH440" s="24"/>
      <c r="CI440" s="24"/>
      <c r="CJ440" s="24"/>
      <c r="CK440" s="24"/>
      <c r="CL440" s="24"/>
      <c r="CM440" s="24"/>
      <c r="CN440" s="24"/>
      <c r="CO440" s="25"/>
      <c r="CP440" s="26"/>
      <c r="CQ440" s="24"/>
      <c r="CR440" s="24"/>
      <c r="CS440" s="24"/>
      <c r="CT440" s="24"/>
      <c r="CU440" s="24"/>
      <c r="CV440" s="24"/>
      <c r="CW440" s="24"/>
      <c r="CX440" s="24"/>
      <c r="CY440" s="24"/>
      <c r="CZ440" s="24"/>
      <c r="DA440" s="24"/>
      <c r="DB440" s="25"/>
      <c r="DC440" s="26"/>
      <c r="DD440" s="24"/>
      <c r="DE440" s="24"/>
      <c r="DF440" s="24"/>
      <c r="DG440" s="24"/>
      <c r="DH440" s="24"/>
      <c r="DI440" s="24"/>
      <c r="DJ440" s="24"/>
      <c r="DK440" s="24"/>
      <c r="DL440" s="24"/>
      <c r="DM440" s="24"/>
      <c r="DN440" s="24"/>
      <c r="DO440" s="25"/>
      <c r="DP440" s="26"/>
      <c r="DQ440" s="24"/>
      <c r="DR440" s="24"/>
      <c r="DS440" s="24"/>
      <c r="DT440" s="24"/>
      <c r="DU440" s="24"/>
      <c r="DV440" s="24"/>
      <c r="DW440" s="24"/>
      <c r="DX440" s="24"/>
      <c r="DY440" s="24"/>
      <c r="DZ440" s="24"/>
      <c r="EA440" s="24"/>
      <c r="EB440" s="25"/>
      <c r="EC440" s="26"/>
      <c r="ED440" s="24"/>
      <c r="EE440" s="24"/>
      <c r="EF440" s="24"/>
      <c r="EG440" s="24"/>
      <c r="EH440" s="24"/>
      <c r="EI440" s="24"/>
      <c r="EJ440" s="24"/>
      <c r="EK440" s="24"/>
      <c r="EL440" s="24"/>
      <c r="EM440" s="24"/>
      <c r="EN440" s="24"/>
      <c r="EO440" s="25"/>
      <c r="EP440" s="26"/>
      <c r="EQ440" s="24"/>
      <c r="ER440" s="24"/>
      <c r="ES440" s="24"/>
      <c r="ET440" s="24"/>
      <c r="EU440" s="24"/>
      <c r="EV440" s="24"/>
      <c r="EW440" s="24"/>
      <c r="EX440" s="24"/>
      <c r="EY440" s="24"/>
      <c r="EZ440" s="24"/>
      <c r="FA440" s="24"/>
      <c r="FB440" s="25"/>
      <c r="FC440" s="26"/>
      <c r="FD440" s="24"/>
      <c r="FE440" s="24"/>
      <c r="FF440" s="24"/>
      <c r="FG440" s="24"/>
      <c r="FH440" s="24"/>
      <c r="FI440" s="24"/>
      <c r="FJ440" s="24"/>
      <c r="FK440" s="24"/>
      <c r="FL440" s="24"/>
      <c r="FM440" s="24"/>
      <c r="FN440" s="24"/>
      <c r="FO440" s="27">
        <f t="shared" ref="FO440:FV440" si="433">IFERROR(R440*1,0)+IFERROR(AE440*1,0)+IFERROR(AR440*1,0)+IFERROR(BE440*1,0)+IFERROR(BR440*1,0)+IFERROR(CE440*1,0)+IFERROR(CR440*1,0)+IFERROR(DE440*1,0)+IFERROR(DR440*1,0)+IFERROR(EE440*1,0)+IFERROR(ER440*1,0)+IFERROR(FE440*1,0)</f>
        <v>0</v>
      </c>
      <c r="FP440" s="27">
        <f t="shared" si="433"/>
        <v>0</v>
      </c>
      <c r="FQ440" s="27">
        <f t="shared" si="433"/>
        <v>0</v>
      </c>
      <c r="FR440" s="27">
        <f t="shared" si="433"/>
        <v>0</v>
      </c>
      <c r="FS440" s="27">
        <f t="shared" si="433"/>
        <v>0</v>
      </c>
      <c r="FT440" s="27">
        <f t="shared" si="433"/>
        <v>0</v>
      </c>
      <c r="FU440" s="27">
        <f t="shared" si="433"/>
        <v>0</v>
      </c>
      <c r="FV440" s="27">
        <f t="shared" si="433"/>
        <v>0</v>
      </c>
      <c r="FW440" s="28"/>
      <c r="FX440" s="29">
        <f t="shared" si="3"/>
        <v>0</v>
      </c>
    </row>
    <row r="441" spans="1:180" ht="18" customHeight="1" x14ac:dyDescent="0.25">
      <c r="A441" s="3" t="str">
        <f>IF(C441&lt;&gt;"","DRG-"&amp;TEXT(436,"000"),"")</f>
        <v/>
      </c>
      <c r="B441" s="33"/>
      <c r="C441" s="33"/>
      <c r="D441" s="33"/>
      <c r="E441" s="33"/>
      <c r="F441" s="33"/>
      <c r="G441" s="33"/>
      <c r="H441" s="33"/>
      <c r="I441" s="33"/>
      <c r="J441" s="33"/>
      <c r="K441" s="33"/>
      <c r="L441" s="37">
        <v>4</v>
      </c>
      <c r="M441" s="30" t="str">
        <f t="shared" si="0"/>
        <v>✘ Pending</v>
      </c>
      <c r="N441" s="30">
        <f t="shared" si="1"/>
        <v>0</v>
      </c>
      <c r="O441" s="31"/>
      <c r="P441" s="32"/>
      <c r="Q441" s="33"/>
      <c r="R441" s="33"/>
      <c r="S441" s="33"/>
      <c r="T441" s="33"/>
      <c r="U441" s="33"/>
      <c r="V441" s="33"/>
      <c r="W441" s="33"/>
      <c r="X441" s="33"/>
      <c r="Y441" s="33"/>
      <c r="Z441" s="33"/>
      <c r="AA441" s="33"/>
      <c r="AB441" s="31"/>
      <c r="AC441" s="32"/>
      <c r="AD441" s="33"/>
      <c r="AE441" s="33"/>
      <c r="AF441" s="33"/>
      <c r="AG441" s="33"/>
      <c r="AH441" s="33"/>
      <c r="AI441" s="33"/>
      <c r="AJ441" s="33"/>
      <c r="AK441" s="33"/>
      <c r="AL441" s="33"/>
      <c r="AM441" s="33"/>
      <c r="AN441" s="33"/>
      <c r="AO441" s="31"/>
      <c r="AP441" s="32"/>
      <c r="AQ441" s="33"/>
      <c r="AR441" s="33"/>
      <c r="AS441" s="33"/>
      <c r="AT441" s="33"/>
      <c r="AU441" s="33"/>
      <c r="AV441" s="33"/>
      <c r="AW441" s="33"/>
      <c r="AX441" s="33"/>
      <c r="AY441" s="33"/>
      <c r="AZ441" s="33"/>
      <c r="BA441" s="33"/>
      <c r="BB441" s="31"/>
      <c r="BC441" s="32"/>
      <c r="BD441" s="33"/>
      <c r="BE441" s="33"/>
      <c r="BF441" s="33"/>
      <c r="BG441" s="33"/>
      <c r="BH441" s="33"/>
      <c r="BI441" s="33"/>
      <c r="BJ441" s="33"/>
      <c r="BK441" s="33"/>
      <c r="BL441" s="33"/>
      <c r="BM441" s="33"/>
      <c r="BN441" s="33"/>
      <c r="BO441" s="31"/>
      <c r="BP441" s="32"/>
      <c r="BQ441" s="33"/>
      <c r="BR441" s="33"/>
      <c r="BS441" s="33"/>
      <c r="BT441" s="33"/>
      <c r="BU441" s="33"/>
      <c r="BV441" s="33"/>
      <c r="BW441" s="33"/>
      <c r="BX441" s="33"/>
      <c r="BY441" s="33"/>
      <c r="BZ441" s="33"/>
      <c r="CA441" s="33"/>
      <c r="CB441" s="31"/>
      <c r="CC441" s="32"/>
      <c r="CD441" s="33"/>
      <c r="CE441" s="33"/>
      <c r="CF441" s="33"/>
      <c r="CG441" s="33"/>
      <c r="CH441" s="33"/>
      <c r="CI441" s="33"/>
      <c r="CJ441" s="33"/>
      <c r="CK441" s="33"/>
      <c r="CL441" s="33"/>
      <c r="CM441" s="33"/>
      <c r="CN441" s="33"/>
      <c r="CO441" s="31"/>
      <c r="CP441" s="32"/>
      <c r="CQ441" s="33"/>
      <c r="CR441" s="33"/>
      <c r="CS441" s="33"/>
      <c r="CT441" s="33"/>
      <c r="CU441" s="33"/>
      <c r="CV441" s="33"/>
      <c r="CW441" s="33"/>
      <c r="CX441" s="33"/>
      <c r="CY441" s="33"/>
      <c r="CZ441" s="33"/>
      <c r="DA441" s="33"/>
      <c r="DB441" s="31"/>
      <c r="DC441" s="32"/>
      <c r="DD441" s="33"/>
      <c r="DE441" s="33"/>
      <c r="DF441" s="33"/>
      <c r="DG441" s="33"/>
      <c r="DH441" s="33"/>
      <c r="DI441" s="33"/>
      <c r="DJ441" s="33"/>
      <c r="DK441" s="33"/>
      <c r="DL441" s="33"/>
      <c r="DM441" s="33"/>
      <c r="DN441" s="33"/>
      <c r="DO441" s="31"/>
      <c r="DP441" s="32"/>
      <c r="DQ441" s="33"/>
      <c r="DR441" s="33"/>
      <c r="DS441" s="33"/>
      <c r="DT441" s="33"/>
      <c r="DU441" s="33"/>
      <c r="DV441" s="33"/>
      <c r="DW441" s="33"/>
      <c r="DX441" s="33"/>
      <c r="DY441" s="33"/>
      <c r="DZ441" s="33"/>
      <c r="EA441" s="33"/>
      <c r="EB441" s="31"/>
      <c r="EC441" s="32"/>
      <c r="ED441" s="33"/>
      <c r="EE441" s="33"/>
      <c r="EF441" s="33"/>
      <c r="EG441" s="33"/>
      <c r="EH441" s="33"/>
      <c r="EI441" s="33"/>
      <c r="EJ441" s="33"/>
      <c r="EK441" s="33"/>
      <c r="EL441" s="33"/>
      <c r="EM441" s="33"/>
      <c r="EN441" s="33"/>
      <c r="EO441" s="31"/>
      <c r="EP441" s="32"/>
      <c r="EQ441" s="33"/>
      <c r="ER441" s="33"/>
      <c r="ES441" s="33"/>
      <c r="ET441" s="33"/>
      <c r="EU441" s="33"/>
      <c r="EV441" s="33"/>
      <c r="EW441" s="33"/>
      <c r="EX441" s="33"/>
      <c r="EY441" s="33"/>
      <c r="EZ441" s="33"/>
      <c r="FA441" s="33"/>
      <c r="FB441" s="31"/>
      <c r="FC441" s="32"/>
      <c r="FD441" s="33"/>
      <c r="FE441" s="33"/>
      <c r="FF441" s="33"/>
      <c r="FG441" s="33"/>
      <c r="FH441" s="33"/>
      <c r="FI441" s="33"/>
      <c r="FJ441" s="33"/>
      <c r="FK441" s="33"/>
      <c r="FL441" s="33"/>
      <c r="FM441" s="33"/>
      <c r="FN441" s="33"/>
      <c r="FO441" s="34">
        <f t="shared" ref="FO441:FV441" si="434">IFERROR(R441*1,0)+IFERROR(AE441*1,0)+IFERROR(AR441*1,0)+IFERROR(BE441*1,0)+IFERROR(BR441*1,0)+IFERROR(CE441*1,0)+IFERROR(CR441*1,0)+IFERROR(DE441*1,0)+IFERROR(DR441*1,0)+IFERROR(EE441*1,0)+IFERROR(ER441*1,0)+IFERROR(FE441*1,0)</f>
        <v>0</v>
      </c>
      <c r="FP441" s="34">
        <f t="shared" si="434"/>
        <v>0</v>
      </c>
      <c r="FQ441" s="34">
        <f t="shared" si="434"/>
        <v>0</v>
      </c>
      <c r="FR441" s="34">
        <f t="shared" si="434"/>
        <v>0</v>
      </c>
      <c r="FS441" s="34">
        <f t="shared" si="434"/>
        <v>0</v>
      </c>
      <c r="FT441" s="34">
        <f t="shared" si="434"/>
        <v>0</v>
      </c>
      <c r="FU441" s="34">
        <f t="shared" si="434"/>
        <v>0</v>
      </c>
      <c r="FV441" s="34">
        <f t="shared" si="434"/>
        <v>0</v>
      </c>
      <c r="FW441" s="28"/>
      <c r="FX441" s="29">
        <f t="shared" si="3"/>
        <v>0</v>
      </c>
    </row>
    <row r="442" spans="1:180" ht="18" customHeight="1" x14ac:dyDescent="0.25">
      <c r="A442" s="3" t="str">
        <f>IF(C442&lt;&gt;"","DRG-"&amp;TEXT(437,"000"),"")</f>
        <v/>
      </c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38">
        <v>4</v>
      </c>
      <c r="M442" s="23" t="str">
        <f t="shared" si="0"/>
        <v>✘ Pending</v>
      </c>
      <c r="N442" s="23">
        <f t="shared" si="1"/>
        <v>0</v>
      </c>
      <c r="O442" s="25"/>
      <c r="P442" s="26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  <c r="AB442" s="25"/>
      <c r="AC442" s="26"/>
      <c r="AD442" s="24"/>
      <c r="AE442" s="24"/>
      <c r="AF442" s="24"/>
      <c r="AG442" s="24"/>
      <c r="AH442" s="24"/>
      <c r="AI442" s="24"/>
      <c r="AJ442" s="24"/>
      <c r="AK442" s="24"/>
      <c r="AL442" s="24"/>
      <c r="AM442" s="24"/>
      <c r="AN442" s="24"/>
      <c r="AO442" s="25"/>
      <c r="AP442" s="26"/>
      <c r="AQ442" s="24"/>
      <c r="AR442" s="24"/>
      <c r="AS442" s="24"/>
      <c r="AT442" s="24"/>
      <c r="AU442" s="24"/>
      <c r="AV442" s="24"/>
      <c r="AW442" s="24"/>
      <c r="AX442" s="24"/>
      <c r="AY442" s="24"/>
      <c r="AZ442" s="24"/>
      <c r="BA442" s="24"/>
      <c r="BB442" s="25"/>
      <c r="BC442" s="26"/>
      <c r="BD442" s="24"/>
      <c r="BE442" s="24"/>
      <c r="BF442" s="24"/>
      <c r="BG442" s="24"/>
      <c r="BH442" s="24"/>
      <c r="BI442" s="24"/>
      <c r="BJ442" s="24"/>
      <c r="BK442" s="24"/>
      <c r="BL442" s="24"/>
      <c r="BM442" s="24"/>
      <c r="BN442" s="24"/>
      <c r="BO442" s="25"/>
      <c r="BP442" s="26"/>
      <c r="BQ442" s="24"/>
      <c r="BR442" s="24"/>
      <c r="BS442" s="24"/>
      <c r="BT442" s="24"/>
      <c r="BU442" s="24"/>
      <c r="BV442" s="24"/>
      <c r="BW442" s="24"/>
      <c r="BX442" s="24"/>
      <c r="BY442" s="24"/>
      <c r="BZ442" s="24"/>
      <c r="CA442" s="24"/>
      <c r="CB442" s="25"/>
      <c r="CC442" s="26"/>
      <c r="CD442" s="24"/>
      <c r="CE442" s="24"/>
      <c r="CF442" s="24"/>
      <c r="CG442" s="24"/>
      <c r="CH442" s="24"/>
      <c r="CI442" s="24"/>
      <c r="CJ442" s="24"/>
      <c r="CK442" s="24"/>
      <c r="CL442" s="24"/>
      <c r="CM442" s="24"/>
      <c r="CN442" s="24"/>
      <c r="CO442" s="25"/>
      <c r="CP442" s="26"/>
      <c r="CQ442" s="24"/>
      <c r="CR442" s="24"/>
      <c r="CS442" s="24"/>
      <c r="CT442" s="24"/>
      <c r="CU442" s="24"/>
      <c r="CV442" s="24"/>
      <c r="CW442" s="24"/>
      <c r="CX442" s="24"/>
      <c r="CY442" s="24"/>
      <c r="CZ442" s="24"/>
      <c r="DA442" s="24"/>
      <c r="DB442" s="25"/>
      <c r="DC442" s="26"/>
      <c r="DD442" s="24"/>
      <c r="DE442" s="24"/>
      <c r="DF442" s="24"/>
      <c r="DG442" s="24"/>
      <c r="DH442" s="24"/>
      <c r="DI442" s="24"/>
      <c r="DJ442" s="24"/>
      <c r="DK442" s="24"/>
      <c r="DL442" s="24"/>
      <c r="DM442" s="24"/>
      <c r="DN442" s="24"/>
      <c r="DO442" s="25"/>
      <c r="DP442" s="26"/>
      <c r="DQ442" s="24"/>
      <c r="DR442" s="24"/>
      <c r="DS442" s="24"/>
      <c r="DT442" s="24"/>
      <c r="DU442" s="24"/>
      <c r="DV442" s="24"/>
      <c r="DW442" s="24"/>
      <c r="DX442" s="24"/>
      <c r="DY442" s="24"/>
      <c r="DZ442" s="24"/>
      <c r="EA442" s="24"/>
      <c r="EB442" s="25"/>
      <c r="EC442" s="26"/>
      <c r="ED442" s="24"/>
      <c r="EE442" s="24"/>
      <c r="EF442" s="24"/>
      <c r="EG442" s="24"/>
      <c r="EH442" s="24"/>
      <c r="EI442" s="24"/>
      <c r="EJ442" s="24"/>
      <c r="EK442" s="24"/>
      <c r="EL442" s="24"/>
      <c r="EM442" s="24"/>
      <c r="EN442" s="24"/>
      <c r="EO442" s="25"/>
      <c r="EP442" s="26"/>
      <c r="EQ442" s="24"/>
      <c r="ER442" s="24"/>
      <c r="ES442" s="24"/>
      <c r="ET442" s="24"/>
      <c r="EU442" s="24"/>
      <c r="EV442" s="24"/>
      <c r="EW442" s="24"/>
      <c r="EX442" s="24"/>
      <c r="EY442" s="24"/>
      <c r="EZ442" s="24"/>
      <c r="FA442" s="24"/>
      <c r="FB442" s="25"/>
      <c r="FC442" s="26"/>
      <c r="FD442" s="24"/>
      <c r="FE442" s="24"/>
      <c r="FF442" s="24"/>
      <c r="FG442" s="24"/>
      <c r="FH442" s="24"/>
      <c r="FI442" s="24"/>
      <c r="FJ442" s="24"/>
      <c r="FK442" s="24"/>
      <c r="FL442" s="24"/>
      <c r="FM442" s="24"/>
      <c r="FN442" s="24"/>
      <c r="FO442" s="27">
        <f t="shared" ref="FO442:FV442" si="435">IFERROR(R442*1,0)+IFERROR(AE442*1,0)+IFERROR(AR442*1,0)+IFERROR(BE442*1,0)+IFERROR(BR442*1,0)+IFERROR(CE442*1,0)+IFERROR(CR442*1,0)+IFERROR(DE442*1,0)+IFERROR(DR442*1,0)+IFERROR(EE442*1,0)+IFERROR(ER442*1,0)+IFERROR(FE442*1,0)</f>
        <v>0</v>
      </c>
      <c r="FP442" s="27">
        <f t="shared" si="435"/>
        <v>0</v>
      </c>
      <c r="FQ442" s="27">
        <f t="shared" si="435"/>
        <v>0</v>
      </c>
      <c r="FR442" s="27">
        <f t="shared" si="435"/>
        <v>0</v>
      </c>
      <c r="FS442" s="27">
        <f t="shared" si="435"/>
        <v>0</v>
      </c>
      <c r="FT442" s="27">
        <f t="shared" si="435"/>
        <v>0</v>
      </c>
      <c r="FU442" s="27">
        <f t="shared" si="435"/>
        <v>0</v>
      </c>
      <c r="FV442" s="27">
        <f t="shared" si="435"/>
        <v>0</v>
      </c>
      <c r="FW442" s="28"/>
      <c r="FX442" s="29">
        <f t="shared" si="3"/>
        <v>0</v>
      </c>
    </row>
    <row r="443" spans="1:180" ht="18" customHeight="1" x14ac:dyDescent="0.25">
      <c r="A443" s="3" t="str">
        <f>IF(C443&lt;&gt;"","DRG-"&amp;TEXT(438,"000"),"")</f>
        <v/>
      </c>
      <c r="B443" s="33"/>
      <c r="C443" s="33"/>
      <c r="D443" s="33"/>
      <c r="E443" s="33"/>
      <c r="F443" s="33"/>
      <c r="G443" s="33"/>
      <c r="H443" s="33"/>
      <c r="I443" s="33"/>
      <c r="J443" s="33"/>
      <c r="K443" s="33"/>
      <c r="L443" s="37">
        <v>4</v>
      </c>
      <c r="M443" s="30" t="str">
        <f t="shared" si="0"/>
        <v>✘ Pending</v>
      </c>
      <c r="N443" s="30">
        <f t="shared" si="1"/>
        <v>0</v>
      </c>
      <c r="O443" s="31"/>
      <c r="P443" s="32"/>
      <c r="Q443" s="33"/>
      <c r="R443" s="33"/>
      <c r="S443" s="33"/>
      <c r="T443" s="33"/>
      <c r="U443" s="33"/>
      <c r="V443" s="33"/>
      <c r="W443" s="33"/>
      <c r="X443" s="33"/>
      <c r="Y443" s="33"/>
      <c r="Z443" s="33"/>
      <c r="AA443" s="33"/>
      <c r="AB443" s="31"/>
      <c r="AC443" s="32"/>
      <c r="AD443" s="33"/>
      <c r="AE443" s="33"/>
      <c r="AF443" s="33"/>
      <c r="AG443" s="33"/>
      <c r="AH443" s="33"/>
      <c r="AI443" s="33"/>
      <c r="AJ443" s="33"/>
      <c r="AK443" s="33"/>
      <c r="AL443" s="33"/>
      <c r="AM443" s="33"/>
      <c r="AN443" s="33"/>
      <c r="AO443" s="31"/>
      <c r="AP443" s="32"/>
      <c r="AQ443" s="33"/>
      <c r="AR443" s="33"/>
      <c r="AS443" s="33"/>
      <c r="AT443" s="33"/>
      <c r="AU443" s="33"/>
      <c r="AV443" s="33"/>
      <c r="AW443" s="33"/>
      <c r="AX443" s="33"/>
      <c r="AY443" s="33"/>
      <c r="AZ443" s="33"/>
      <c r="BA443" s="33"/>
      <c r="BB443" s="31"/>
      <c r="BC443" s="32"/>
      <c r="BD443" s="33"/>
      <c r="BE443" s="33"/>
      <c r="BF443" s="33"/>
      <c r="BG443" s="33"/>
      <c r="BH443" s="33"/>
      <c r="BI443" s="33"/>
      <c r="BJ443" s="33"/>
      <c r="BK443" s="33"/>
      <c r="BL443" s="33"/>
      <c r="BM443" s="33"/>
      <c r="BN443" s="33"/>
      <c r="BO443" s="31"/>
      <c r="BP443" s="32"/>
      <c r="BQ443" s="33"/>
      <c r="BR443" s="33"/>
      <c r="BS443" s="33"/>
      <c r="BT443" s="33"/>
      <c r="BU443" s="33"/>
      <c r="BV443" s="33"/>
      <c r="BW443" s="33"/>
      <c r="BX443" s="33"/>
      <c r="BY443" s="33"/>
      <c r="BZ443" s="33"/>
      <c r="CA443" s="33"/>
      <c r="CB443" s="31"/>
      <c r="CC443" s="32"/>
      <c r="CD443" s="33"/>
      <c r="CE443" s="33"/>
      <c r="CF443" s="33"/>
      <c r="CG443" s="33"/>
      <c r="CH443" s="33"/>
      <c r="CI443" s="33"/>
      <c r="CJ443" s="33"/>
      <c r="CK443" s="33"/>
      <c r="CL443" s="33"/>
      <c r="CM443" s="33"/>
      <c r="CN443" s="33"/>
      <c r="CO443" s="31"/>
      <c r="CP443" s="32"/>
      <c r="CQ443" s="33"/>
      <c r="CR443" s="33"/>
      <c r="CS443" s="33"/>
      <c r="CT443" s="33"/>
      <c r="CU443" s="33"/>
      <c r="CV443" s="33"/>
      <c r="CW443" s="33"/>
      <c r="CX443" s="33"/>
      <c r="CY443" s="33"/>
      <c r="CZ443" s="33"/>
      <c r="DA443" s="33"/>
      <c r="DB443" s="31"/>
      <c r="DC443" s="32"/>
      <c r="DD443" s="33"/>
      <c r="DE443" s="33"/>
      <c r="DF443" s="33"/>
      <c r="DG443" s="33"/>
      <c r="DH443" s="33"/>
      <c r="DI443" s="33"/>
      <c r="DJ443" s="33"/>
      <c r="DK443" s="33"/>
      <c r="DL443" s="33"/>
      <c r="DM443" s="33"/>
      <c r="DN443" s="33"/>
      <c r="DO443" s="31"/>
      <c r="DP443" s="32"/>
      <c r="DQ443" s="33"/>
      <c r="DR443" s="33"/>
      <c r="DS443" s="33"/>
      <c r="DT443" s="33"/>
      <c r="DU443" s="33"/>
      <c r="DV443" s="33"/>
      <c r="DW443" s="33"/>
      <c r="DX443" s="33"/>
      <c r="DY443" s="33"/>
      <c r="DZ443" s="33"/>
      <c r="EA443" s="33"/>
      <c r="EB443" s="31"/>
      <c r="EC443" s="32"/>
      <c r="ED443" s="33"/>
      <c r="EE443" s="33"/>
      <c r="EF443" s="33"/>
      <c r="EG443" s="33"/>
      <c r="EH443" s="33"/>
      <c r="EI443" s="33"/>
      <c r="EJ443" s="33"/>
      <c r="EK443" s="33"/>
      <c r="EL443" s="33"/>
      <c r="EM443" s="33"/>
      <c r="EN443" s="33"/>
      <c r="EO443" s="31"/>
      <c r="EP443" s="32"/>
      <c r="EQ443" s="33"/>
      <c r="ER443" s="33"/>
      <c r="ES443" s="33"/>
      <c r="ET443" s="33"/>
      <c r="EU443" s="33"/>
      <c r="EV443" s="33"/>
      <c r="EW443" s="33"/>
      <c r="EX443" s="33"/>
      <c r="EY443" s="33"/>
      <c r="EZ443" s="33"/>
      <c r="FA443" s="33"/>
      <c r="FB443" s="31"/>
      <c r="FC443" s="32"/>
      <c r="FD443" s="33"/>
      <c r="FE443" s="33"/>
      <c r="FF443" s="33"/>
      <c r="FG443" s="33"/>
      <c r="FH443" s="33"/>
      <c r="FI443" s="33"/>
      <c r="FJ443" s="33"/>
      <c r="FK443" s="33"/>
      <c r="FL443" s="33"/>
      <c r="FM443" s="33"/>
      <c r="FN443" s="33"/>
      <c r="FO443" s="34">
        <f t="shared" ref="FO443:FV443" si="436">IFERROR(R443*1,0)+IFERROR(AE443*1,0)+IFERROR(AR443*1,0)+IFERROR(BE443*1,0)+IFERROR(BR443*1,0)+IFERROR(CE443*1,0)+IFERROR(CR443*1,0)+IFERROR(DE443*1,0)+IFERROR(DR443*1,0)+IFERROR(EE443*1,0)+IFERROR(ER443*1,0)+IFERROR(FE443*1,0)</f>
        <v>0</v>
      </c>
      <c r="FP443" s="34">
        <f t="shared" si="436"/>
        <v>0</v>
      </c>
      <c r="FQ443" s="34">
        <f t="shared" si="436"/>
        <v>0</v>
      </c>
      <c r="FR443" s="34">
        <f t="shared" si="436"/>
        <v>0</v>
      </c>
      <c r="FS443" s="34">
        <f t="shared" si="436"/>
        <v>0</v>
      </c>
      <c r="FT443" s="34">
        <f t="shared" si="436"/>
        <v>0</v>
      </c>
      <c r="FU443" s="34">
        <f t="shared" si="436"/>
        <v>0</v>
      </c>
      <c r="FV443" s="34">
        <f t="shared" si="436"/>
        <v>0</v>
      </c>
      <c r="FW443" s="28"/>
      <c r="FX443" s="29">
        <f t="shared" si="3"/>
        <v>0</v>
      </c>
    </row>
    <row r="444" spans="1:180" ht="18" customHeight="1" x14ac:dyDescent="0.25">
      <c r="A444" s="3" t="str">
        <f>IF(C444&lt;&gt;"","DRG-"&amp;TEXT(439,"000"),"")</f>
        <v/>
      </c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38">
        <v>4</v>
      </c>
      <c r="M444" s="23" t="str">
        <f t="shared" si="0"/>
        <v>✘ Pending</v>
      </c>
      <c r="N444" s="23">
        <f t="shared" si="1"/>
        <v>0</v>
      </c>
      <c r="O444" s="25"/>
      <c r="P444" s="26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  <c r="AB444" s="25"/>
      <c r="AC444" s="26"/>
      <c r="AD444" s="24"/>
      <c r="AE444" s="24"/>
      <c r="AF444" s="24"/>
      <c r="AG444" s="24"/>
      <c r="AH444" s="24"/>
      <c r="AI444" s="24"/>
      <c r="AJ444" s="24"/>
      <c r="AK444" s="24"/>
      <c r="AL444" s="24"/>
      <c r="AM444" s="24"/>
      <c r="AN444" s="24"/>
      <c r="AO444" s="25"/>
      <c r="AP444" s="26"/>
      <c r="AQ444" s="24"/>
      <c r="AR444" s="24"/>
      <c r="AS444" s="24"/>
      <c r="AT444" s="24"/>
      <c r="AU444" s="24"/>
      <c r="AV444" s="24"/>
      <c r="AW444" s="24"/>
      <c r="AX444" s="24"/>
      <c r="AY444" s="24"/>
      <c r="AZ444" s="24"/>
      <c r="BA444" s="24"/>
      <c r="BB444" s="25"/>
      <c r="BC444" s="26"/>
      <c r="BD444" s="24"/>
      <c r="BE444" s="24"/>
      <c r="BF444" s="24"/>
      <c r="BG444" s="24"/>
      <c r="BH444" s="24"/>
      <c r="BI444" s="24"/>
      <c r="BJ444" s="24"/>
      <c r="BK444" s="24"/>
      <c r="BL444" s="24"/>
      <c r="BM444" s="24"/>
      <c r="BN444" s="24"/>
      <c r="BO444" s="25"/>
      <c r="BP444" s="26"/>
      <c r="BQ444" s="24"/>
      <c r="BR444" s="24"/>
      <c r="BS444" s="24"/>
      <c r="BT444" s="24"/>
      <c r="BU444" s="24"/>
      <c r="BV444" s="24"/>
      <c r="BW444" s="24"/>
      <c r="BX444" s="24"/>
      <c r="BY444" s="24"/>
      <c r="BZ444" s="24"/>
      <c r="CA444" s="24"/>
      <c r="CB444" s="25"/>
      <c r="CC444" s="26"/>
      <c r="CD444" s="24"/>
      <c r="CE444" s="24"/>
      <c r="CF444" s="24"/>
      <c r="CG444" s="24"/>
      <c r="CH444" s="24"/>
      <c r="CI444" s="24"/>
      <c r="CJ444" s="24"/>
      <c r="CK444" s="24"/>
      <c r="CL444" s="24"/>
      <c r="CM444" s="24"/>
      <c r="CN444" s="24"/>
      <c r="CO444" s="25"/>
      <c r="CP444" s="26"/>
      <c r="CQ444" s="24"/>
      <c r="CR444" s="24"/>
      <c r="CS444" s="24"/>
      <c r="CT444" s="24"/>
      <c r="CU444" s="24"/>
      <c r="CV444" s="24"/>
      <c r="CW444" s="24"/>
      <c r="CX444" s="24"/>
      <c r="CY444" s="24"/>
      <c r="CZ444" s="24"/>
      <c r="DA444" s="24"/>
      <c r="DB444" s="25"/>
      <c r="DC444" s="26"/>
      <c r="DD444" s="24"/>
      <c r="DE444" s="24"/>
      <c r="DF444" s="24"/>
      <c r="DG444" s="24"/>
      <c r="DH444" s="24"/>
      <c r="DI444" s="24"/>
      <c r="DJ444" s="24"/>
      <c r="DK444" s="24"/>
      <c r="DL444" s="24"/>
      <c r="DM444" s="24"/>
      <c r="DN444" s="24"/>
      <c r="DO444" s="25"/>
      <c r="DP444" s="26"/>
      <c r="DQ444" s="24"/>
      <c r="DR444" s="24"/>
      <c r="DS444" s="24"/>
      <c r="DT444" s="24"/>
      <c r="DU444" s="24"/>
      <c r="DV444" s="24"/>
      <c r="DW444" s="24"/>
      <c r="DX444" s="24"/>
      <c r="DY444" s="24"/>
      <c r="DZ444" s="24"/>
      <c r="EA444" s="24"/>
      <c r="EB444" s="25"/>
      <c r="EC444" s="26"/>
      <c r="ED444" s="24"/>
      <c r="EE444" s="24"/>
      <c r="EF444" s="24"/>
      <c r="EG444" s="24"/>
      <c r="EH444" s="24"/>
      <c r="EI444" s="24"/>
      <c r="EJ444" s="24"/>
      <c r="EK444" s="24"/>
      <c r="EL444" s="24"/>
      <c r="EM444" s="24"/>
      <c r="EN444" s="24"/>
      <c r="EO444" s="25"/>
      <c r="EP444" s="26"/>
      <c r="EQ444" s="24"/>
      <c r="ER444" s="24"/>
      <c r="ES444" s="24"/>
      <c r="ET444" s="24"/>
      <c r="EU444" s="24"/>
      <c r="EV444" s="24"/>
      <c r="EW444" s="24"/>
      <c r="EX444" s="24"/>
      <c r="EY444" s="24"/>
      <c r="EZ444" s="24"/>
      <c r="FA444" s="24"/>
      <c r="FB444" s="25"/>
      <c r="FC444" s="26"/>
      <c r="FD444" s="24"/>
      <c r="FE444" s="24"/>
      <c r="FF444" s="24"/>
      <c r="FG444" s="24"/>
      <c r="FH444" s="24"/>
      <c r="FI444" s="24"/>
      <c r="FJ444" s="24"/>
      <c r="FK444" s="24"/>
      <c r="FL444" s="24"/>
      <c r="FM444" s="24"/>
      <c r="FN444" s="24"/>
      <c r="FO444" s="27">
        <f t="shared" ref="FO444:FV444" si="437">IFERROR(R444*1,0)+IFERROR(AE444*1,0)+IFERROR(AR444*1,0)+IFERROR(BE444*1,0)+IFERROR(BR444*1,0)+IFERROR(CE444*1,0)+IFERROR(CR444*1,0)+IFERROR(DE444*1,0)+IFERROR(DR444*1,0)+IFERROR(EE444*1,0)+IFERROR(ER444*1,0)+IFERROR(FE444*1,0)</f>
        <v>0</v>
      </c>
      <c r="FP444" s="27">
        <f t="shared" si="437"/>
        <v>0</v>
      </c>
      <c r="FQ444" s="27">
        <f t="shared" si="437"/>
        <v>0</v>
      </c>
      <c r="FR444" s="27">
        <f t="shared" si="437"/>
        <v>0</v>
      </c>
      <c r="FS444" s="27">
        <f t="shared" si="437"/>
        <v>0</v>
      </c>
      <c r="FT444" s="27">
        <f t="shared" si="437"/>
        <v>0</v>
      </c>
      <c r="FU444" s="27">
        <f t="shared" si="437"/>
        <v>0</v>
      </c>
      <c r="FV444" s="27">
        <f t="shared" si="437"/>
        <v>0</v>
      </c>
      <c r="FW444" s="28"/>
      <c r="FX444" s="29">
        <f t="shared" si="3"/>
        <v>0</v>
      </c>
    </row>
    <row r="445" spans="1:180" ht="18" customHeight="1" x14ac:dyDescent="0.25">
      <c r="A445" s="3" t="str">
        <f>IF(C445&lt;&gt;"","DRG-"&amp;TEXT(440,"000"),"")</f>
        <v/>
      </c>
      <c r="B445" s="33"/>
      <c r="C445" s="33"/>
      <c r="D445" s="33"/>
      <c r="E445" s="33"/>
      <c r="F445" s="33"/>
      <c r="G445" s="33"/>
      <c r="H445" s="33"/>
      <c r="I445" s="33"/>
      <c r="J445" s="33"/>
      <c r="K445" s="33"/>
      <c r="L445" s="37">
        <v>4</v>
      </c>
      <c r="M445" s="30" t="str">
        <f t="shared" si="0"/>
        <v>✘ Pending</v>
      </c>
      <c r="N445" s="30">
        <f t="shared" si="1"/>
        <v>0</v>
      </c>
      <c r="O445" s="31"/>
      <c r="P445" s="32"/>
      <c r="Q445" s="33"/>
      <c r="R445" s="33"/>
      <c r="S445" s="33"/>
      <c r="T445" s="33"/>
      <c r="U445" s="33"/>
      <c r="V445" s="33"/>
      <c r="W445" s="33"/>
      <c r="X445" s="33"/>
      <c r="Y445" s="33"/>
      <c r="Z445" s="33"/>
      <c r="AA445" s="33"/>
      <c r="AB445" s="31"/>
      <c r="AC445" s="32"/>
      <c r="AD445" s="33"/>
      <c r="AE445" s="33"/>
      <c r="AF445" s="33"/>
      <c r="AG445" s="33"/>
      <c r="AH445" s="33"/>
      <c r="AI445" s="33"/>
      <c r="AJ445" s="33"/>
      <c r="AK445" s="33"/>
      <c r="AL445" s="33"/>
      <c r="AM445" s="33"/>
      <c r="AN445" s="33"/>
      <c r="AO445" s="31"/>
      <c r="AP445" s="32"/>
      <c r="AQ445" s="33"/>
      <c r="AR445" s="33"/>
      <c r="AS445" s="33"/>
      <c r="AT445" s="33"/>
      <c r="AU445" s="33"/>
      <c r="AV445" s="33"/>
      <c r="AW445" s="33"/>
      <c r="AX445" s="33"/>
      <c r="AY445" s="33"/>
      <c r="AZ445" s="33"/>
      <c r="BA445" s="33"/>
      <c r="BB445" s="31"/>
      <c r="BC445" s="32"/>
      <c r="BD445" s="33"/>
      <c r="BE445" s="33"/>
      <c r="BF445" s="33"/>
      <c r="BG445" s="33"/>
      <c r="BH445" s="33"/>
      <c r="BI445" s="33"/>
      <c r="BJ445" s="33"/>
      <c r="BK445" s="33"/>
      <c r="BL445" s="33"/>
      <c r="BM445" s="33"/>
      <c r="BN445" s="33"/>
      <c r="BO445" s="31"/>
      <c r="BP445" s="32"/>
      <c r="BQ445" s="33"/>
      <c r="BR445" s="33"/>
      <c r="BS445" s="33"/>
      <c r="BT445" s="33"/>
      <c r="BU445" s="33"/>
      <c r="BV445" s="33"/>
      <c r="BW445" s="33"/>
      <c r="BX445" s="33"/>
      <c r="BY445" s="33"/>
      <c r="BZ445" s="33"/>
      <c r="CA445" s="33"/>
      <c r="CB445" s="31"/>
      <c r="CC445" s="32"/>
      <c r="CD445" s="33"/>
      <c r="CE445" s="33"/>
      <c r="CF445" s="33"/>
      <c r="CG445" s="33"/>
      <c r="CH445" s="33"/>
      <c r="CI445" s="33"/>
      <c r="CJ445" s="33"/>
      <c r="CK445" s="33"/>
      <c r="CL445" s="33"/>
      <c r="CM445" s="33"/>
      <c r="CN445" s="33"/>
      <c r="CO445" s="31"/>
      <c r="CP445" s="32"/>
      <c r="CQ445" s="33"/>
      <c r="CR445" s="33"/>
      <c r="CS445" s="33"/>
      <c r="CT445" s="33"/>
      <c r="CU445" s="33"/>
      <c r="CV445" s="33"/>
      <c r="CW445" s="33"/>
      <c r="CX445" s="33"/>
      <c r="CY445" s="33"/>
      <c r="CZ445" s="33"/>
      <c r="DA445" s="33"/>
      <c r="DB445" s="31"/>
      <c r="DC445" s="32"/>
      <c r="DD445" s="33"/>
      <c r="DE445" s="33"/>
      <c r="DF445" s="33"/>
      <c r="DG445" s="33"/>
      <c r="DH445" s="33"/>
      <c r="DI445" s="33"/>
      <c r="DJ445" s="33"/>
      <c r="DK445" s="33"/>
      <c r="DL445" s="33"/>
      <c r="DM445" s="33"/>
      <c r="DN445" s="33"/>
      <c r="DO445" s="31"/>
      <c r="DP445" s="32"/>
      <c r="DQ445" s="33"/>
      <c r="DR445" s="33"/>
      <c r="DS445" s="33"/>
      <c r="DT445" s="33"/>
      <c r="DU445" s="33"/>
      <c r="DV445" s="33"/>
      <c r="DW445" s="33"/>
      <c r="DX445" s="33"/>
      <c r="DY445" s="33"/>
      <c r="DZ445" s="33"/>
      <c r="EA445" s="33"/>
      <c r="EB445" s="31"/>
      <c r="EC445" s="32"/>
      <c r="ED445" s="33"/>
      <c r="EE445" s="33"/>
      <c r="EF445" s="33"/>
      <c r="EG445" s="33"/>
      <c r="EH445" s="33"/>
      <c r="EI445" s="33"/>
      <c r="EJ445" s="33"/>
      <c r="EK445" s="33"/>
      <c r="EL445" s="33"/>
      <c r="EM445" s="33"/>
      <c r="EN445" s="33"/>
      <c r="EO445" s="31"/>
      <c r="EP445" s="32"/>
      <c r="EQ445" s="33"/>
      <c r="ER445" s="33"/>
      <c r="ES445" s="33"/>
      <c r="ET445" s="33"/>
      <c r="EU445" s="33"/>
      <c r="EV445" s="33"/>
      <c r="EW445" s="33"/>
      <c r="EX445" s="33"/>
      <c r="EY445" s="33"/>
      <c r="EZ445" s="33"/>
      <c r="FA445" s="33"/>
      <c r="FB445" s="31"/>
      <c r="FC445" s="32"/>
      <c r="FD445" s="33"/>
      <c r="FE445" s="33"/>
      <c r="FF445" s="33"/>
      <c r="FG445" s="33"/>
      <c r="FH445" s="33"/>
      <c r="FI445" s="33"/>
      <c r="FJ445" s="33"/>
      <c r="FK445" s="33"/>
      <c r="FL445" s="33"/>
      <c r="FM445" s="33"/>
      <c r="FN445" s="33"/>
      <c r="FO445" s="34">
        <f t="shared" ref="FO445:FV445" si="438">IFERROR(R445*1,0)+IFERROR(AE445*1,0)+IFERROR(AR445*1,0)+IFERROR(BE445*1,0)+IFERROR(BR445*1,0)+IFERROR(CE445*1,0)+IFERROR(CR445*1,0)+IFERROR(DE445*1,0)+IFERROR(DR445*1,0)+IFERROR(EE445*1,0)+IFERROR(ER445*1,0)+IFERROR(FE445*1,0)</f>
        <v>0</v>
      </c>
      <c r="FP445" s="34">
        <f t="shared" si="438"/>
        <v>0</v>
      </c>
      <c r="FQ445" s="34">
        <f t="shared" si="438"/>
        <v>0</v>
      </c>
      <c r="FR445" s="34">
        <f t="shared" si="438"/>
        <v>0</v>
      </c>
      <c r="FS445" s="34">
        <f t="shared" si="438"/>
        <v>0</v>
      </c>
      <c r="FT445" s="34">
        <f t="shared" si="438"/>
        <v>0</v>
      </c>
      <c r="FU445" s="34">
        <f t="shared" si="438"/>
        <v>0</v>
      </c>
      <c r="FV445" s="34">
        <f t="shared" si="438"/>
        <v>0</v>
      </c>
      <c r="FW445" s="28"/>
      <c r="FX445" s="29">
        <f t="shared" si="3"/>
        <v>0</v>
      </c>
    </row>
    <row r="446" spans="1:180" ht="18" customHeight="1" x14ac:dyDescent="0.25">
      <c r="A446" s="3" t="str">
        <f>IF(C446&lt;&gt;"","DRG-"&amp;TEXT(441,"000"),"")</f>
        <v/>
      </c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38">
        <v>4</v>
      </c>
      <c r="M446" s="23" t="str">
        <f t="shared" si="0"/>
        <v>✘ Pending</v>
      </c>
      <c r="N446" s="23">
        <f t="shared" si="1"/>
        <v>0</v>
      </c>
      <c r="O446" s="25"/>
      <c r="P446" s="26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  <c r="AB446" s="25"/>
      <c r="AC446" s="26"/>
      <c r="AD446" s="24"/>
      <c r="AE446" s="24"/>
      <c r="AF446" s="24"/>
      <c r="AG446" s="24"/>
      <c r="AH446" s="24"/>
      <c r="AI446" s="24"/>
      <c r="AJ446" s="24"/>
      <c r="AK446" s="24"/>
      <c r="AL446" s="24"/>
      <c r="AM446" s="24"/>
      <c r="AN446" s="24"/>
      <c r="AO446" s="25"/>
      <c r="AP446" s="26"/>
      <c r="AQ446" s="24"/>
      <c r="AR446" s="24"/>
      <c r="AS446" s="24"/>
      <c r="AT446" s="24"/>
      <c r="AU446" s="24"/>
      <c r="AV446" s="24"/>
      <c r="AW446" s="24"/>
      <c r="AX446" s="24"/>
      <c r="AY446" s="24"/>
      <c r="AZ446" s="24"/>
      <c r="BA446" s="24"/>
      <c r="BB446" s="25"/>
      <c r="BC446" s="26"/>
      <c r="BD446" s="24"/>
      <c r="BE446" s="24"/>
      <c r="BF446" s="24"/>
      <c r="BG446" s="24"/>
      <c r="BH446" s="24"/>
      <c r="BI446" s="24"/>
      <c r="BJ446" s="24"/>
      <c r="BK446" s="24"/>
      <c r="BL446" s="24"/>
      <c r="BM446" s="24"/>
      <c r="BN446" s="24"/>
      <c r="BO446" s="25"/>
      <c r="BP446" s="26"/>
      <c r="BQ446" s="24"/>
      <c r="BR446" s="24"/>
      <c r="BS446" s="24"/>
      <c r="BT446" s="24"/>
      <c r="BU446" s="24"/>
      <c r="BV446" s="24"/>
      <c r="BW446" s="24"/>
      <c r="BX446" s="24"/>
      <c r="BY446" s="24"/>
      <c r="BZ446" s="24"/>
      <c r="CA446" s="24"/>
      <c r="CB446" s="25"/>
      <c r="CC446" s="26"/>
      <c r="CD446" s="24"/>
      <c r="CE446" s="24"/>
      <c r="CF446" s="24"/>
      <c r="CG446" s="24"/>
      <c r="CH446" s="24"/>
      <c r="CI446" s="24"/>
      <c r="CJ446" s="24"/>
      <c r="CK446" s="24"/>
      <c r="CL446" s="24"/>
      <c r="CM446" s="24"/>
      <c r="CN446" s="24"/>
      <c r="CO446" s="25"/>
      <c r="CP446" s="26"/>
      <c r="CQ446" s="24"/>
      <c r="CR446" s="24"/>
      <c r="CS446" s="24"/>
      <c r="CT446" s="24"/>
      <c r="CU446" s="24"/>
      <c r="CV446" s="24"/>
      <c r="CW446" s="24"/>
      <c r="CX446" s="24"/>
      <c r="CY446" s="24"/>
      <c r="CZ446" s="24"/>
      <c r="DA446" s="24"/>
      <c r="DB446" s="25"/>
      <c r="DC446" s="26"/>
      <c r="DD446" s="24"/>
      <c r="DE446" s="24"/>
      <c r="DF446" s="24"/>
      <c r="DG446" s="24"/>
      <c r="DH446" s="24"/>
      <c r="DI446" s="24"/>
      <c r="DJ446" s="24"/>
      <c r="DK446" s="24"/>
      <c r="DL446" s="24"/>
      <c r="DM446" s="24"/>
      <c r="DN446" s="24"/>
      <c r="DO446" s="25"/>
      <c r="DP446" s="26"/>
      <c r="DQ446" s="24"/>
      <c r="DR446" s="24"/>
      <c r="DS446" s="24"/>
      <c r="DT446" s="24"/>
      <c r="DU446" s="24"/>
      <c r="DV446" s="24"/>
      <c r="DW446" s="24"/>
      <c r="DX446" s="24"/>
      <c r="DY446" s="24"/>
      <c r="DZ446" s="24"/>
      <c r="EA446" s="24"/>
      <c r="EB446" s="25"/>
      <c r="EC446" s="26"/>
      <c r="ED446" s="24"/>
      <c r="EE446" s="24"/>
      <c r="EF446" s="24"/>
      <c r="EG446" s="24"/>
      <c r="EH446" s="24"/>
      <c r="EI446" s="24"/>
      <c r="EJ446" s="24"/>
      <c r="EK446" s="24"/>
      <c r="EL446" s="24"/>
      <c r="EM446" s="24"/>
      <c r="EN446" s="24"/>
      <c r="EO446" s="25"/>
      <c r="EP446" s="26"/>
      <c r="EQ446" s="24"/>
      <c r="ER446" s="24"/>
      <c r="ES446" s="24"/>
      <c r="ET446" s="24"/>
      <c r="EU446" s="24"/>
      <c r="EV446" s="24"/>
      <c r="EW446" s="24"/>
      <c r="EX446" s="24"/>
      <c r="EY446" s="24"/>
      <c r="EZ446" s="24"/>
      <c r="FA446" s="24"/>
      <c r="FB446" s="25"/>
      <c r="FC446" s="26"/>
      <c r="FD446" s="24"/>
      <c r="FE446" s="24"/>
      <c r="FF446" s="24"/>
      <c r="FG446" s="24"/>
      <c r="FH446" s="24"/>
      <c r="FI446" s="24"/>
      <c r="FJ446" s="24"/>
      <c r="FK446" s="24"/>
      <c r="FL446" s="24"/>
      <c r="FM446" s="24"/>
      <c r="FN446" s="24"/>
      <c r="FO446" s="27">
        <f t="shared" ref="FO446:FV446" si="439">IFERROR(R446*1,0)+IFERROR(AE446*1,0)+IFERROR(AR446*1,0)+IFERROR(BE446*1,0)+IFERROR(BR446*1,0)+IFERROR(CE446*1,0)+IFERROR(CR446*1,0)+IFERROR(DE446*1,0)+IFERROR(DR446*1,0)+IFERROR(EE446*1,0)+IFERROR(ER446*1,0)+IFERROR(FE446*1,0)</f>
        <v>0</v>
      </c>
      <c r="FP446" s="27">
        <f t="shared" si="439"/>
        <v>0</v>
      </c>
      <c r="FQ446" s="27">
        <f t="shared" si="439"/>
        <v>0</v>
      </c>
      <c r="FR446" s="27">
        <f t="shared" si="439"/>
        <v>0</v>
      </c>
      <c r="FS446" s="27">
        <f t="shared" si="439"/>
        <v>0</v>
      </c>
      <c r="FT446" s="27">
        <f t="shared" si="439"/>
        <v>0</v>
      </c>
      <c r="FU446" s="27">
        <f t="shared" si="439"/>
        <v>0</v>
      </c>
      <c r="FV446" s="27">
        <f t="shared" si="439"/>
        <v>0</v>
      </c>
      <c r="FW446" s="28"/>
      <c r="FX446" s="29">
        <f t="shared" si="3"/>
        <v>0</v>
      </c>
    </row>
    <row r="447" spans="1:180" ht="18" customHeight="1" x14ac:dyDescent="0.25">
      <c r="A447" s="3" t="str">
        <f>IF(C447&lt;&gt;"","DRG-"&amp;TEXT(442,"000"),"")</f>
        <v/>
      </c>
      <c r="B447" s="33"/>
      <c r="C447" s="33"/>
      <c r="D447" s="33"/>
      <c r="E447" s="33"/>
      <c r="F447" s="33"/>
      <c r="G447" s="33"/>
      <c r="H447" s="33"/>
      <c r="I447" s="33"/>
      <c r="J447" s="33"/>
      <c r="K447" s="33"/>
      <c r="L447" s="37">
        <v>4</v>
      </c>
      <c r="M447" s="30" t="str">
        <f t="shared" si="0"/>
        <v>✘ Pending</v>
      </c>
      <c r="N447" s="30">
        <f t="shared" si="1"/>
        <v>0</v>
      </c>
      <c r="O447" s="31"/>
      <c r="P447" s="32"/>
      <c r="Q447" s="33"/>
      <c r="R447" s="33"/>
      <c r="S447" s="33"/>
      <c r="T447" s="33"/>
      <c r="U447" s="33"/>
      <c r="V447" s="33"/>
      <c r="W447" s="33"/>
      <c r="X447" s="33"/>
      <c r="Y447" s="33"/>
      <c r="Z447" s="33"/>
      <c r="AA447" s="33"/>
      <c r="AB447" s="31"/>
      <c r="AC447" s="32"/>
      <c r="AD447" s="33"/>
      <c r="AE447" s="33"/>
      <c r="AF447" s="33"/>
      <c r="AG447" s="33"/>
      <c r="AH447" s="33"/>
      <c r="AI447" s="33"/>
      <c r="AJ447" s="33"/>
      <c r="AK447" s="33"/>
      <c r="AL447" s="33"/>
      <c r="AM447" s="33"/>
      <c r="AN447" s="33"/>
      <c r="AO447" s="31"/>
      <c r="AP447" s="32"/>
      <c r="AQ447" s="33"/>
      <c r="AR447" s="33"/>
      <c r="AS447" s="33"/>
      <c r="AT447" s="33"/>
      <c r="AU447" s="33"/>
      <c r="AV447" s="33"/>
      <c r="AW447" s="33"/>
      <c r="AX447" s="33"/>
      <c r="AY447" s="33"/>
      <c r="AZ447" s="33"/>
      <c r="BA447" s="33"/>
      <c r="BB447" s="31"/>
      <c r="BC447" s="32"/>
      <c r="BD447" s="33"/>
      <c r="BE447" s="33"/>
      <c r="BF447" s="33"/>
      <c r="BG447" s="33"/>
      <c r="BH447" s="33"/>
      <c r="BI447" s="33"/>
      <c r="BJ447" s="33"/>
      <c r="BK447" s="33"/>
      <c r="BL447" s="33"/>
      <c r="BM447" s="33"/>
      <c r="BN447" s="33"/>
      <c r="BO447" s="31"/>
      <c r="BP447" s="32"/>
      <c r="BQ447" s="33"/>
      <c r="BR447" s="33"/>
      <c r="BS447" s="33"/>
      <c r="BT447" s="33"/>
      <c r="BU447" s="33"/>
      <c r="BV447" s="33"/>
      <c r="BW447" s="33"/>
      <c r="BX447" s="33"/>
      <c r="BY447" s="33"/>
      <c r="BZ447" s="33"/>
      <c r="CA447" s="33"/>
      <c r="CB447" s="31"/>
      <c r="CC447" s="32"/>
      <c r="CD447" s="33"/>
      <c r="CE447" s="33"/>
      <c r="CF447" s="33"/>
      <c r="CG447" s="33"/>
      <c r="CH447" s="33"/>
      <c r="CI447" s="33"/>
      <c r="CJ447" s="33"/>
      <c r="CK447" s="33"/>
      <c r="CL447" s="33"/>
      <c r="CM447" s="33"/>
      <c r="CN447" s="33"/>
      <c r="CO447" s="31"/>
      <c r="CP447" s="32"/>
      <c r="CQ447" s="33"/>
      <c r="CR447" s="33"/>
      <c r="CS447" s="33"/>
      <c r="CT447" s="33"/>
      <c r="CU447" s="33"/>
      <c r="CV447" s="33"/>
      <c r="CW447" s="33"/>
      <c r="CX447" s="33"/>
      <c r="CY447" s="33"/>
      <c r="CZ447" s="33"/>
      <c r="DA447" s="33"/>
      <c r="DB447" s="31"/>
      <c r="DC447" s="32"/>
      <c r="DD447" s="33"/>
      <c r="DE447" s="33"/>
      <c r="DF447" s="33"/>
      <c r="DG447" s="33"/>
      <c r="DH447" s="33"/>
      <c r="DI447" s="33"/>
      <c r="DJ447" s="33"/>
      <c r="DK447" s="33"/>
      <c r="DL447" s="33"/>
      <c r="DM447" s="33"/>
      <c r="DN447" s="33"/>
      <c r="DO447" s="31"/>
      <c r="DP447" s="32"/>
      <c r="DQ447" s="33"/>
      <c r="DR447" s="33"/>
      <c r="DS447" s="33"/>
      <c r="DT447" s="33"/>
      <c r="DU447" s="33"/>
      <c r="DV447" s="33"/>
      <c r="DW447" s="33"/>
      <c r="DX447" s="33"/>
      <c r="DY447" s="33"/>
      <c r="DZ447" s="33"/>
      <c r="EA447" s="33"/>
      <c r="EB447" s="31"/>
      <c r="EC447" s="32"/>
      <c r="ED447" s="33"/>
      <c r="EE447" s="33"/>
      <c r="EF447" s="33"/>
      <c r="EG447" s="33"/>
      <c r="EH447" s="33"/>
      <c r="EI447" s="33"/>
      <c r="EJ447" s="33"/>
      <c r="EK447" s="33"/>
      <c r="EL447" s="33"/>
      <c r="EM447" s="33"/>
      <c r="EN447" s="33"/>
      <c r="EO447" s="31"/>
      <c r="EP447" s="32"/>
      <c r="EQ447" s="33"/>
      <c r="ER447" s="33"/>
      <c r="ES447" s="33"/>
      <c r="ET447" s="33"/>
      <c r="EU447" s="33"/>
      <c r="EV447" s="33"/>
      <c r="EW447" s="33"/>
      <c r="EX447" s="33"/>
      <c r="EY447" s="33"/>
      <c r="EZ447" s="33"/>
      <c r="FA447" s="33"/>
      <c r="FB447" s="31"/>
      <c r="FC447" s="32"/>
      <c r="FD447" s="33"/>
      <c r="FE447" s="33"/>
      <c r="FF447" s="33"/>
      <c r="FG447" s="33"/>
      <c r="FH447" s="33"/>
      <c r="FI447" s="33"/>
      <c r="FJ447" s="33"/>
      <c r="FK447" s="33"/>
      <c r="FL447" s="33"/>
      <c r="FM447" s="33"/>
      <c r="FN447" s="33"/>
      <c r="FO447" s="34">
        <f t="shared" ref="FO447:FV447" si="440">IFERROR(R447*1,0)+IFERROR(AE447*1,0)+IFERROR(AR447*1,0)+IFERROR(BE447*1,0)+IFERROR(BR447*1,0)+IFERROR(CE447*1,0)+IFERROR(CR447*1,0)+IFERROR(DE447*1,0)+IFERROR(DR447*1,0)+IFERROR(EE447*1,0)+IFERROR(ER447*1,0)+IFERROR(FE447*1,0)</f>
        <v>0</v>
      </c>
      <c r="FP447" s="34">
        <f t="shared" si="440"/>
        <v>0</v>
      </c>
      <c r="FQ447" s="34">
        <f t="shared" si="440"/>
        <v>0</v>
      </c>
      <c r="FR447" s="34">
        <f t="shared" si="440"/>
        <v>0</v>
      </c>
      <c r="FS447" s="34">
        <f t="shared" si="440"/>
        <v>0</v>
      </c>
      <c r="FT447" s="34">
        <f t="shared" si="440"/>
        <v>0</v>
      </c>
      <c r="FU447" s="34">
        <f t="shared" si="440"/>
        <v>0</v>
      </c>
      <c r="FV447" s="34">
        <f t="shared" si="440"/>
        <v>0</v>
      </c>
      <c r="FW447" s="28"/>
      <c r="FX447" s="29">
        <f t="shared" si="3"/>
        <v>0</v>
      </c>
    </row>
    <row r="448" spans="1:180" ht="18" customHeight="1" x14ac:dyDescent="0.25">
      <c r="A448" s="3" t="str">
        <f>IF(C448&lt;&gt;"","DRG-"&amp;TEXT(443,"000"),"")</f>
        <v/>
      </c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38">
        <v>4</v>
      </c>
      <c r="M448" s="23" t="str">
        <f t="shared" si="0"/>
        <v>✘ Pending</v>
      </c>
      <c r="N448" s="23">
        <f t="shared" si="1"/>
        <v>0</v>
      </c>
      <c r="O448" s="25"/>
      <c r="P448" s="26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  <c r="AB448" s="25"/>
      <c r="AC448" s="26"/>
      <c r="AD448" s="24"/>
      <c r="AE448" s="24"/>
      <c r="AF448" s="24"/>
      <c r="AG448" s="24"/>
      <c r="AH448" s="24"/>
      <c r="AI448" s="24"/>
      <c r="AJ448" s="24"/>
      <c r="AK448" s="24"/>
      <c r="AL448" s="24"/>
      <c r="AM448" s="24"/>
      <c r="AN448" s="24"/>
      <c r="AO448" s="25"/>
      <c r="AP448" s="26"/>
      <c r="AQ448" s="24"/>
      <c r="AR448" s="24"/>
      <c r="AS448" s="24"/>
      <c r="AT448" s="24"/>
      <c r="AU448" s="24"/>
      <c r="AV448" s="24"/>
      <c r="AW448" s="24"/>
      <c r="AX448" s="24"/>
      <c r="AY448" s="24"/>
      <c r="AZ448" s="24"/>
      <c r="BA448" s="24"/>
      <c r="BB448" s="25"/>
      <c r="BC448" s="26"/>
      <c r="BD448" s="24"/>
      <c r="BE448" s="24"/>
      <c r="BF448" s="24"/>
      <c r="BG448" s="24"/>
      <c r="BH448" s="24"/>
      <c r="BI448" s="24"/>
      <c r="BJ448" s="24"/>
      <c r="BK448" s="24"/>
      <c r="BL448" s="24"/>
      <c r="BM448" s="24"/>
      <c r="BN448" s="24"/>
      <c r="BO448" s="25"/>
      <c r="BP448" s="26"/>
      <c r="BQ448" s="24"/>
      <c r="BR448" s="24"/>
      <c r="BS448" s="24"/>
      <c r="BT448" s="24"/>
      <c r="BU448" s="24"/>
      <c r="BV448" s="24"/>
      <c r="BW448" s="24"/>
      <c r="BX448" s="24"/>
      <c r="BY448" s="24"/>
      <c r="BZ448" s="24"/>
      <c r="CA448" s="24"/>
      <c r="CB448" s="25"/>
      <c r="CC448" s="26"/>
      <c r="CD448" s="24"/>
      <c r="CE448" s="24"/>
      <c r="CF448" s="24"/>
      <c r="CG448" s="24"/>
      <c r="CH448" s="24"/>
      <c r="CI448" s="24"/>
      <c r="CJ448" s="24"/>
      <c r="CK448" s="24"/>
      <c r="CL448" s="24"/>
      <c r="CM448" s="24"/>
      <c r="CN448" s="24"/>
      <c r="CO448" s="25"/>
      <c r="CP448" s="26"/>
      <c r="CQ448" s="24"/>
      <c r="CR448" s="24"/>
      <c r="CS448" s="24"/>
      <c r="CT448" s="24"/>
      <c r="CU448" s="24"/>
      <c r="CV448" s="24"/>
      <c r="CW448" s="24"/>
      <c r="CX448" s="24"/>
      <c r="CY448" s="24"/>
      <c r="CZ448" s="24"/>
      <c r="DA448" s="24"/>
      <c r="DB448" s="25"/>
      <c r="DC448" s="26"/>
      <c r="DD448" s="24"/>
      <c r="DE448" s="24"/>
      <c r="DF448" s="24"/>
      <c r="DG448" s="24"/>
      <c r="DH448" s="24"/>
      <c r="DI448" s="24"/>
      <c r="DJ448" s="24"/>
      <c r="DK448" s="24"/>
      <c r="DL448" s="24"/>
      <c r="DM448" s="24"/>
      <c r="DN448" s="24"/>
      <c r="DO448" s="25"/>
      <c r="DP448" s="26"/>
      <c r="DQ448" s="24"/>
      <c r="DR448" s="24"/>
      <c r="DS448" s="24"/>
      <c r="DT448" s="24"/>
      <c r="DU448" s="24"/>
      <c r="DV448" s="24"/>
      <c r="DW448" s="24"/>
      <c r="DX448" s="24"/>
      <c r="DY448" s="24"/>
      <c r="DZ448" s="24"/>
      <c r="EA448" s="24"/>
      <c r="EB448" s="25"/>
      <c r="EC448" s="26"/>
      <c r="ED448" s="24"/>
      <c r="EE448" s="24"/>
      <c r="EF448" s="24"/>
      <c r="EG448" s="24"/>
      <c r="EH448" s="24"/>
      <c r="EI448" s="24"/>
      <c r="EJ448" s="24"/>
      <c r="EK448" s="24"/>
      <c r="EL448" s="24"/>
      <c r="EM448" s="24"/>
      <c r="EN448" s="24"/>
      <c r="EO448" s="25"/>
      <c r="EP448" s="26"/>
      <c r="EQ448" s="24"/>
      <c r="ER448" s="24"/>
      <c r="ES448" s="24"/>
      <c r="ET448" s="24"/>
      <c r="EU448" s="24"/>
      <c r="EV448" s="24"/>
      <c r="EW448" s="24"/>
      <c r="EX448" s="24"/>
      <c r="EY448" s="24"/>
      <c r="EZ448" s="24"/>
      <c r="FA448" s="24"/>
      <c r="FB448" s="25"/>
      <c r="FC448" s="26"/>
      <c r="FD448" s="24"/>
      <c r="FE448" s="24"/>
      <c r="FF448" s="24"/>
      <c r="FG448" s="24"/>
      <c r="FH448" s="24"/>
      <c r="FI448" s="24"/>
      <c r="FJ448" s="24"/>
      <c r="FK448" s="24"/>
      <c r="FL448" s="24"/>
      <c r="FM448" s="24"/>
      <c r="FN448" s="24"/>
      <c r="FO448" s="27">
        <f t="shared" ref="FO448:FV448" si="441">IFERROR(R448*1,0)+IFERROR(AE448*1,0)+IFERROR(AR448*1,0)+IFERROR(BE448*1,0)+IFERROR(BR448*1,0)+IFERROR(CE448*1,0)+IFERROR(CR448*1,0)+IFERROR(DE448*1,0)+IFERROR(DR448*1,0)+IFERROR(EE448*1,0)+IFERROR(ER448*1,0)+IFERROR(FE448*1,0)</f>
        <v>0</v>
      </c>
      <c r="FP448" s="27">
        <f t="shared" si="441"/>
        <v>0</v>
      </c>
      <c r="FQ448" s="27">
        <f t="shared" si="441"/>
        <v>0</v>
      </c>
      <c r="FR448" s="27">
        <f t="shared" si="441"/>
        <v>0</v>
      </c>
      <c r="FS448" s="27">
        <f t="shared" si="441"/>
        <v>0</v>
      </c>
      <c r="FT448" s="27">
        <f t="shared" si="441"/>
        <v>0</v>
      </c>
      <c r="FU448" s="27">
        <f t="shared" si="441"/>
        <v>0</v>
      </c>
      <c r="FV448" s="27">
        <f t="shared" si="441"/>
        <v>0</v>
      </c>
      <c r="FW448" s="28"/>
      <c r="FX448" s="29">
        <f t="shared" si="3"/>
        <v>0</v>
      </c>
    </row>
    <row r="449" spans="1:180" ht="18" customHeight="1" x14ac:dyDescent="0.25">
      <c r="A449" s="3" t="str">
        <f>IF(C449&lt;&gt;"","DRG-"&amp;TEXT(444,"000"),"")</f>
        <v/>
      </c>
      <c r="B449" s="33"/>
      <c r="C449" s="33"/>
      <c r="D449" s="33"/>
      <c r="E449" s="33"/>
      <c r="F449" s="33"/>
      <c r="G449" s="33"/>
      <c r="H449" s="33"/>
      <c r="I449" s="33"/>
      <c r="J449" s="33"/>
      <c r="K449" s="33"/>
      <c r="L449" s="37">
        <v>4</v>
      </c>
      <c r="M449" s="30" t="str">
        <f t="shared" si="0"/>
        <v>✘ Pending</v>
      </c>
      <c r="N449" s="30">
        <f t="shared" si="1"/>
        <v>0</v>
      </c>
      <c r="O449" s="31"/>
      <c r="P449" s="32"/>
      <c r="Q449" s="33"/>
      <c r="R449" s="33"/>
      <c r="S449" s="33"/>
      <c r="T449" s="33"/>
      <c r="U449" s="33"/>
      <c r="V449" s="33"/>
      <c r="W449" s="33"/>
      <c r="X449" s="33"/>
      <c r="Y449" s="33"/>
      <c r="Z449" s="33"/>
      <c r="AA449" s="33"/>
      <c r="AB449" s="31"/>
      <c r="AC449" s="32"/>
      <c r="AD449" s="33"/>
      <c r="AE449" s="33"/>
      <c r="AF449" s="33"/>
      <c r="AG449" s="33"/>
      <c r="AH449" s="33"/>
      <c r="AI449" s="33"/>
      <c r="AJ449" s="33"/>
      <c r="AK449" s="33"/>
      <c r="AL449" s="33"/>
      <c r="AM449" s="33"/>
      <c r="AN449" s="33"/>
      <c r="AO449" s="31"/>
      <c r="AP449" s="32"/>
      <c r="AQ449" s="33"/>
      <c r="AR449" s="33"/>
      <c r="AS449" s="33"/>
      <c r="AT449" s="33"/>
      <c r="AU449" s="33"/>
      <c r="AV449" s="33"/>
      <c r="AW449" s="33"/>
      <c r="AX449" s="33"/>
      <c r="AY449" s="33"/>
      <c r="AZ449" s="33"/>
      <c r="BA449" s="33"/>
      <c r="BB449" s="31"/>
      <c r="BC449" s="32"/>
      <c r="BD449" s="33"/>
      <c r="BE449" s="33"/>
      <c r="BF449" s="33"/>
      <c r="BG449" s="33"/>
      <c r="BH449" s="33"/>
      <c r="BI449" s="33"/>
      <c r="BJ449" s="33"/>
      <c r="BK449" s="33"/>
      <c r="BL449" s="33"/>
      <c r="BM449" s="33"/>
      <c r="BN449" s="33"/>
      <c r="BO449" s="31"/>
      <c r="BP449" s="32"/>
      <c r="BQ449" s="33"/>
      <c r="BR449" s="33"/>
      <c r="BS449" s="33"/>
      <c r="BT449" s="33"/>
      <c r="BU449" s="33"/>
      <c r="BV449" s="33"/>
      <c r="BW449" s="33"/>
      <c r="BX449" s="33"/>
      <c r="BY449" s="33"/>
      <c r="BZ449" s="33"/>
      <c r="CA449" s="33"/>
      <c r="CB449" s="31"/>
      <c r="CC449" s="32"/>
      <c r="CD449" s="33"/>
      <c r="CE449" s="33"/>
      <c r="CF449" s="33"/>
      <c r="CG449" s="33"/>
      <c r="CH449" s="33"/>
      <c r="CI449" s="33"/>
      <c r="CJ449" s="33"/>
      <c r="CK449" s="33"/>
      <c r="CL449" s="33"/>
      <c r="CM449" s="33"/>
      <c r="CN449" s="33"/>
      <c r="CO449" s="31"/>
      <c r="CP449" s="32"/>
      <c r="CQ449" s="33"/>
      <c r="CR449" s="33"/>
      <c r="CS449" s="33"/>
      <c r="CT449" s="33"/>
      <c r="CU449" s="33"/>
      <c r="CV449" s="33"/>
      <c r="CW449" s="33"/>
      <c r="CX449" s="33"/>
      <c r="CY449" s="33"/>
      <c r="CZ449" s="33"/>
      <c r="DA449" s="33"/>
      <c r="DB449" s="31"/>
      <c r="DC449" s="32"/>
      <c r="DD449" s="33"/>
      <c r="DE449" s="33"/>
      <c r="DF449" s="33"/>
      <c r="DG449" s="33"/>
      <c r="DH449" s="33"/>
      <c r="DI449" s="33"/>
      <c r="DJ449" s="33"/>
      <c r="DK449" s="33"/>
      <c r="DL449" s="33"/>
      <c r="DM449" s="33"/>
      <c r="DN449" s="33"/>
      <c r="DO449" s="31"/>
      <c r="DP449" s="32"/>
      <c r="DQ449" s="33"/>
      <c r="DR449" s="33"/>
      <c r="DS449" s="33"/>
      <c r="DT449" s="33"/>
      <c r="DU449" s="33"/>
      <c r="DV449" s="33"/>
      <c r="DW449" s="33"/>
      <c r="DX449" s="33"/>
      <c r="DY449" s="33"/>
      <c r="DZ449" s="33"/>
      <c r="EA449" s="33"/>
      <c r="EB449" s="31"/>
      <c r="EC449" s="32"/>
      <c r="ED449" s="33"/>
      <c r="EE449" s="33"/>
      <c r="EF449" s="33"/>
      <c r="EG449" s="33"/>
      <c r="EH449" s="33"/>
      <c r="EI449" s="33"/>
      <c r="EJ449" s="33"/>
      <c r="EK449" s="33"/>
      <c r="EL449" s="33"/>
      <c r="EM449" s="33"/>
      <c r="EN449" s="33"/>
      <c r="EO449" s="31"/>
      <c r="EP449" s="32"/>
      <c r="EQ449" s="33"/>
      <c r="ER449" s="33"/>
      <c r="ES449" s="33"/>
      <c r="ET449" s="33"/>
      <c r="EU449" s="33"/>
      <c r="EV449" s="33"/>
      <c r="EW449" s="33"/>
      <c r="EX449" s="33"/>
      <c r="EY449" s="33"/>
      <c r="EZ449" s="33"/>
      <c r="FA449" s="33"/>
      <c r="FB449" s="31"/>
      <c r="FC449" s="32"/>
      <c r="FD449" s="33"/>
      <c r="FE449" s="33"/>
      <c r="FF449" s="33"/>
      <c r="FG449" s="33"/>
      <c r="FH449" s="33"/>
      <c r="FI449" s="33"/>
      <c r="FJ449" s="33"/>
      <c r="FK449" s="33"/>
      <c r="FL449" s="33"/>
      <c r="FM449" s="33"/>
      <c r="FN449" s="33"/>
      <c r="FO449" s="34">
        <f t="shared" ref="FO449:FV449" si="442">IFERROR(R449*1,0)+IFERROR(AE449*1,0)+IFERROR(AR449*1,0)+IFERROR(BE449*1,0)+IFERROR(BR449*1,0)+IFERROR(CE449*1,0)+IFERROR(CR449*1,0)+IFERROR(DE449*1,0)+IFERROR(DR449*1,0)+IFERROR(EE449*1,0)+IFERROR(ER449*1,0)+IFERROR(FE449*1,0)</f>
        <v>0</v>
      </c>
      <c r="FP449" s="34">
        <f t="shared" si="442"/>
        <v>0</v>
      </c>
      <c r="FQ449" s="34">
        <f t="shared" si="442"/>
        <v>0</v>
      </c>
      <c r="FR449" s="34">
        <f t="shared" si="442"/>
        <v>0</v>
      </c>
      <c r="FS449" s="34">
        <f t="shared" si="442"/>
        <v>0</v>
      </c>
      <c r="FT449" s="34">
        <f t="shared" si="442"/>
        <v>0</v>
      </c>
      <c r="FU449" s="34">
        <f t="shared" si="442"/>
        <v>0</v>
      </c>
      <c r="FV449" s="34">
        <f t="shared" si="442"/>
        <v>0</v>
      </c>
      <c r="FW449" s="28"/>
      <c r="FX449" s="29">
        <f t="shared" si="3"/>
        <v>0</v>
      </c>
    </row>
    <row r="450" spans="1:180" ht="18" customHeight="1" x14ac:dyDescent="0.25">
      <c r="A450" s="3" t="str">
        <f>IF(C450&lt;&gt;"","DRG-"&amp;TEXT(445,"000"),"")</f>
        <v/>
      </c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38">
        <v>4</v>
      </c>
      <c r="M450" s="23" t="str">
        <f t="shared" si="0"/>
        <v>✘ Pending</v>
      </c>
      <c r="N450" s="23">
        <f t="shared" si="1"/>
        <v>0</v>
      </c>
      <c r="O450" s="25"/>
      <c r="P450" s="26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  <c r="AB450" s="25"/>
      <c r="AC450" s="26"/>
      <c r="AD450" s="24"/>
      <c r="AE450" s="24"/>
      <c r="AF450" s="24"/>
      <c r="AG450" s="24"/>
      <c r="AH450" s="24"/>
      <c r="AI450" s="24"/>
      <c r="AJ450" s="24"/>
      <c r="AK450" s="24"/>
      <c r="AL450" s="24"/>
      <c r="AM450" s="24"/>
      <c r="AN450" s="24"/>
      <c r="AO450" s="25"/>
      <c r="AP450" s="26"/>
      <c r="AQ450" s="24"/>
      <c r="AR450" s="24"/>
      <c r="AS450" s="24"/>
      <c r="AT450" s="24"/>
      <c r="AU450" s="24"/>
      <c r="AV450" s="24"/>
      <c r="AW450" s="24"/>
      <c r="AX450" s="24"/>
      <c r="AY450" s="24"/>
      <c r="AZ450" s="24"/>
      <c r="BA450" s="24"/>
      <c r="BB450" s="25"/>
      <c r="BC450" s="26"/>
      <c r="BD450" s="24"/>
      <c r="BE450" s="24"/>
      <c r="BF450" s="24"/>
      <c r="BG450" s="24"/>
      <c r="BH450" s="24"/>
      <c r="BI450" s="24"/>
      <c r="BJ450" s="24"/>
      <c r="BK450" s="24"/>
      <c r="BL450" s="24"/>
      <c r="BM450" s="24"/>
      <c r="BN450" s="24"/>
      <c r="BO450" s="25"/>
      <c r="BP450" s="26"/>
      <c r="BQ450" s="24"/>
      <c r="BR450" s="24"/>
      <c r="BS450" s="24"/>
      <c r="BT450" s="24"/>
      <c r="BU450" s="24"/>
      <c r="BV450" s="24"/>
      <c r="BW450" s="24"/>
      <c r="BX450" s="24"/>
      <c r="BY450" s="24"/>
      <c r="BZ450" s="24"/>
      <c r="CA450" s="24"/>
      <c r="CB450" s="25"/>
      <c r="CC450" s="26"/>
      <c r="CD450" s="24"/>
      <c r="CE450" s="24"/>
      <c r="CF450" s="24"/>
      <c r="CG450" s="24"/>
      <c r="CH450" s="24"/>
      <c r="CI450" s="24"/>
      <c r="CJ450" s="24"/>
      <c r="CK450" s="24"/>
      <c r="CL450" s="24"/>
      <c r="CM450" s="24"/>
      <c r="CN450" s="24"/>
      <c r="CO450" s="25"/>
      <c r="CP450" s="26"/>
      <c r="CQ450" s="24"/>
      <c r="CR450" s="24"/>
      <c r="CS450" s="24"/>
      <c r="CT450" s="24"/>
      <c r="CU450" s="24"/>
      <c r="CV450" s="24"/>
      <c r="CW450" s="24"/>
      <c r="CX450" s="24"/>
      <c r="CY450" s="24"/>
      <c r="CZ450" s="24"/>
      <c r="DA450" s="24"/>
      <c r="DB450" s="25"/>
      <c r="DC450" s="26"/>
      <c r="DD450" s="24"/>
      <c r="DE450" s="24"/>
      <c r="DF450" s="24"/>
      <c r="DG450" s="24"/>
      <c r="DH450" s="24"/>
      <c r="DI450" s="24"/>
      <c r="DJ450" s="24"/>
      <c r="DK450" s="24"/>
      <c r="DL450" s="24"/>
      <c r="DM450" s="24"/>
      <c r="DN450" s="24"/>
      <c r="DO450" s="25"/>
      <c r="DP450" s="26"/>
      <c r="DQ450" s="24"/>
      <c r="DR450" s="24"/>
      <c r="DS450" s="24"/>
      <c r="DT450" s="24"/>
      <c r="DU450" s="24"/>
      <c r="DV450" s="24"/>
      <c r="DW450" s="24"/>
      <c r="DX450" s="24"/>
      <c r="DY450" s="24"/>
      <c r="DZ450" s="24"/>
      <c r="EA450" s="24"/>
      <c r="EB450" s="25"/>
      <c r="EC450" s="26"/>
      <c r="ED450" s="24"/>
      <c r="EE450" s="24"/>
      <c r="EF450" s="24"/>
      <c r="EG450" s="24"/>
      <c r="EH450" s="24"/>
      <c r="EI450" s="24"/>
      <c r="EJ450" s="24"/>
      <c r="EK450" s="24"/>
      <c r="EL450" s="24"/>
      <c r="EM450" s="24"/>
      <c r="EN450" s="24"/>
      <c r="EO450" s="25"/>
      <c r="EP450" s="26"/>
      <c r="EQ450" s="24"/>
      <c r="ER450" s="24"/>
      <c r="ES450" s="24"/>
      <c r="ET450" s="24"/>
      <c r="EU450" s="24"/>
      <c r="EV450" s="24"/>
      <c r="EW450" s="24"/>
      <c r="EX450" s="24"/>
      <c r="EY450" s="24"/>
      <c r="EZ450" s="24"/>
      <c r="FA450" s="24"/>
      <c r="FB450" s="25"/>
      <c r="FC450" s="26"/>
      <c r="FD450" s="24"/>
      <c r="FE450" s="24"/>
      <c r="FF450" s="24"/>
      <c r="FG450" s="24"/>
      <c r="FH450" s="24"/>
      <c r="FI450" s="24"/>
      <c r="FJ450" s="24"/>
      <c r="FK450" s="24"/>
      <c r="FL450" s="24"/>
      <c r="FM450" s="24"/>
      <c r="FN450" s="24"/>
      <c r="FO450" s="27">
        <f t="shared" ref="FO450:FV450" si="443">IFERROR(R450*1,0)+IFERROR(AE450*1,0)+IFERROR(AR450*1,0)+IFERROR(BE450*1,0)+IFERROR(BR450*1,0)+IFERROR(CE450*1,0)+IFERROR(CR450*1,0)+IFERROR(DE450*1,0)+IFERROR(DR450*1,0)+IFERROR(EE450*1,0)+IFERROR(ER450*1,0)+IFERROR(FE450*1,0)</f>
        <v>0</v>
      </c>
      <c r="FP450" s="27">
        <f t="shared" si="443"/>
        <v>0</v>
      </c>
      <c r="FQ450" s="27">
        <f t="shared" si="443"/>
        <v>0</v>
      </c>
      <c r="FR450" s="27">
        <f t="shared" si="443"/>
        <v>0</v>
      </c>
      <c r="FS450" s="27">
        <f t="shared" si="443"/>
        <v>0</v>
      </c>
      <c r="FT450" s="27">
        <f t="shared" si="443"/>
        <v>0</v>
      </c>
      <c r="FU450" s="27">
        <f t="shared" si="443"/>
        <v>0</v>
      </c>
      <c r="FV450" s="27">
        <f t="shared" si="443"/>
        <v>0</v>
      </c>
      <c r="FW450" s="28"/>
      <c r="FX450" s="29">
        <f t="shared" si="3"/>
        <v>0</v>
      </c>
    </row>
    <row r="451" spans="1:180" ht="18" customHeight="1" x14ac:dyDescent="0.25">
      <c r="A451" s="3" t="str">
        <f>IF(C451&lt;&gt;"","DRG-"&amp;TEXT(446,"000"),"")</f>
        <v/>
      </c>
      <c r="B451" s="33"/>
      <c r="C451" s="33"/>
      <c r="D451" s="33"/>
      <c r="E451" s="33"/>
      <c r="F451" s="33"/>
      <c r="G451" s="33"/>
      <c r="H451" s="33"/>
      <c r="I451" s="33"/>
      <c r="J451" s="33"/>
      <c r="K451" s="33"/>
      <c r="L451" s="37">
        <v>4</v>
      </c>
      <c r="M451" s="30" t="str">
        <f t="shared" si="0"/>
        <v>✘ Pending</v>
      </c>
      <c r="N451" s="30">
        <f t="shared" si="1"/>
        <v>0</v>
      </c>
      <c r="O451" s="31"/>
      <c r="P451" s="32"/>
      <c r="Q451" s="33"/>
      <c r="R451" s="33"/>
      <c r="S451" s="33"/>
      <c r="T451" s="33"/>
      <c r="U451" s="33"/>
      <c r="V451" s="33"/>
      <c r="W451" s="33"/>
      <c r="X451" s="33"/>
      <c r="Y451" s="33"/>
      <c r="Z451" s="33"/>
      <c r="AA451" s="33"/>
      <c r="AB451" s="31"/>
      <c r="AC451" s="32"/>
      <c r="AD451" s="33"/>
      <c r="AE451" s="33"/>
      <c r="AF451" s="33"/>
      <c r="AG451" s="33"/>
      <c r="AH451" s="33"/>
      <c r="AI451" s="33"/>
      <c r="AJ451" s="33"/>
      <c r="AK451" s="33"/>
      <c r="AL451" s="33"/>
      <c r="AM451" s="33"/>
      <c r="AN451" s="33"/>
      <c r="AO451" s="31"/>
      <c r="AP451" s="32"/>
      <c r="AQ451" s="33"/>
      <c r="AR451" s="33"/>
      <c r="AS451" s="33"/>
      <c r="AT451" s="33"/>
      <c r="AU451" s="33"/>
      <c r="AV451" s="33"/>
      <c r="AW451" s="33"/>
      <c r="AX451" s="33"/>
      <c r="AY451" s="33"/>
      <c r="AZ451" s="33"/>
      <c r="BA451" s="33"/>
      <c r="BB451" s="31"/>
      <c r="BC451" s="32"/>
      <c r="BD451" s="33"/>
      <c r="BE451" s="33"/>
      <c r="BF451" s="33"/>
      <c r="BG451" s="33"/>
      <c r="BH451" s="33"/>
      <c r="BI451" s="33"/>
      <c r="BJ451" s="33"/>
      <c r="BK451" s="33"/>
      <c r="BL451" s="33"/>
      <c r="BM451" s="33"/>
      <c r="BN451" s="33"/>
      <c r="BO451" s="31"/>
      <c r="BP451" s="32"/>
      <c r="BQ451" s="33"/>
      <c r="BR451" s="33"/>
      <c r="BS451" s="33"/>
      <c r="BT451" s="33"/>
      <c r="BU451" s="33"/>
      <c r="BV451" s="33"/>
      <c r="BW451" s="33"/>
      <c r="BX451" s="33"/>
      <c r="BY451" s="33"/>
      <c r="BZ451" s="33"/>
      <c r="CA451" s="33"/>
      <c r="CB451" s="31"/>
      <c r="CC451" s="32"/>
      <c r="CD451" s="33"/>
      <c r="CE451" s="33"/>
      <c r="CF451" s="33"/>
      <c r="CG451" s="33"/>
      <c r="CH451" s="33"/>
      <c r="CI451" s="33"/>
      <c r="CJ451" s="33"/>
      <c r="CK451" s="33"/>
      <c r="CL451" s="33"/>
      <c r="CM451" s="33"/>
      <c r="CN451" s="33"/>
      <c r="CO451" s="31"/>
      <c r="CP451" s="32"/>
      <c r="CQ451" s="33"/>
      <c r="CR451" s="33"/>
      <c r="CS451" s="33"/>
      <c r="CT451" s="33"/>
      <c r="CU451" s="33"/>
      <c r="CV451" s="33"/>
      <c r="CW451" s="33"/>
      <c r="CX451" s="33"/>
      <c r="CY451" s="33"/>
      <c r="CZ451" s="33"/>
      <c r="DA451" s="33"/>
      <c r="DB451" s="31"/>
      <c r="DC451" s="32"/>
      <c r="DD451" s="33"/>
      <c r="DE451" s="33"/>
      <c r="DF451" s="33"/>
      <c r="DG451" s="33"/>
      <c r="DH451" s="33"/>
      <c r="DI451" s="33"/>
      <c r="DJ451" s="33"/>
      <c r="DK451" s="33"/>
      <c r="DL451" s="33"/>
      <c r="DM451" s="33"/>
      <c r="DN451" s="33"/>
      <c r="DO451" s="31"/>
      <c r="DP451" s="32"/>
      <c r="DQ451" s="33"/>
      <c r="DR451" s="33"/>
      <c r="DS451" s="33"/>
      <c r="DT451" s="33"/>
      <c r="DU451" s="33"/>
      <c r="DV451" s="33"/>
      <c r="DW451" s="33"/>
      <c r="DX451" s="33"/>
      <c r="DY451" s="33"/>
      <c r="DZ451" s="33"/>
      <c r="EA451" s="33"/>
      <c r="EB451" s="31"/>
      <c r="EC451" s="32"/>
      <c r="ED451" s="33"/>
      <c r="EE451" s="33"/>
      <c r="EF451" s="33"/>
      <c r="EG451" s="33"/>
      <c r="EH451" s="33"/>
      <c r="EI451" s="33"/>
      <c r="EJ451" s="33"/>
      <c r="EK451" s="33"/>
      <c r="EL451" s="33"/>
      <c r="EM451" s="33"/>
      <c r="EN451" s="33"/>
      <c r="EO451" s="31"/>
      <c r="EP451" s="32"/>
      <c r="EQ451" s="33"/>
      <c r="ER451" s="33"/>
      <c r="ES451" s="33"/>
      <c r="ET451" s="33"/>
      <c r="EU451" s="33"/>
      <c r="EV451" s="33"/>
      <c r="EW451" s="33"/>
      <c r="EX451" s="33"/>
      <c r="EY451" s="33"/>
      <c r="EZ451" s="33"/>
      <c r="FA451" s="33"/>
      <c r="FB451" s="31"/>
      <c r="FC451" s="32"/>
      <c r="FD451" s="33"/>
      <c r="FE451" s="33"/>
      <c r="FF451" s="33"/>
      <c r="FG451" s="33"/>
      <c r="FH451" s="33"/>
      <c r="FI451" s="33"/>
      <c r="FJ451" s="33"/>
      <c r="FK451" s="33"/>
      <c r="FL451" s="33"/>
      <c r="FM451" s="33"/>
      <c r="FN451" s="33"/>
      <c r="FO451" s="34">
        <f t="shared" ref="FO451:FV451" si="444">IFERROR(R451*1,0)+IFERROR(AE451*1,0)+IFERROR(AR451*1,0)+IFERROR(BE451*1,0)+IFERROR(BR451*1,0)+IFERROR(CE451*1,0)+IFERROR(CR451*1,0)+IFERROR(DE451*1,0)+IFERROR(DR451*1,0)+IFERROR(EE451*1,0)+IFERROR(ER451*1,0)+IFERROR(FE451*1,0)</f>
        <v>0</v>
      </c>
      <c r="FP451" s="34">
        <f t="shared" si="444"/>
        <v>0</v>
      </c>
      <c r="FQ451" s="34">
        <f t="shared" si="444"/>
        <v>0</v>
      </c>
      <c r="FR451" s="34">
        <f t="shared" si="444"/>
        <v>0</v>
      </c>
      <c r="FS451" s="34">
        <f t="shared" si="444"/>
        <v>0</v>
      </c>
      <c r="FT451" s="34">
        <f t="shared" si="444"/>
        <v>0</v>
      </c>
      <c r="FU451" s="34">
        <f t="shared" si="444"/>
        <v>0</v>
      </c>
      <c r="FV451" s="34">
        <f t="shared" si="444"/>
        <v>0</v>
      </c>
      <c r="FW451" s="28"/>
      <c r="FX451" s="29">
        <f t="shared" si="3"/>
        <v>0</v>
      </c>
    </row>
    <row r="452" spans="1:180" ht="18" customHeight="1" x14ac:dyDescent="0.25">
      <c r="A452" s="3" t="str">
        <f>IF(C452&lt;&gt;"","DRG-"&amp;TEXT(447,"000"),"")</f>
        <v/>
      </c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38">
        <v>4</v>
      </c>
      <c r="M452" s="23" t="str">
        <f t="shared" si="0"/>
        <v>✘ Pending</v>
      </c>
      <c r="N452" s="23">
        <f t="shared" si="1"/>
        <v>0</v>
      </c>
      <c r="O452" s="25"/>
      <c r="P452" s="26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  <c r="AB452" s="25"/>
      <c r="AC452" s="26"/>
      <c r="AD452" s="24"/>
      <c r="AE452" s="24"/>
      <c r="AF452" s="24"/>
      <c r="AG452" s="24"/>
      <c r="AH452" s="24"/>
      <c r="AI452" s="24"/>
      <c r="AJ452" s="24"/>
      <c r="AK452" s="24"/>
      <c r="AL452" s="24"/>
      <c r="AM452" s="24"/>
      <c r="AN452" s="24"/>
      <c r="AO452" s="25"/>
      <c r="AP452" s="26"/>
      <c r="AQ452" s="24"/>
      <c r="AR452" s="24"/>
      <c r="AS452" s="24"/>
      <c r="AT452" s="24"/>
      <c r="AU452" s="24"/>
      <c r="AV452" s="24"/>
      <c r="AW452" s="24"/>
      <c r="AX452" s="24"/>
      <c r="AY452" s="24"/>
      <c r="AZ452" s="24"/>
      <c r="BA452" s="24"/>
      <c r="BB452" s="25"/>
      <c r="BC452" s="26"/>
      <c r="BD452" s="24"/>
      <c r="BE452" s="24"/>
      <c r="BF452" s="24"/>
      <c r="BG452" s="24"/>
      <c r="BH452" s="24"/>
      <c r="BI452" s="24"/>
      <c r="BJ452" s="24"/>
      <c r="BK452" s="24"/>
      <c r="BL452" s="24"/>
      <c r="BM452" s="24"/>
      <c r="BN452" s="24"/>
      <c r="BO452" s="25"/>
      <c r="BP452" s="26"/>
      <c r="BQ452" s="24"/>
      <c r="BR452" s="24"/>
      <c r="BS452" s="24"/>
      <c r="BT452" s="24"/>
      <c r="BU452" s="24"/>
      <c r="BV452" s="24"/>
      <c r="BW452" s="24"/>
      <c r="BX452" s="24"/>
      <c r="BY452" s="24"/>
      <c r="BZ452" s="24"/>
      <c r="CA452" s="24"/>
      <c r="CB452" s="25"/>
      <c r="CC452" s="26"/>
      <c r="CD452" s="24"/>
      <c r="CE452" s="24"/>
      <c r="CF452" s="24"/>
      <c r="CG452" s="24"/>
      <c r="CH452" s="24"/>
      <c r="CI452" s="24"/>
      <c r="CJ452" s="24"/>
      <c r="CK452" s="24"/>
      <c r="CL452" s="24"/>
      <c r="CM452" s="24"/>
      <c r="CN452" s="24"/>
      <c r="CO452" s="25"/>
      <c r="CP452" s="26"/>
      <c r="CQ452" s="24"/>
      <c r="CR452" s="24"/>
      <c r="CS452" s="24"/>
      <c r="CT452" s="24"/>
      <c r="CU452" s="24"/>
      <c r="CV452" s="24"/>
      <c r="CW452" s="24"/>
      <c r="CX452" s="24"/>
      <c r="CY452" s="24"/>
      <c r="CZ452" s="24"/>
      <c r="DA452" s="24"/>
      <c r="DB452" s="25"/>
      <c r="DC452" s="26"/>
      <c r="DD452" s="24"/>
      <c r="DE452" s="24"/>
      <c r="DF452" s="24"/>
      <c r="DG452" s="24"/>
      <c r="DH452" s="24"/>
      <c r="DI452" s="24"/>
      <c r="DJ452" s="24"/>
      <c r="DK452" s="24"/>
      <c r="DL452" s="24"/>
      <c r="DM452" s="24"/>
      <c r="DN452" s="24"/>
      <c r="DO452" s="25"/>
      <c r="DP452" s="26"/>
      <c r="DQ452" s="24"/>
      <c r="DR452" s="24"/>
      <c r="DS452" s="24"/>
      <c r="DT452" s="24"/>
      <c r="DU452" s="24"/>
      <c r="DV452" s="24"/>
      <c r="DW452" s="24"/>
      <c r="DX452" s="24"/>
      <c r="DY452" s="24"/>
      <c r="DZ452" s="24"/>
      <c r="EA452" s="24"/>
      <c r="EB452" s="25"/>
      <c r="EC452" s="26"/>
      <c r="ED452" s="24"/>
      <c r="EE452" s="24"/>
      <c r="EF452" s="24"/>
      <c r="EG452" s="24"/>
      <c r="EH452" s="24"/>
      <c r="EI452" s="24"/>
      <c r="EJ452" s="24"/>
      <c r="EK452" s="24"/>
      <c r="EL452" s="24"/>
      <c r="EM452" s="24"/>
      <c r="EN452" s="24"/>
      <c r="EO452" s="25"/>
      <c r="EP452" s="26"/>
      <c r="EQ452" s="24"/>
      <c r="ER452" s="24"/>
      <c r="ES452" s="24"/>
      <c r="ET452" s="24"/>
      <c r="EU452" s="24"/>
      <c r="EV452" s="24"/>
      <c r="EW452" s="24"/>
      <c r="EX452" s="24"/>
      <c r="EY452" s="24"/>
      <c r="EZ452" s="24"/>
      <c r="FA452" s="24"/>
      <c r="FB452" s="25"/>
      <c r="FC452" s="26"/>
      <c r="FD452" s="24"/>
      <c r="FE452" s="24"/>
      <c r="FF452" s="24"/>
      <c r="FG452" s="24"/>
      <c r="FH452" s="24"/>
      <c r="FI452" s="24"/>
      <c r="FJ452" s="24"/>
      <c r="FK452" s="24"/>
      <c r="FL452" s="24"/>
      <c r="FM452" s="24"/>
      <c r="FN452" s="24"/>
      <c r="FO452" s="27">
        <f t="shared" ref="FO452:FV452" si="445">IFERROR(R452*1,0)+IFERROR(AE452*1,0)+IFERROR(AR452*1,0)+IFERROR(BE452*1,0)+IFERROR(BR452*1,0)+IFERROR(CE452*1,0)+IFERROR(CR452*1,0)+IFERROR(DE452*1,0)+IFERROR(DR452*1,0)+IFERROR(EE452*1,0)+IFERROR(ER452*1,0)+IFERROR(FE452*1,0)</f>
        <v>0</v>
      </c>
      <c r="FP452" s="27">
        <f t="shared" si="445"/>
        <v>0</v>
      </c>
      <c r="FQ452" s="27">
        <f t="shared" si="445"/>
        <v>0</v>
      </c>
      <c r="FR452" s="27">
        <f t="shared" si="445"/>
        <v>0</v>
      </c>
      <c r="FS452" s="27">
        <f t="shared" si="445"/>
        <v>0</v>
      </c>
      <c r="FT452" s="27">
        <f t="shared" si="445"/>
        <v>0</v>
      </c>
      <c r="FU452" s="27">
        <f t="shared" si="445"/>
        <v>0</v>
      </c>
      <c r="FV452" s="27">
        <f t="shared" si="445"/>
        <v>0</v>
      </c>
      <c r="FW452" s="28"/>
      <c r="FX452" s="29">
        <f t="shared" si="3"/>
        <v>0</v>
      </c>
    </row>
    <row r="453" spans="1:180" ht="18" customHeight="1" x14ac:dyDescent="0.25">
      <c r="A453" s="3" t="str">
        <f>IF(C453&lt;&gt;"","DRG-"&amp;TEXT(448,"000"),"")</f>
        <v/>
      </c>
      <c r="B453" s="33"/>
      <c r="C453" s="33"/>
      <c r="D453" s="33"/>
      <c r="E453" s="33"/>
      <c r="F453" s="33"/>
      <c r="G453" s="33"/>
      <c r="H453" s="33"/>
      <c r="I453" s="33"/>
      <c r="J453" s="33"/>
      <c r="K453" s="33"/>
      <c r="L453" s="37">
        <v>4</v>
      </c>
      <c r="M453" s="30" t="str">
        <f t="shared" si="0"/>
        <v>✘ Pending</v>
      </c>
      <c r="N453" s="30">
        <f t="shared" si="1"/>
        <v>0</v>
      </c>
      <c r="O453" s="31"/>
      <c r="P453" s="32"/>
      <c r="Q453" s="33"/>
      <c r="R453" s="33"/>
      <c r="S453" s="33"/>
      <c r="T453" s="33"/>
      <c r="U453" s="33"/>
      <c r="V453" s="33"/>
      <c r="W453" s="33"/>
      <c r="X453" s="33"/>
      <c r="Y453" s="33"/>
      <c r="Z453" s="33"/>
      <c r="AA453" s="33"/>
      <c r="AB453" s="31"/>
      <c r="AC453" s="32"/>
      <c r="AD453" s="33"/>
      <c r="AE453" s="33"/>
      <c r="AF453" s="33"/>
      <c r="AG453" s="33"/>
      <c r="AH453" s="33"/>
      <c r="AI453" s="33"/>
      <c r="AJ453" s="33"/>
      <c r="AK453" s="33"/>
      <c r="AL453" s="33"/>
      <c r="AM453" s="33"/>
      <c r="AN453" s="33"/>
      <c r="AO453" s="31"/>
      <c r="AP453" s="32"/>
      <c r="AQ453" s="33"/>
      <c r="AR453" s="33"/>
      <c r="AS453" s="33"/>
      <c r="AT453" s="33"/>
      <c r="AU453" s="33"/>
      <c r="AV453" s="33"/>
      <c r="AW453" s="33"/>
      <c r="AX453" s="33"/>
      <c r="AY453" s="33"/>
      <c r="AZ453" s="33"/>
      <c r="BA453" s="33"/>
      <c r="BB453" s="31"/>
      <c r="BC453" s="32"/>
      <c r="BD453" s="33"/>
      <c r="BE453" s="33"/>
      <c r="BF453" s="33"/>
      <c r="BG453" s="33"/>
      <c r="BH453" s="33"/>
      <c r="BI453" s="33"/>
      <c r="BJ453" s="33"/>
      <c r="BK453" s="33"/>
      <c r="BL453" s="33"/>
      <c r="BM453" s="33"/>
      <c r="BN453" s="33"/>
      <c r="BO453" s="31"/>
      <c r="BP453" s="32"/>
      <c r="BQ453" s="33"/>
      <c r="BR453" s="33"/>
      <c r="BS453" s="33"/>
      <c r="BT453" s="33"/>
      <c r="BU453" s="33"/>
      <c r="BV453" s="33"/>
      <c r="BW453" s="33"/>
      <c r="BX453" s="33"/>
      <c r="BY453" s="33"/>
      <c r="BZ453" s="33"/>
      <c r="CA453" s="33"/>
      <c r="CB453" s="31"/>
      <c r="CC453" s="32"/>
      <c r="CD453" s="33"/>
      <c r="CE453" s="33"/>
      <c r="CF453" s="33"/>
      <c r="CG453" s="33"/>
      <c r="CH453" s="33"/>
      <c r="CI453" s="33"/>
      <c r="CJ453" s="33"/>
      <c r="CK453" s="33"/>
      <c r="CL453" s="33"/>
      <c r="CM453" s="33"/>
      <c r="CN453" s="33"/>
      <c r="CO453" s="31"/>
      <c r="CP453" s="32"/>
      <c r="CQ453" s="33"/>
      <c r="CR453" s="33"/>
      <c r="CS453" s="33"/>
      <c r="CT453" s="33"/>
      <c r="CU453" s="33"/>
      <c r="CV453" s="33"/>
      <c r="CW453" s="33"/>
      <c r="CX453" s="33"/>
      <c r="CY453" s="33"/>
      <c r="CZ453" s="33"/>
      <c r="DA453" s="33"/>
      <c r="DB453" s="31"/>
      <c r="DC453" s="32"/>
      <c r="DD453" s="33"/>
      <c r="DE453" s="33"/>
      <c r="DF453" s="33"/>
      <c r="DG453" s="33"/>
      <c r="DH453" s="33"/>
      <c r="DI453" s="33"/>
      <c r="DJ453" s="33"/>
      <c r="DK453" s="33"/>
      <c r="DL453" s="33"/>
      <c r="DM453" s="33"/>
      <c r="DN453" s="33"/>
      <c r="DO453" s="31"/>
      <c r="DP453" s="32"/>
      <c r="DQ453" s="33"/>
      <c r="DR453" s="33"/>
      <c r="DS453" s="33"/>
      <c r="DT453" s="33"/>
      <c r="DU453" s="33"/>
      <c r="DV453" s="33"/>
      <c r="DW453" s="33"/>
      <c r="DX453" s="33"/>
      <c r="DY453" s="33"/>
      <c r="DZ453" s="33"/>
      <c r="EA453" s="33"/>
      <c r="EB453" s="31"/>
      <c r="EC453" s="32"/>
      <c r="ED453" s="33"/>
      <c r="EE453" s="33"/>
      <c r="EF453" s="33"/>
      <c r="EG453" s="33"/>
      <c r="EH453" s="33"/>
      <c r="EI453" s="33"/>
      <c r="EJ453" s="33"/>
      <c r="EK453" s="33"/>
      <c r="EL453" s="33"/>
      <c r="EM453" s="33"/>
      <c r="EN453" s="33"/>
      <c r="EO453" s="31"/>
      <c r="EP453" s="32"/>
      <c r="EQ453" s="33"/>
      <c r="ER453" s="33"/>
      <c r="ES453" s="33"/>
      <c r="ET453" s="33"/>
      <c r="EU453" s="33"/>
      <c r="EV453" s="33"/>
      <c r="EW453" s="33"/>
      <c r="EX453" s="33"/>
      <c r="EY453" s="33"/>
      <c r="EZ453" s="33"/>
      <c r="FA453" s="33"/>
      <c r="FB453" s="31"/>
      <c r="FC453" s="32"/>
      <c r="FD453" s="33"/>
      <c r="FE453" s="33"/>
      <c r="FF453" s="33"/>
      <c r="FG453" s="33"/>
      <c r="FH453" s="33"/>
      <c r="FI453" s="33"/>
      <c r="FJ453" s="33"/>
      <c r="FK453" s="33"/>
      <c r="FL453" s="33"/>
      <c r="FM453" s="33"/>
      <c r="FN453" s="33"/>
      <c r="FO453" s="34">
        <f t="shared" ref="FO453:FV453" si="446">IFERROR(R453*1,0)+IFERROR(AE453*1,0)+IFERROR(AR453*1,0)+IFERROR(BE453*1,0)+IFERROR(BR453*1,0)+IFERROR(CE453*1,0)+IFERROR(CR453*1,0)+IFERROR(DE453*1,0)+IFERROR(DR453*1,0)+IFERROR(EE453*1,0)+IFERROR(ER453*1,0)+IFERROR(FE453*1,0)</f>
        <v>0</v>
      </c>
      <c r="FP453" s="34">
        <f t="shared" si="446"/>
        <v>0</v>
      </c>
      <c r="FQ453" s="34">
        <f t="shared" si="446"/>
        <v>0</v>
      </c>
      <c r="FR453" s="34">
        <f t="shared" si="446"/>
        <v>0</v>
      </c>
      <c r="FS453" s="34">
        <f t="shared" si="446"/>
        <v>0</v>
      </c>
      <c r="FT453" s="34">
        <f t="shared" si="446"/>
        <v>0</v>
      </c>
      <c r="FU453" s="34">
        <f t="shared" si="446"/>
        <v>0</v>
      </c>
      <c r="FV453" s="34">
        <f t="shared" si="446"/>
        <v>0</v>
      </c>
      <c r="FW453" s="28"/>
      <c r="FX453" s="29">
        <f t="shared" si="3"/>
        <v>0</v>
      </c>
    </row>
    <row r="454" spans="1:180" ht="18" customHeight="1" x14ac:dyDescent="0.25">
      <c r="A454" s="3" t="str">
        <f>IF(C454&lt;&gt;"","DRG-"&amp;TEXT(449,"000"),"")</f>
        <v/>
      </c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38">
        <v>4</v>
      </c>
      <c r="M454" s="23" t="str">
        <f t="shared" si="0"/>
        <v>✘ Pending</v>
      </c>
      <c r="N454" s="23">
        <f t="shared" si="1"/>
        <v>0</v>
      </c>
      <c r="O454" s="25"/>
      <c r="P454" s="26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  <c r="AB454" s="25"/>
      <c r="AC454" s="26"/>
      <c r="AD454" s="24"/>
      <c r="AE454" s="24"/>
      <c r="AF454" s="24"/>
      <c r="AG454" s="24"/>
      <c r="AH454" s="24"/>
      <c r="AI454" s="24"/>
      <c r="AJ454" s="24"/>
      <c r="AK454" s="24"/>
      <c r="AL454" s="24"/>
      <c r="AM454" s="24"/>
      <c r="AN454" s="24"/>
      <c r="AO454" s="25"/>
      <c r="AP454" s="26"/>
      <c r="AQ454" s="24"/>
      <c r="AR454" s="24"/>
      <c r="AS454" s="24"/>
      <c r="AT454" s="24"/>
      <c r="AU454" s="24"/>
      <c r="AV454" s="24"/>
      <c r="AW454" s="24"/>
      <c r="AX454" s="24"/>
      <c r="AY454" s="24"/>
      <c r="AZ454" s="24"/>
      <c r="BA454" s="24"/>
      <c r="BB454" s="25"/>
      <c r="BC454" s="26"/>
      <c r="BD454" s="24"/>
      <c r="BE454" s="24"/>
      <c r="BF454" s="24"/>
      <c r="BG454" s="24"/>
      <c r="BH454" s="24"/>
      <c r="BI454" s="24"/>
      <c r="BJ454" s="24"/>
      <c r="BK454" s="24"/>
      <c r="BL454" s="24"/>
      <c r="BM454" s="24"/>
      <c r="BN454" s="24"/>
      <c r="BO454" s="25"/>
      <c r="BP454" s="26"/>
      <c r="BQ454" s="24"/>
      <c r="BR454" s="24"/>
      <c r="BS454" s="24"/>
      <c r="BT454" s="24"/>
      <c r="BU454" s="24"/>
      <c r="BV454" s="24"/>
      <c r="BW454" s="24"/>
      <c r="BX454" s="24"/>
      <c r="BY454" s="24"/>
      <c r="BZ454" s="24"/>
      <c r="CA454" s="24"/>
      <c r="CB454" s="25"/>
      <c r="CC454" s="26"/>
      <c r="CD454" s="24"/>
      <c r="CE454" s="24"/>
      <c r="CF454" s="24"/>
      <c r="CG454" s="24"/>
      <c r="CH454" s="24"/>
      <c r="CI454" s="24"/>
      <c r="CJ454" s="24"/>
      <c r="CK454" s="24"/>
      <c r="CL454" s="24"/>
      <c r="CM454" s="24"/>
      <c r="CN454" s="24"/>
      <c r="CO454" s="25"/>
      <c r="CP454" s="26"/>
      <c r="CQ454" s="24"/>
      <c r="CR454" s="24"/>
      <c r="CS454" s="24"/>
      <c r="CT454" s="24"/>
      <c r="CU454" s="24"/>
      <c r="CV454" s="24"/>
      <c r="CW454" s="24"/>
      <c r="CX454" s="24"/>
      <c r="CY454" s="24"/>
      <c r="CZ454" s="24"/>
      <c r="DA454" s="24"/>
      <c r="DB454" s="25"/>
      <c r="DC454" s="26"/>
      <c r="DD454" s="24"/>
      <c r="DE454" s="24"/>
      <c r="DF454" s="24"/>
      <c r="DG454" s="24"/>
      <c r="DH454" s="24"/>
      <c r="DI454" s="24"/>
      <c r="DJ454" s="24"/>
      <c r="DK454" s="24"/>
      <c r="DL454" s="24"/>
      <c r="DM454" s="24"/>
      <c r="DN454" s="24"/>
      <c r="DO454" s="25"/>
      <c r="DP454" s="26"/>
      <c r="DQ454" s="24"/>
      <c r="DR454" s="24"/>
      <c r="DS454" s="24"/>
      <c r="DT454" s="24"/>
      <c r="DU454" s="24"/>
      <c r="DV454" s="24"/>
      <c r="DW454" s="24"/>
      <c r="DX454" s="24"/>
      <c r="DY454" s="24"/>
      <c r="DZ454" s="24"/>
      <c r="EA454" s="24"/>
      <c r="EB454" s="25"/>
      <c r="EC454" s="26"/>
      <c r="ED454" s="24"/>
      <c r="EE454" s="24"/>
      <c r="EF454" s="24"/>
      <c r="EG454" s="24"/>
      <c r="EH454" s="24"/>
      <c r="EI454" s="24"/>
      <c r="EJ454" s="24"/>
      <c r="EK454" s="24"/>
      <c r="EL454" s="24"/>
      <c r="EM454" s="24"/>
      <c r="EN454" s="24"/>
      <c r="EO454" s="25"/>
      <c r="EP454" s="26"/>
      <c r="EQ454" s="24"/>
      <c r="ER454" s="24"/>
      <c r="ES454" s="24"/>
      <c r="ET454" s="24"/>
      <c r="EU454" s="24"/>
      <c r="EV454" s="24"/>
      <c r="EW454" s="24"/>
      <c r="EX454" s="24"/>
      <c r="EY454" s="24"/>
      <c r="EZ454" s="24"/>
      <c r="FA454" s="24"/>
      <c r="FB454" s="25"/>
      <c r="FC454" s="26"/>
      <c r="FD454" s="24"/>
      <c r="FE454" s="24"/>
      <c r="FF454" s="24"/>
      <c r="FG454" s="24"/>
      <c r="FH454" s="24"/>
      <c r="FI454" s="24"/>
      <c r="FJ454" s="24"/>
      <c r="FK454" s="24"/>
      <c r="FL454" s="24"/>
      <c r="FM454" s="24"/>
      <c r="FN454" s="24"/>
      <c r="FO454" s="27">
        <f t="shared" ref="FO454:FV454" si="447">IFERROR(R454*1,0)+IFERROR(AE454*1,0)+IFERROR(AR454*1,0)+IFERROR(BE454*1,0)+IFERROR(BR454*1,0)+IFERROR(CE454*1,0)+IFERROR(CR454*1,0)+IFERROR(DE454*1,0)+IFERROR(DR454*1,0)+IFERROR(EE454*1,0)+IFERROR(ER454*1,0)+IFERROR(FE454*1,0)</f>
        <v>0</v>
      </c>
      <c r="FP454" s="27">
        <f t="shared" si="447"/>
        <v>0</v>
      </c>
      <c r="FQ454" s="27">
        <f t="shared" si="447"/>
        <v>0</v>
      </c>
      <c r="FR454" s="27">
        <f t="shared" si="447"/>
        <v>0</v>
      </c>
      <c r="FS454" s="27">
        <f t="shared" si="447"/>
        <v>0</v>
      </c>
      <c r="FT454" s="27">
        <f t="shared" si="447"/>
        <v>0</v>
      </c>
      <c r="FU454" s="27">
        <f t="shared" si="447"/>
        <v>0</v>
      </c>
      <c r="FV454" s="27">
        <f t="shared" si="447"/>
        <v>0</v>
      </c>
      <c r="FW454" s="28"/>
      <c r="FX454" s="29">
        <f t="shared" si="3"/>
        <v>0</v>
      </c>
    </row>
    <row r="455" spans="1:180" ht="18" customHeight="1" x14ac:dyDescent="0.25">
      <c r="A455" s="3" t="str">
        <f>IF(C455&lt;&gt;"","DRG-"&amp;TEXT(450,"000"),"")</f>
        <v/>
      </c>
      <c r="B455" s="33"/>
      <c r="C455" s="33"/>
      <c r="D455" s="33"/>
      <c r="E455" s="33"/>
      <c r="F455" s="33"/>
      <c r="G455" s="33"/>
      <c r="H455" s="33"/>
      <c r="I455" s="33"/>
      <c r="J455" s="33"/>
      <c r="K455" s="33"/>
      <c r="L455" s="37">
        <v>4</v>
      </c>
      <c r="M455" s="30" t="str">
        <f t="shared" si="0"/>
        <v>✘ Pending</v>
      </c>
      <c r="N455" s="30">
        <f t="shared" si="1"/>
        <v>0</v>
      </c>
      <c r="O455" s="31"/>
      <c r="P455" s="32"/>
      <c r="Q455" s="33"/>
      <c r="R455" s="33"/>
      <c r="S455" s="33"/>
      <c r="T455" s="33"/>
      <c r="U455" s="33"/>
      <c r="V455" s="33"/>
      <c r="W455" s="33"/>
      <c r="X455" s="33"/>
      <c r="Y455" s="33"/>
      <c r="Z455" s="33"/>
      <c r="AA455" s="33"/>
      <c r="AB455" s="31"/>
      <c r="AC455" s="32"/>
      <c r="AD455" s="33"/>
      <c r="AE455" s="33"/>
      <c r="AF455" s="33"/>
      <c r="AG455" s="33"/>
      <c r="AH455" s="33"/>
      <c r="AI455" s="33"/>
      <c r="AJ455" s="33"/>
      <c r="AK455" s="33"/>
      <c r="AL455" s="33"/>
      <c r="AM455" s="33"/>
      <c r="AN455" s="33"/>
      <c r="AO455" s="31"/>
      <c r="AP455" s="32"/>
      <c r="AQ455" s="33"/>
      <c r="AR455" s="33"/>
      <c r="AS455" s="33"/>
      <c r="AT455" s="33"/>
      <c r="AU455" s="33"/>
      <c r="AV455" s="33"/>
      <c r="AW455" s="33"/>
      <c r="AX455" s="33"/>
      <c r="AY455" s="33"/>
      <c r="AZ455" s="33"/>
      <c r="BA455" s="33"/>
      <c r="BB455" s="31"/>
      <c r="BC455" s="32"/>
      <c r="BD455" s="33"/>
      <c r="BE455" s="33"/>
      <c r="BF455" s="33"/>
      <c r="BG455" s="33"/>
      <c r="BH455" s="33"/>
      <c r="BI455" s="33"/>
      <c r="BJ455" s="33"/>
      <c r="BK455" s="33"/>
      <c r="BL455" s="33"/>
      <c r="BM455" s="33"/>
      <c r="BN455" s="33"/>
      <c r="BO455" s="31"/>
      <c r="BP455" s="32"/>
      <c r="BQ455" s="33"/>
      <c r="BR455" s="33"/>
      <c r="BS455" s="33"/>
      <c r="BT455" s="33"/>
      <c r="BU455" s="33"/>
      <c r="BV455" s="33"/>
      <c r="BW455" s="33"/>
      <c r="BX455" s="33"/>
      <c r="BY455" s="33"/>
      <c r="BZ455" s="33"/>
      <c r="CA455" s="33"/>
      <c r="CB455" s="31"/>
      <c r="CC455" s="32"/>
      <c r="CD455" s="33"/>
      <c r="CE455" s="33"/>
      <c r="CF455" s="33"/>
      <c r="CG455" s="33"/>
      <c r="CH455" s="33"/>
      <c r="CI455" s="33"/>
      <c r="CJ455" s="33"/>
      <c r="CK455" s="33"/>
      <c r="CL455" s="33"/>
      <c r="CM455" s="33"/>
      <c r="CN455" s="33"/>
      <c r="CO455" s="31"/>
      <c r="CP455" s="32"/>
      <c r="CQ455" s="33"/>
      <c r="CR455" s="33"/>
      <c r="CS455" s="33"/>
      <c r="CT455" s="33"/>
      <c r="CU455" s="33"/>
      <c r="CV455" s="33"/>
      <c r="CW455" s="33"/>
      <c r="CX455" s="33"/>
      <c r="CY455" s="33"/>
      <c r="CZ455" s="33"/>
      <c r="DA455" s="33"/>
      <c r="DB455" s="31"/>
      <c r="DC455" s="32"/>
      <c r="DD455" s="33"/>
      <c r="DE455" s="33"/>
      <c r="DF455" s="33"/>
      <c r="DG455" s="33"/>
      <c r="DH455" s="33"/>
      <c r="DI455" s="33"/>
      <c r="DJ455" s="33"/>
      <c r="DK455" s="33"/>
      <c r="DL455" s="33"/>
      <c r="DM455" s="33"/>
      <c r="DN455" s="33"/>
      <c r="DO455" s="31"/>
      <c r="DP455" s="32"/>
      <c r="DQ455" s="33"/>
      <c r="DR455" s="33"/>
      <c r="DS455" s="33"/>
      <c r="DT455" s="33"/>
      <c r="DU455" s="33"/>
      <c r="DV455" s="33"/>
      <c r="DW455" s="33"/>
      <c r="DX455" s="33"/>
      <c r="DY455" s="33"/>
      <c r="DZ455" s="33"/>
      <c r="EA455" s="33"/>
      <c r="EB455" s="31"/>
      <c r="EC455" s="32"/>
      <c r="ED455" s="33"/>
      <c r="EE455" s="33"/>
      <c r="EF455" s="33"/>
      <c r="EG455" s="33"/>
      <c r="EH455" s="33"/>
      <c r="EI455" s="33"/>
      <c r="EJ455" s="33"/>
      <c r="EK455" s="33"/>
      <c r="EL455" s="33"/>
      <c r="EM455" s="33"/>
      <c r="EN455" s="33"/>
      <c r="EO455" s="31"/>
      <c r="EP455" s="32"/>
      <c r="EQ455" s="33"/>
      <c r="ER455" s="33"/>
      <c r="ES455" s="33"/>
      <c r="ET455" s="33"/>
      <c r="EU455" s="33"/>
      <c r="EV455" s="33"/>
      <c r="EW455" s="33"/>
      <c r="EX455" s="33"/>
      <c r="EY455" s="33"/>
      <c r="EZ455" s="33"/>
      <c r="FA455" s="33"/>
      <c r="FB455" s="31"/>
      <c r="FC455" s="32"/>
      <c r="FD455" s="33"/>
      <c r="FE455" s="33"/>
      <c r="FF455" s="33"/>
      <c r="FG455" s="33"/>
      <c r="FH455" s="33"/>
      <c r="FI455" s="33"/>
      <c r="FJ455" s="33"/>
      <c r="FK455" s="33"/>
      <c r="FL455" s="33"/>
      <c r="FM455" s="33"/>
      <c r="FN455" s="33"/>
      <c r="FO455" s="34">
        <f t="shared" ref="FO455:FV455" si="448">IFERROR(R455*1,0)+IFERROR(AE455*1,0)+IFERROR(AR455*1,0)+IFERROR(BE455*1,0)+IFERROR(BR455*1,0)+IFERROR(CE455*1,0)+IFERROR(CR455*1,0)+IFERROR(DE455*1,0)+IFERROR(DR455*1,0)+IFERROR(EE455*1,0)+IFERROR(ER455*1,0)+IFERROR(FE455*1,0)</f>
        <v>0</v>
      </c>
      <c r="FP455" s="34">
        <f t="shared" si="448"/>
        <v>0</v>
      </c>
      <c r="FQ455" s="34">
        <f t="shared" si="448"/>
        <v>0</v>
      </c>
      <c r="FR455" s="34">
        <f t="shared" si="448"/>
        <v>0</v>
      </c>
      <c r="FS455" s="34">
        <f t="shared" si="448"/>
        <v>0</v>
      </c>
      <c r="FT455" s="34">
        <f t="shared" si="448"/>
        <v>0</v>
      </c>
      <c r="FU455" s="34">
        <f t="shared" si="448"/>
        <v>0</v>
      </c>
      <c r="FV455" s="34">
        <f t="shared" si="448"/>
        <v>0</v>
      </c>
      <c r="FW455" s="28"/>
      <c r="FX455" s="29">
        <f t="shared" si="3"/>
        <v>0</v>
      </c>
    </row>
    <row r="456" spans="1:180" ht="18" customHeight="1" x14ac:dyDescent="0.25">
      <c r="A456" s="3" t="str">
        <f>IF(C456&lt;&gt;"","DRG-"&amp;TEXT(451,"000"),"")</f>
        <v/>
      </c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38">
        <v>4</v>
      </c>
      <c r="M456" s="23" t="str">
        <f t="shared" si="0"/>
        <v>✘ Pending</v>
      </c>
      <c r="N456" s="23">
        <f t="shared" si="1"/>
        <v>0</v>
      </c>
      <c r="O456" s="25"/>
      <c r="P456" s="26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  <c r="AB456" s="25"/>
      <c r="AC456" s="26"/>
      <c r="AD456" s="24"/>
      <c r="AE456" s="24"/>
      <c r="AF456" s="24"/>
      <c r="AG456" s="24"/>
      <c r="AH456" s="24"/>
      <c r="AI456" s="24"/>
      <c r="AJ456" s="24"/>
      <c r="AK456" s="24"/>
      <c r="AL456" s="24"/>
      <c r="AM456" s="24"/>
      <c r="AN456" s="24"/>
      <c r="AO456" s="25"/>
      <c r="AP456" s="26"/>
      <c r="AQ456" s="24"/>
      <c r="AR456" s="24"/>
      <c r="AS456" s="24"/>
      <c r="AT456" s="24"/>
      <c r="AU456" s="24"/>
      <c r="AV456" s="24"/>
      <c r="AW456" s="24"/>
      <c r="AX456" s="24"/>
      <c r="AY456" s="24"/>
      <c r="AZ456" s="24"/>
      <c r="BA456" s="24"/>
      <c r="BB456" s="25"/>
      <c r="BC456" s="26"/>
      <c r="BD456" s="24"/>
      <c r="BE456" s="24"/>
      <c r="BF456" s="24"/>
      <c r="BG456" s="24"/>
      <c r="BH456" s="24"/>
      <c r="BI456" s="24"/>
      <c r="BJ456" s="24"/>
      <c r="BK456" s="24"/>
      <c r="BL456" s="24"/>
      <c r="BM456" s="24"/>
      <c r="BN456" s="24"/>
      <c r="BO456" s="25"/>
      <c r="BP456" s="26"/>
      <c r="BQ456" s="24"/>
      <c r="BR456" s="24"/>
      <c r="BS456" s="24"/>
      <c r="BT456" s="24"/>
      <c r="BU456" s="24"/>
      <c r="BV456" s="24"/>
      <c r="BW456" s="24"/>
      <c r="BX456" s="24"/>
      <c r="BY456" s="24"/>
      <c r="BZ456" s="24"/>
      <c r="CA456" s="24"/>
      <c r="CB456" s="25"/>
      <c r="CC456" s="26"/>
      <c r="CD456" s="24"/>
      <c r="CE456" s="24"/>
      <c r="CF456" s="24"/>
      <c r="CG456" s="24"/>
      <c r="CH456" s="24"/>
      <c r="CI456" s="24"/>
      <c r="CJ456" s="24"/>
      <c r="CK456" s="24"/>
      <c r="CL456" s="24"/>
      <c r="CM456" s="24"/>
      <c r="CN456" s="24"/>
      <c r="CO456" s="25"/>
      <c r="CP456" s="26"/>
      <c r="CQ456" s="24"/>
      <c r="CR456" s="24"/>
      <c r="CS456" s="24"/>
      <c r="CT456" s="24"/>
      <c r="CU456" s="24"/>
      <c r="CV456" s="24"/>
      <c r="CW456" s="24"/>
      <c r="CX456" s="24"/>
      <c r="CY456" s="24"/>
      <c r="CZ456" s="24"/>
      <c r="DA456" s="24"/>
      <c r="DB456" s="25"/>
      <c r="DC456" s="26"/>
      <c r="DD456" s="24"/>
      <c r="DE456" s="24"/>
      <c r="DF456" s="24"/>
      <c r="DG456" s="24"/>
      <c r="DH456" s="24"/>
      <c r="DI456" s="24"/>
      <c r="DJ456" s="24"/>
      <c r="DK456" s="24"/>
      <c r="DL456" s="24"/>
      <c r="DM456" s="24"/>
      <c r="DN456" s="24"/>
      <c r="DO456" s="25"/>
      <c r="DP456" s="26"/>
      <c r="DQ456" s="24"/>
      <c r="DR456" s="24"/>
      <c r="DS456" s="24"/>
      <c r="DT456" s="24"/>
      <c r="DU456" s="24"/>
      <c r="DV456" s="24"/>
      <c r="DW456" s="24"/>
      <c r="DX456" s="24"/>
      <c r="DY456" s="24"/>
      <c r="DZ456" s="24"/>
      <c r="EA456" s="24"/>
      <c r="EB456" s="25"/>
      <c r="EC456" s="26"/>
      <c r="ED456" s="24"/>
      <c r="EE456" s="24"/>
      <c r="EF456" s="24"/>
      <c r="EG456" s="24"/>
      <c r="EH456" s="24"/>
      <c r="EI456" s="24"/>
      <c r="EJ456" s="24"/>
      <c r="EK456" s="24"/>
      <c r="EL456" s="24"/>
      <c r="EM456" s="24"/>
      <c r="EN456" s="24"/>
      <c r="EO456" s="25"/>
      <c r="EP456" s="26"/>
      <c r="EQ456" s="24"/>
      <c r="ER456" s="24"/>
      <c r="ES456" s="24"/>
      <c r="ET456" s="24"/>
      <c r="EU456" s="24"/>
      <c r="EV456" s="24"/>
      <c r="EW456" s="24"/>
      <c r="EX456" s="24"/>
      <c r="EY456" s="24"/>
      <c r="EZ456" s="24"/>
      <c r="FA456" s="24"/>
      <c r="FB456" s="25"/>
      <c r="FC456" s="26"/>
      <c r="FD456" s="24"/>
      <c r="FE456" s="24"/>
      <c r="FF456" s="24"/>
      <c r="FG456" s="24"/>
      <c r="FH456" s="24"/>
      <c r="FI456" s="24"/>
      <c r="FJ456" s="24"/>
      <c r="FK456" s="24"/>
      <c r="FL456" s="24"/>
      <c r="FM456" s="24"/>
      <c r="FN456" s="24"/>
      <c r="FO456" s="27">
        <f t="shared" ref="FO456:FV456" si="449">IFERROR(R456*1,0)+IFERROR(AE456*1,0)+IFERROR(AR456*1,0)+IFERROR(BE456*1,0)+IFERROR(BR456*1,0)+IFERROR(CE456*1,0)+IFERROR(CR456*1,0)+IFERROR(DE456*1,0)+IFERROR(DR456*1,0)+IFERROR(EE456*1,0)+IFERROR(ER456*1,0)+IFERROR(FE456*1,0)</f>
        <v>0</v>
      </c>
      <c r="FP456" s="27">
        <f t="shared" si="449"/>
        <v>0</v>
      </c>
      <c r="FQ456" s="27">
        <f t="shared" si="449"/>
        <v>0</v>
      </c>
      <c r="FR456" s="27">
        <f t="shared" si="449"/>
        <v>0</v>
      </c>
      <c r="FS456" s="27">
        <f t="shared" si="449"/>
        <v>0</v>
      </c>
      <c r="FT456" s="27">
        <f t="shared" si="449"/>
        <v>0</v>
      </c>
      <c r="FU456" s="27">
        <f t="shared" si="449"/>
        <v>0</v>
      </c>
      <c r="FV456" s="27">
        <f t="shared" si="449"/>
        <v>0</v>
      </c>
      <c r="FW456" s="28"/>
      <c r="FX456" s="29">
        <f t="shared" si="3"/>
        <v>0</v>
      </c>
    </row>
    <row r="457" spans="1:180" ht="18" customHeight="1" x14ac:dyDescent="0.25">
      <c r="A457" s="3" t="str">
        <f>IF(C457&lt;&gt;"","DRG-"&amp;TEXT(452,"000"),"")</f>
        <v/>
      </c>
      <c r="B457" s="33"/>
      <c r="C457" s="33"/>
      <c r="D457" s="33"/>
      <c r="E457" s="33"/>
      <c r="F457" s="33"/>
      <c r="G457" s="33"/>
      <c r="H457" s="33"/>
      <c r="I457" s="33"/>
      <c r="J457" s="33"/>
      <c r="K457" s="33"/>
      <c r="L457" s="37">
        <v>4</v>
      </c>
      <c r="M457" s="30" t="str">
        <f t="shared" si="0"/>
        <v>✘ Pending</v>
      </c>
      <c r="N457" s="30">
        <f t="shared" si="1"/>
        <v>0</v>
      </c>
      <c r="O457" s="31"/>
      <c r="P457" s="32"/>
      <c r="Q457" s="33"/>
      <c r="R457" s="33"/>
      <c r="S457" s="33"/>
      <c r="T457" s="33"/>
      <c r="U457" s="33"/>
      <c r="V457" s="33"/>
      <c r="W457" s="33"/>
      <c r="X457" s="33"/>
      <c r="Y457" s="33"/>
      <c r="Z457" s="33"/>
      <c r="AA457" s="33"/>
      <c r="AB457" s="31"/>
      <c r="AC457" s="32"/>
      <c r="AD457" s="33"/>
      <c r="AE457" s="33"/>
      <c r="AF457" s="33"/>
      <c r="AG457" s="33"/>
      <c r="AH457" s="33"/>
      <c r="AI457" s="33"/>
      <c r="AJ457" s="33"/>
      <c r="AK457" s="33"/>
      <c r="AL457" s="33"/>
      <c r="AM457" s="33"/>
      <c r="AN457" s="33"/>
      <c r="AO457" s="31"/>
      <c r="AP457" s="32"/>
      <c r="AQ457" s="33"/>
      <c r="AR457" s="33"/>
      <c r="AS457" s="33"/>
      <c r="AT457" s="33"/>
      <c r="AU457" s="33"/>
      <c r="AV457" s="33"/>
      <c r="AW457" s="33"/>
      <c r="AX457" s="33"/>
      <c r="AY457" s="33"/>
      <c r="AZ457" s="33"/>
      <c r="BA457" s="33"/>
      <c r="BB457" s="31"/>
      <c r="BC457" s="32"/>
      <c r="BD457" s="33"/>
      <c r="BE457" s="33"/>
      <c r="BF457" s="33"/>
      <c r="BG457" s="33"/>
      <c r="BH457" s="33"/>
      <c r="BI457" s="33"/>
      <c r="BJ457" s="33"/>
      <c r="BK457" s="33"/>
      <c r="BL457" s="33"/>
      <c r="BM457" s="33"/>
      <c r="BN457" s="33"/>
      <c r="BO457" s="31"/>
      <c r="BP457" s="32"/>
      <c r="BQ457" s="33"/>
      <c r="BR457" s="33"/>
      <c r="BS457" s="33"/>
      <c r="BT457" s="33"/>
      <c r="BU457" s="33"/>
      <c r="BV457" s="33"/>
      <c r="BW457" s="33"/>
      <c r="BX457" s="33"/>
      <c r="BY457" s="33"/>
      <c r="BZ457" s="33"/>
      <c r="CA457" s="33"/>
      <c r="CB457" s="31"/>
      <c r="CC457" s="32"/>
      <c r="CD457" s="33"/>
      <c r="CE457" s="33"/>
      <c r="CF457" s="33"/>
      <c r="CG457" s="33"/>
      <c r="CH457" s="33"/>
      <c r="CI457" s="33"/>
      <c r="CJ457" s="33"/>
      <c r="CK457" s="33"/>
      <c r="CL457" s="33"/>
      <c r="CM457" s="33"/>
      <c r="CN457" s="33"/>
      <c r="CO457" s="31"/>
      <c r="CP457" s="32"/>
      <c r="CQ457" s="33"/>
      <c r="CR457" s="33"/>
      <c r="CS457" s="33"/>
      <c r="CT457" s="33"/>
      <c r="CU457" s="33"/>
      <c r="CV457" s="33"/>
      <c r="CW457" s="33"/>
      <c r="CX457" s="33"/>
      <c r="CY457" s="33"/>
      <c r="CZ457" s="33"/>
      <c r="DA457" s="33"/>
      <c r="DB457" s="31"/>
      <c r="DC457" s="32"/>
      <c r="DD457" s="33"/>
      <c r="DE457" s="33"/>
      <c r="DF457" s="33"/>
      <c r="DG457" s="33"/>
      <c r="DH457" s="33"/>
      <c r="DI457" s="33"/>
      <c r="DJ457" s="33"/>
      <c r="DK457" s="33"/>
      <c r="DL457" s="33"/>
      <c r="DM457" s="33"/>
      <c r="DN457" s="33"/>
      <c r="DO457" s="31"/>
      <c r="DP457" s="32"/>
      <c r="DQ457" s="33"/>
      <c r="DR457" s="33"/>
      <c r="DS457" s="33"/>
      <c r="DT457" s="33"/>
      <c r="DU457" s="33"/>
      <c r="DV457" s="33"/>
      <c r="DW457" s="33"/>
      <c r="DX457" s="33"/>
      <c r="DY457" s="33"/>
      <c r="DZ457" s="33"/>
      <c r="EA457" s="33"/>
      <c r="EB457" s="31"/>
      <c r="EC457" s="32"/>
      <c r="ED457" s="33"/>
      <c r="EE457" s="33"/>
      <c r="EF457" s="33"/>
      <c r="EG457" s="33"/>
      <c r="EH457" s="33"/>
      <c r="EI457" s="33"/>
      <c r="EJ457" s="33"/>
      <c r="EK457" s="33"/>
      <c r="EL457" s="33"/>
      <c r="EM457" s="33"/>
      <c r="EN457" s="33"/>
      <c r="EO457" s="31"/>
      <c r="EP457" s="32"/>
      <c r="EQ457" s="33"/>
      <c r="ER457" s="33"/>
      <c r="ES457" s="33"/>
      <c r="ET457" s="33"/>
      <c r="EU457" s="33"/>
      <c r="EV457" s="33"/>
      <c r="EW457" s="33"/>
      <c r="EX457" s="33"/>
      <c r="EY457" s="33"/>
      <c r="EZ457" s="33"/>
      <c r="FA457" s="33"/>
      <c r="FB457" s="31"/>
      <c r="FC457" s="32"/>
      <c r="FD457" s="33"/>
      <c r="FE457" s="33"/>
      <c r="FF457" s="33"/>
      <c r="FG457" s="33"/>
      <c r="FH457" s="33"/>
      <c r="FI457" s="33"/>
      <c r="FJ457" s="33"/>
      <c r="FK457" s="33"/>
      <c r="FL457" s="33"/>
      <c r="FM457" s="33"/>
      <c r="FN457" s="33"/>
      <c r="FO457" s="34">
        <f t="shared" ref="FO457:FV457" si="450">IFERROR(R457*1,0)+IFERROR(AE457*1,0)+IFERROR(AR457*1,0)+IFERROR(BE457*1,0)+IFERROR(BR457*1,0)+IFERROR(CE457*1,0)+IFERROR(CR457*1,0)+IFERROR(DE457*1,0)+IFERROR(DR457*1,0)+IFERROR(EE457*1,0)+IFERROR(ER457*1,0)+IFERROR(FE457*1,0)</f>
        <v>0</v>
      </c>
      <c r="FP457" s="34">
        <f t="shared" si="450"/>
        <v>0</v>
      </c>
      <c r="FQ457" s="34">
        <f t="shared" si="450"/>
        <v>0</v>
      </c>
      <c r="FR457" s="34">
        <f t="shared" si="450"/>
        <v>0</v>
      </c>
      <c r="FS457" s="34">
        <f t="shared" si="450"/>
        <v>0</v>
      </c>
      <c r="FT457" s="34">
        <f t="shared" si="450"/>
        <v>0</v>
      </c>
      <c r="FU457" s="34">
        <f t="shared" si="450"/>
        <v>0</v>
      </c>
      <c r="FV457" s="34">
        <f t="shared" si="450"/>
        <v>0</v>
      </c>
      <c r="FW457" s="28"/>
      <c r="FX457" s="29">
        <f t="shared" si="3"/>
        <v>0</v>
      </c>
    </row>
    <row r="458" spans="1:180" ht="18" customHeight="1" x14ac:dyDescent="0.25">
      <c r="A458" s="3" t="str">
        <f>IF(C458&lt;&gt;"","DRG-"&amp;TEXT(453,"000"),"")</f>
        <v/>
      </c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38">
        <v>4</v>
      </c>
      <c r="M458" s="23" t="str">
        <f t="shared" si="0"/>
        <v>✘ Pending</v>
      </c>
      <c r="N458" s="23">
        <f t="shared" si="1"/>
        <v>0</v>
      </c>
      <c r="O458" s="25"/>
      <c r="P458" s="26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  <c r="AB458" s="25"/>
      <c r="AC458" s="26"/>
      <c r="AD458" s="24"/>
      <c r="AE458" s="24"/>
      <c r="AF458" s="24"/>
      <c r="AG458" s="24"/>
      <c r="AH458" s="24"/>
      <c r="AI458" s="24"/>
      <c r="AJ458" s="24"/>
      <c r="AK458" s="24"/>
      <c r="AL458" s="24"/>
      <c r="AM458" s="24"/>
      <c r="AN458" s="24"/>
      <c r="AO458" s="25"/>
      <c r="AP458" s="26"/>
      <c r="AQ458" s="24"/>
      <c r="AR458" s="24"/>
      <c r="AS458" s="24"/>
      <c r="AT458" s="24"/>
      <c r="AU458" s="24"/>
      <c r="AV458" s="24"/>
      <c r="AW458" s="24"/>
      <c r="AX458" s="24"/>
      <c r="AY458" s="24"/>
      <c r="AZ458" s="24"/>
      <c r="BA458" s="24"/>
      <c r="BB458" s="25"/>
      <c r="BC458" s="26"/>
      <c r="BD458" s="24"/>
      <c r="BE458" s="24"/>
      <c r="BF458" s="24"/>
      <c r="BG458" s="24"/>
      <c r="BH458" s="24"/>
      <c r="BI458" s="24"/>
      <c r="BJ458" s="24"/>
      <c r="BK458" s="24"/>
      <c r="BL458" s="24"/>
      <c r="BM458" s="24"/>
      <c r="BN458" s="24"/>
      <c r="BO458" s="25"/>
      <c r="BP458" s="26"/>
      <c r="BQ458" s="24"/>
      <c r="BR458" s="24"/>
      <c r="BS458" s="24"/>
      <c r="BT458" s="24"/>
      <c r="BU458" s="24"/>
      <c r="BV458" s="24"/>
      <c r="BW458" s="24"/>
      <c r="BX458" s="24"/>
      <c r="BY458" s="24"/>
      <c r="BZ458" s="24"/>
      <c r="CA458" s="24"/>
      <c r="CB458" s="25"/>
      <c r="CC458" s="26"/>
      <c r="CD458" s="24"/>
      <c r="CE458" s="24"/>
      <c r="CF458" s="24"/>
      <c r="CG458" s="24"/>
      <c r="CH458" s="24"/>
      <c r="CI458" s="24"/>
      <c r="CJ458" s="24"/>
      <c r="CK458" s="24"/>
      <c r="CL458" s="24"/>
      <c r="CM458" s="24"/>
      <c r="CN458" s="24"/>
      <c r="CO458" s="25"/>
      <c r="CP458" s="26"/>
      <c r="CQ458" s="24"/>
      <c r="CR458" s="24"/>
      <c r="CS458" s="24"/>
      <c r="CT458" s="24"/>
      <c r="CU458" s="24"/>
      <c r="CV458" s="24"/>
      <c r="CW458" s="24"/>
      <c r="CX458" s="24"/>
      <c r="CY458" s="24"/>
      <c r="CZ458" s="24"/>
      <c r="DA458" s="24"/>
      <c r="DB458" s="25"/>
      <c r="DC458" s="26"/>
      <c r="DD458" s="24"/>
      <c r="DE458" s="24"/>
      <c r="DF458" s="24"/>
      <c r="DG458" s="24"/>
      <c r="DH458" s="24"/>
      <c r="DI458" s="24"/>
      <c r="DJ458" s="24"/>
      <c r="DK458" s="24"/>
      <c r="DL458" s="24"/>
      <c r="DM458" s="24"/>
      <c r="DN458" s="24"/>
      <c r="DO458" s="25"/>
      <c r="DP458" s="26"/>
      <c r="DQ458" s="24"/>
      <c r="DR458" s="24"/>
      <c r="DS458" s="24"/>
      <c r="DT458" s="24"/>
      <c r="DU458" s="24"/>
      <c r="DV458" s="24"/>
      <c r="DW458" s="24"/>
      <c r="DX458" s="24"/>
      <c r="DY458" s="24"/>
      <c r="DZ458" s="24"/>
      <c r="EA458" s="24"/>
      <c r="EB458" s="25"/>
      <c r="EC458" s="26"/>
      <c r="ED458" s="24"/>
      <c r="EE458" s="24"/>
      <c r="EF458" s="24"/>
      <c r="EG458" s="24"/>
      <c r="EH458" s="24"/>
      <c r="EI458" s="24"/>
      <c r="EJ458" s="24"/>
      <c r="EK458" s="24"/>
      <c r="EL458" s="24"/>
      <c r="EM458" s="24"/>
      <c r="EN458" s="24"/>
      <c r="EO458" s="25"/>
      <c r="EP458" s="26"/>
      <c r="EQ458" s="24"/>
      <c r="ER458" s="24"/>
      <c r="ES458" s="24"/>
      <c r="ET458" s="24"/>
      <c r="EU458" s="24"/>
      <c r="EV458" s="24"/>
      <c r="EW458" s="24"/>
      <c r="EX458" s="24"/>
      <c r="EY458" s="24"/>
      <c r="EZ458" s="24"/>
      <c r="FA458" s="24"/>
      <c r="FB458" s="25"/>
      <c r="FC458" s="26"/>
      <c r="FD458" s="24"/>
      <c r="FE458" s="24"/>
      <c r="FF458" s="24"/>
      <c r="FG458" s="24"/>
      <c r="FH458" s="24"/>
      <c r="FI458" s="24"/>
      <c r="FJ458" s="24"/>
      <c r="FK458" s="24"/>
      <c r="FL458" s="24"/>
      <c r="FM458" s="24"/>
      <c r="FN458" s="24"/>
      <c r="FO458" s="27">
        <f t="shared" ref="FO458:FV458" si="451">IFERROR(R458*1,0)+IFERROR(AE458*1,0)+IFERROR(AR458*1,0)+IFERROR(BE458*1,0)+IFERROR(BR458*1,0)+IFERROR(CE458*1,0)+IFERROR(CR458*1,0)+IFERROR(DE458*1,0)+IFERROR(DR458*1,0)+IFERROR(EE458*1,0)+IFERROR(ER458*1,0)+IFERROR(FE458*1,0)</f>
        <v>0</v>
      </c>
      <c r="FP458" s="27">
        <f t="shared" si="451"/>
        <v>0</v>
      </c>
      <c r="FQ458" s="27">
        <f t="shared" si="451"/>
        <v>0</v>
      </c>
      <c r="FR458" s="27">
        <f t="shared" si="451"/>
        <v>0</v>
      </c>
      <c r="FS458" s="27">
        <f t="shared" si="451"/>
        <v>0</v>
      </c>
      <c r="FT458" s="27">
        <f t="shared" si="451"/>
        <v>0</v>
      </c>
      <c r="FU458" s="27">
        <f t="shared" si="451"/>
        <v>0</v>
      </c>
      <c r="FV458" s="27">
        <f t="shared" si="451"/>
        <v>0</v>
      </c>
      <c r="FW458" s="28"/>
      <c r="FX458" s="29">
        <f t="shared" si="3"/>
        <v>0</v>
      </c>
    </row>
    <row r="459" spans="1:180" ht="18" customHeight="1" x14ac:dyDescent="0.25">
      <c r="A459" s="3" t="str">
        <f>IF(C459&lt;&gt;"","DRG-"&amp;TEXT(454,"000"),"")</f>
        <v/>
      </c>
      <c r="B459" s="33"/>
      <c r="C459" s="33"/>
      <c r="D459" s="33"/>
      <c r="E459" s="33"/>
      <c r="F459" s="33"/>
      <c r="G459" s="33"/>
      <c r="H459" s="33"/>
      <c r="I459" s="33"/>
      <c r="J459" s="33"/>
      <c r="K459" s="33"/>
      <c r="L459" s="37">
        <v>4</v>
      </c>
      <c r="M459" s="30" t="str">
        <f t="shared" si="0"/>
        <v>✘ Pending</v>
      </c>
      <c r="N459" s="30">
        <f t="shared" si="1"/>
        <v>0</v>
      </c>
      <c r="O459" s="31"/>
      <c r="P459" s="32"/>
      <c r="Q459" s="33"/>
      <c r="R459" s="33"/>
      <c r="S459" s="33"/>
      <c r="T459" s="33"/>
      <c r="U459" s="33"/>
      <c r="V459" s="33"/>
      <c r="W459" s="33"/>
      <c r="X459" s="33"/>
      <c r="Y459" s="33"/>
      <c r="Z459" s="33"/>
      <c r="AA459" s="33"/>
      <c r="AB459" s="31"/>
      <c r="AC459" s="32"/>
      <c r="AD459" s="33"/>
      <c r="AE459" s="33"/>
      <c r="AF459" s="33"/>
      <c r="AG459" s="33"/>
      <c r="AH459" s="33"/>
      <c r="AI459" s="33"/>
      <c r="AJ459" s="33"/>
      <c r="AK459" s="33"/>
      <c r="AL459" s="33"/>
      <c r="AM459" s="33"/>
      <c r="AN459" s="33"/>
      <c r="AO459" s="31"/>
      <c r="AP459" s="32"/>
      <c r="AQ459" s="33"/>
      <c r="AR459" s="33"/>
      <c r="AS459" s="33"/>
      <c r="AT459" s="33"/>
      <c r="AU459" s="33"/>
      <c r="AV459" s="33"/>
      <c r="AW459" s="33"/>
      <c r="AX459" s="33"/>
      <c r="AY459" s="33"/>
      <c r="AZ459" s="33"/>
      <c r="BA459" s="33"/>
      <c r="BB459" s="31"/>
      <c r="BC459" s="32"/>
      <c r="BD459" s="33"/>
      <c r="BE459" s="33"/>
      <c r="BF459" s="33"/>
      <c r="BG459" s="33"/>
      <c r="BH459" s="33"/>
      <c r="BI459" s="33"/>
      <c r="BJ459" s="33"/>
      <c r="BK459" s="33"/>
      <c r="BL459" s="33"/>
      <c r="BM459" s="33"/>
      <c r="BN459" s="33"/>
      <c r="BO459" s="31"/>
      <c r="BP459" s="32"/>
      <c r="BQ459" s="33"/>
      <c r="BR459" s="33"/>
      <c r="BS459" s="33"/>
      <c r="BT459" s="33"/>
      <c r="BU459" s="33"/>
      <c r="BV459" s="33"/>
      <c r="BW459" s="33"/>
      <c r="BX459" s="33"/>
      <c r="BY459" s="33"/>
      <c r="BZ459" s="33"/>
      <c r="CA459" s="33"/>
      <c r="CB459" s="31"/>
      <c r="CC459" s="32"/>
      <c r="CD459" s="33"/>
      <c r="CE459" s="33"/>
      <c r="CF459" s="33"/>
      <c r="CG459" s="33"/>
      <c r="CH459" s="33"/>
      <c r="CI459" s="33"/>
      <c r="CJ459" s="33"/>
      <c r="CK459" s="33"/>
      <c r="CL459" s="33"/>
      <c r="CM459" s="33"/>
      <c r="CN459" s="33"/>
      <c r="CO459" s="31"/>
      <c r="CP459" s="32"/>
      <c r="CQ459" s="33"/>
      <c r="CR459" s="33"/>
      <c r="CS459" s="33"/>
      <c r="CT459" s="33"/>
      <c r="CU459" s="33"/>
      <c r="CV459" s="33"/>
      <c r="CW459" s="33"/>
      <c r="CX459" s="33"/>
      <c r="CY459" s="33"/>
      <c r="CZ459" s="33"/>
      <c r="DA459" s="33"/>
      <c r="DB459" s="31"/>
      <c r="DC459" s="32"/>
      <c r="DD459" s="33"/>
      <c r="DE459" s="33"/>
      <c r="DF459" s="33"/>
      <c r="DG459" s="33"/>
      <c r="DH459" s="33"/>
      <c r="DI459" s="33"/>
      <c r="DJ459" s="33"/>
      <c r="DK459" s="33"/>
      <c r="DL459" s="33"/>
      <c r="DM459" s="33"/>
      <c r="DN459" s="33"/>
      <c r="DO459" s="31"/>
      <c r="DP459" s="32"/>
      <c r="DQ459" s="33"/>
      <c r="DR459" s="33"/>
      <c r="DS459" s="33"/>
      <c r="DT459" s="33"/>
      <c r="DU459" s="33"/>
      <c r="DV459" s="33"/>
      <c r="DW459" s="33"/>
      <c r="DX459" s="33"/>
      <c r="DY459" s="33"/>
      <c r="DZ459" s="33"/>
      <c r="EA459" s="33"/>
      <c r="EB459" s="31"/>
      <c r="EC459" s="32"/>
      <c r="ED459" s="33"/>
      <c r="EE459" s="33"/>
      <c r="EF459" s="33"/>
      <c r="EG459" s="33"/>
      <c r="EH459" s="33"/>
      <c r="EI459" s="33"/>
      <c r="EJ459" s="33"/>
      <c r="EK459" s="33"/>
      <c r="EL459" s="33"/>
      <c r="EM459" s="33"/>
      <c r="EN459" s="33"/>
      <c r="EO459" s="31"/>
      <c r="EP459" s="32"/>
      <c r="EQ459" s="33"/>
      <c r="ER459" s="33"/>
      <c r="ES459" s="33"/>
      <c r="ET459" s="33"/>
      <c r="EU459" s="33"/>
      <c r="EV459" s="33"/>
      <c r="EW459" s="33"/>
      <c r="EX459" s="33"/>
      <c r="EY459" s="33"/>
      <c r="EZ459" s="33"/>
      <c r="FA459" s="33"/>
      <c r="FB459" s="31"/>
      <c r="FC459" s="32"/>
      <c r="FD459" s="33"/>
      <c r="FE459" s="33"/>
      <c r="FF459" s="33"/>
      <c r="FG459" s="33"/>
      <c r="FH459" s="33"/>
      <c r="FI459" s="33"/>
      <c r="FJ459" s="33"/>
      <c r="FK459" s="33"/>
      <c r="FL459" s="33"/>
      <c r="FM459" s="33"/>
      <c r="FN459" s="33"/>
      <c r="FO459" s="34">
        <f t="shared" ref="FO459:FV459" si="452">IFERROR(R459*1,0)+IFERROR(AE459*1,0)+IFERROR(AR459*1,0)+IFERROR(BE459*1,0)+IFERROR(BR459*1,0)+IFERROR(CE459*1,0)+IFERROR(CR459*1,0)+IFERROR(DE459*1,0)+IFERROR(DR459*1,0)+IFERROR(EE459*1,0)+IFERROR(ER459*1,0)+IFERROR(FE459*1,0)</f>
        <v>0</v>
      </c>
      <c r="FP459" s="34">
        <f t="shared" si="452"/>
        <v>0</v>
      </c>
      <c r="FQ459" s="34">
        <f t="shared" si="452"/>
        <v>0</v>
      </c>
      <c r="FR459" s="34">
        <f t="shared" si="452"/>
        <v>0</v>
      </c>
      <c r="FS459" s="34">
        <f t="shared" si="452"/>
        <v>0</v>
      </c>
      <c r="FT459" s="34">
        <f t="shared" si="452"/>
        <v>0</v>
      </c>
      <c r="FU459" s="34">
        <f t="shared" si="452"/>
        <v>0</v>
      </c>
      <c r="FV459" s="34">
        <f t="shared" si="452"/>
        <v>0</v>
      </c>
      <c r="FW459" s="28"/>
      <c r="FX459" s="29">
        <f t="shared" si="3"/>
        <v>0</v>
      </c>
    </row>
    <row r="460" spans="1:180" ht="18" customHeight="1" x14ac:dyDescent="0.25">
      <c r="A460" s="3" t="str">
        <f>IF(C460&lt;&gt;"","DRG-"&amp;TEXT(455,"000"),"")</f>
        <v/>
      </c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38">
        <v>4</v>
      </c>
      <c r="M460" s="23" t="str">
        <f t="shared" si="0"/>
        <v>✘ Pending</v>
      </c>
      <c r="N460" s="23">
        <f t="shared" si="1"/>
        <v>0</v>
      </c>
      <c r="O460" s="25"/>
      <c r="P460" s="26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  <c r="AB460" s="25"/>
      <c r="AC460" s="26"/>
      <c r="AD460" s="24"/>
      <c r="AE460" s="24"/>
      <c r="AF460" s="24"/>
      <c r="AG460" s="24"/>
      <c r="AH460" s="24"/>
      <c r="AI460" s="24"/>
      <c r="AJ460" s="24"/>
      <c r="AK460" s="24"/>
      <c r="AL460" s="24"/>
      <c r="AM460" s="24"/>
      <c r="AN460" s="24"/>
      <c r="AO460" s="25"/>
      <c r="AP460" s="26"/>
      <c r="AQ460" s="24"/>
      <c r="AR460" s="24"/>
      <c r="AS460" s="24"/>
      <c r="AT460" s="24"/>
      <c r="AU460" s="24"/>
      <c r="AV460" s="24"/>
      <c r="AW460" s="24"/>
      <c r="AX460" s="24"/>
      <c r="AY460" s="24"/>
      <c r="AZ460" s="24"/>
      <c r="BA460" s="24"/>
      <c r="BB460" s="25"/>
      <c r="BC460" s="26"/>
      <c r="BD460" s="24"/>
      <c r="BE460" s="24"/>
      <c r="BF460" s="24"/>
      <c r="BG460" s="24"/>
      <c r="BH460" s="24"/>
      <c r="BI460" s="24"/>
      <c r="BJ460" s="24"/>
      <c r="BK460" s="24"/>
      <c r="BL460" s="24"/>
      <c r="BM460" s="24"/>
      <c r="BN460" s="24"/>
      <c r="BO460" s="25"/>
      <c r="BP460" s="26"/>
      <c r="BQ460" s="24"/>
      <c r="BR460" s="24"/>
      <c r="BS460" s="24"/>
      <c r="BT460" s="24"/>
      <c r="BU460" s="24"/>
      <c r="BV460" s="24"/>
      <c r="BW460" s="24"/>
      <c r="BX460" s="24"/>
      <c r="BY460" s="24"/>
      <c r="BZ460" s="24"/>
      <c r="CA460" s="24"/>
      <c r="CB460" s="25"/>
      <c r="CC460" s="26"/>
      <c r="CD460" s="24"/>
      <c r="CE460" s="24"/>
      <c r="CF460" s="24"/>
      <c r="CG460" s="24"/>
      <c r="CH460" s="24"/>
      <c r="CI460" s="24"/>
      <c r="CJ460" s="24"/>
      <c r="CK460" s="24"/>
      <c r="CL460" s="24"/>
      <c r="CM460" s="24"/>
      <c r="CN460" s="24"/>
      <c r="CO460" s="25"/>
      <c r="CP460" s="26"/>
      <c r="CQ460" s="24"/>
      <c r="CR460" s="24"/>
      <c r="CS460" s="24"/>
      <c r="CT460" s="24"/>
      <c r="CU460" s="24"/>
      <c r="CV460" s="24"/>
      <c r="CW460" s="24"/>
      <c r="CX460" s="24"/>
      <c r="CY460" s="24"/>
      <c r="CZ460" s="24"/>
      <c r="DA460" s="24"/>
      <c r="DB460" s="25"/>
      <c r="DC460" s="26"/>
      <c r="DD460" s="24"/>
      <c r="DE460" s="24"/>
      <c r="DF460" s="24"/>
      <c r="DG460" s="24"/>
      <c r="DH460" s="24"/>
      <c r="DI460" s="24"/>
      <c r="DJ460" s="24"/>
      <c r="DK460" s="24"/>
      <c r="DL460" s="24"/>
      <c r="DM460" s="24"/>
      <c r="DN460" s="24"/>
      <c r="DO460" s="25"/>
      <c r="DP460" s="26"/>
      <c r="DQ460" s="24"/>
      <c r="DR460" s="24"/>
      <c r="DS460" s="24"/>
      <c r="DT460" s="24"/>
      <c r="DU460" s="24"/>
      <c r="DV460" s="24"/>
      <c r="DW460" s="24"/>
      <c r="DX460" s="24"/>
      <c r="DY460" s="24"/>
      <c r="DZ460" s="24"/>
      <c r="EA460" s="24"/>
      <c r="EB460" s="25"/>
      <c r="EC460" s="26"/>
      <c r="ED460" s="24"/>
      <c r="EE460" s="24"/>
      <c r="EF460" s="24"/>
      <c r="EG460" s="24"/>
      <c r="EH460" s="24"/>
      <c r="EI460" s="24"/>
      <c r="EJ460" s="24"/>
      <c r="EK460" s="24"/>
      <c r="EL460" s="24"/>
      <c r="EM460" s="24"/>
      <c r="EN460" s="24"/>
      <c r="EO460" s="25"/>
      <c r="EP460" s="26"/>
      <c r="EQ460" s="24"/>
      <c r="ER460" s="24"/>
      <c r="ES460" s="24"/>
      <c r="ET460" s="24"/>
      <c r="EU460" s="24"/>
      <c r="EV460" s="24"/>
      <c r="EW460" s="24"/>
      <c r="EX460" s="24"/>
      <c r="EY460" s="24"/>
      <c r="EZ460" s="24"/>
      <c r="FA460" s="24"/>
      <c r="FB460" s="25"/>
      <c r="FC460" s="26"/>
      <c r="FD460" s="24"/>
      <c r="FE460" s="24"/>
      <c r="FF460" s="24"/>
      <c r="FG460" s="24"/>
      <c r="FH460" s="24"/>
      <c r="FI460" s="24"/>
      <c r="FJ460" s="24"/>
      <c r="FK460" s="24"/>
      <c r="FL460" s="24"/>
      <c r="FM460" s="24"/>
      <c r="FN460" s="24"/>
      <c r="FO460" s="27">
        <f t="shared" ref="FO460:FV460" si="453">IFERROR(R460*1,0)+IFERROR(AE460*1,0)+IFERROR(AR460*1,0)+IFERROR(BE460*1,0)+IFERROR(BR460*1,0)+IFERROR(CE460*1,0)+IFERROR(CR460*1,0)+IFERROR(DE460*1,0)+IFERROR(DR460*1,0)+IFERROR(EE460*1,0)+IFERROR(ER460*1,0)+IFERROR(FE460*1,0)</f>
        <v>0</v>
      </c>
      <c r="FP460" s="27">
        <f t="shared" si="453"/>
        <v>0</v>
      </c>
      <c r="FQ460" s="27">
        <f t="shared" si="453"/>
        <v>0</v>
      </c>
      <c r="FR460" s="27">
        <f t="shared" si="453"/>
        <v>0</v>
      </c>
      <c r="FS460" s="27">
        <f t="shared" si="453"/>
        <v>0</v>
      </c>
      <c r="FT460" s="27">
        <f t="shared" si="453"/>
        <v>0</v>
      </c>
      <c r="FU460" s="27">
        <f t="shared" si="453"/>
        <v>0</v>
      </c>
      <c r="FV460" s="27">
        <f t="shared" si="453"/>
        <v>0</v>
      </c>
      <c r="FW460" s="28"/>
      <c r="FX460" s="29">
        <f t="shared" si="3"/>
        <v>0</v>
      </c>
    </row>
    <row r="461" spans="1:180" ht="18" customHeight="1" x14ac:dyDescent="0.25">
      <c r="A461" s="3" t="str">
        <f>IF(C461&lt;&gt;"","DRG-"&amp;TEXT(456,"000"),"")</f>
        <v/>
      </c>
      <c r="B461" s="33"/>
      <c r="C461" s="33"/>
      <c r="D461" s="33"/>
      <c r="E461" s="33"/>
      <c r="F461" s="33"/>
      <c r="G461" s="33"/>
      <c r="H461" s="33"/>
      <c r="I461" s="33"/>
      <c r="J461" s="33"/>
      <c r="K461" s="33"/>
      <c r="L461" s="37">
        <v>4</v>
      </c>
      <c r="M461" s="30" t="str">
        <f t="shared" si="0"/>
        <v>✘ Pending</v>
      </c>
      <c r="N461" s="30">
        <f t="shared" si="1"/>
        <v>0</v>
      </c>
      <c r="O461" s="31"/>
      <c r="P461" s="32"/>
      <c r="Q461" s="33"/>
      <c r="R461" s="33"/>
      <c r="S461" s="33"/>
      <c r="T461" s="33"/>
      <c r="U461" s="33"/>
      <c r="V461" s="33"/>
      <c r="W461" s="33"/>
      <c r="X461" s="33"/>
      <c r="Y461" s="33"/>
      <c r="Z461" s="33"/>
      <c r="AA461" s="33"/>
      <c r="AB461" s="31"/>
      <c r="AC461" s="32"/>
      <c r="AD461" s="33"/>
      <c r="AE461" s="33"/>
      <c r="AF461" s="33"/>
      <c r="AG461" s="33"/>
      <c r="AH461" s="33"/>
      <c r="AI461" s="33"/>
      <c r="AJ461" s="33"/>
      <c r="AK461" s="33"/>
      <c r="AL461" s="33"/>
      <c r="AM461" s="33"/>
      <c r="AN461" s="33"/>
      <c r="AO461" s="31"/>
      <c r="AP461" s="32"/>
      <c r="AQ461" s="33"/>
      <c r="AR461" s="33"/>
      <c r="AS461" s="33"/>
      <c r="AT461" s="33"/>
      <c r="AU461" s="33"/>
      <c r="AV461" s="33"/>
      <c r="AW461" s="33"/>
      <c r="AX461" s="33"/>
      <c r="AY461" s="33"/>
      <c r="AZ461" s="33"/>
      <c r="BA461" s="33"/>
      <c r="BB461" s="31"/>
      <c r="BC461" s="32"/>
      <c r="BD461" s="33"/>
      <c r="BE461" s="33"/>
      <c r="BF461" s="33"/>
      <c r="BG461" s="33"/>
      <c r="BH461" s="33"/>
      <c r="BI461" s="33"/>
      <c r="BJ461" s="33"/>
      <c r="BK461" s="33"/>
      <c r="BL461" s="33"/>
      <c r="BM461" s="33"/>
      <c r="BN461" s="33"/>
      <c r="BO461" s="31"/>
      <c r="BP461" s="32"/>
      <c r="BQ461" s="33"/>
      <c r="BR461" s="33"/>
      <c r="BS461" s="33"/>
      <c r="BT461" s="33"/>
      <c r="BU461" s="33"/>
      <c r="BV461" s="33"/>
      <c r="BW461" s="33"/>
      <c r="BX461" s="33"/>
      <c r="BY461" s="33"/>
      <c r="BZ461" s="33"/>
      <c r="CA461" s="33"/>
      <c r="CB461" s="31"/>
      <c r="CC461" s="32"/>
      <c r="CD461" s="33"/>
      <c r="CE461" s="33"/>
      <c r="CF461" s="33"/>
      <c r="CG461" s="33"/>
      <c r="CH461" s="33"/>
      <c r="CI461" s="33"/>
      <c r="CJ461" s="33"/>
      <c r="CK461" s="33"/>
      <c r="CL461" s="33"/>
      <c r="CM461" s="33"/>
      <c r="CN461" s="33"/>
      <c r="CO461" s="31"/>
      <c r="CP461" s="32"/>
      <c r="CQ461" s="33"/>
      <c r="CR461" s="33"/>
      <c r="CS461" s="33"/>
      <c r="CT461" s="33"/>
      <c r="CU461" s="33"/>
      <c r="CV461" s="33"/>
      <c r="CW461" s="33"/>
      <c r="CX461" s="33"/>
      <c r="CY461" s="33"/>
      <c r="CZ461" s="33"/>
      <c r="DA461" s="33"/>
      <c r="DB461" s="31"/>
      <c r="DC461" s="32"/>
      <c r="DD461" s="33"/>
      <c r="DE461" s="33"/>
      <c r="DF461" s="33"/>
      <c r="DG461" s="33"/>
      <c r="DH461" s="33"/>
      <c r="DI461" s="33"/>
      <c r="DJ461" s="33"/>
      <c r="DK461" s="33"/>
      <c r="DL461" s="33"/>
      <c r="DM461" s="33"/>
      <c r="DN461" s="33"/>
      <c r="DO461" s="31"/>
      <c r="DP461" s="32"/>
      <c r="DQ461" s="33"/>
      <c r="DR461" s="33"/>
      <c r="DS461" s="33"/>
      <c r="DT461" s="33"/>
      <c r="DU461" s="33"/>
      <c r="DV461" s="33"/>
      <c r="DW461" s="33"/>
      <c r="DX461" s="33"/>
      <c r="DY461" s="33"/>
      <c r="DZ461" s="33"/>
      <c r="EA461" s="33"/>
      <c r="EB461" s="31"/>
      <c r="EC461" s="32"/>
      <c r="ED461" s="33"/>
      <c r="EE461" s="33"/>
      <c r="EF461" s="33"/>
      <c r="EG461" s="33"/>
      <c r="EH461" s="33"/>
      <c r="EI461" s="33"/>
      <c r="EJ461" s="33"/>
      <c r="EK461" s="33"/>
      <c r="EL461" s="33"/>
      <c r="EM461" s="33"/>
      <c r="EN461" s="33"/>
      <c r="EO461" s="31"/>
      <c r="EP461" s="32"/>
      <c r="EQ461" s="33"/>
      <c r="ER461" s="33"/>
      <c r="ES461" s="33"/>
      <c r="ET461" s="33"/>
      <c r="EU461" s="33"/>
      <c r="EV461" s="33"/>
      <c r="EW461" s="33"/>
      <c r="EX461" s="33"/>
      <c r="EY461" s="33"/>
      <c r="EZ461" s="33"/>
      <c r="FA461" s="33"/>
      <c r="FB461" s="31"/>
      <c r="FC461" s="32"/>
      <c r="FD461" s="33"/>
      <c r="FE461" s="33"/>
      <c r="FF461" s="33"/>
      <c r="FG461" s="33"/>
      <c r="FH461" s="33"/>
      <c r="FI461" s="33"/>
      <c r="FJ461" s="33"/>
      <c r="FK461" s="33"/>
      <c r="FL461" s="33"/>
      <c r="FM461" s="33"/>
      <c r="FN461" s="33"/>
      <c r="FO461" s="34">
        <f t="shared" ref="FO461:FV461" si="454">IFERROR(R461*1,0)+IFERROR(AE461*1,0)+IFERROR(AR461*1,0)+IFERROR(BE461*1,0)+IFERROR(BR461*1,0)+IFERROR(CE461*1,0)+IFERROR(CR461*1,0)+IFERROR(DE461*1,0)+IFERROR(DR461*1,0)+IFERROR(EE461*1,0)+IFERROR(ER461*1,0)+IFERROR(FE461*1,0)</f>
        <v>0</v>
      </c>
      <c r="FP461" s="34">
        <f t="shared" si="454"/>
        <v>0</v>
      </c>
      <c r="FQ461" s="34">
        <f t="shared" si="454"/>
        <v>0</v>
      </c>
      <c r="FR461" s="34">
        <f t="shared" si="454"/>
        <v>0</v>
      </c>
      <c r="FS461" s="34">
        <f t="shared" si="454"/>
        <v>0</v>
      </c>
      <c r="FT461" s="34">
        <f t="shared" si="454"/>
        <v>0</v>
      </c>
      <c r="FU461" s="34">
        <f t="shared" si="454"/>
        <v>0</v>
      </c>
      <c r="FV461" s="34">
        <f t="shared" si="454"/>
        <v>0</v>
      </c>
      <c r="FW461" s="28"/>
      <c r="FX461" s="29">
        <f t="shared" si="3"/>
        <v>0</v>
      </c>
    </row>
    <row r="462" spans="1:180" ht="18" customHeight="1" x14ac:dyDescent="0.25">
      <c r="A462" s="3" t="str">
        <f>IF(C462&lt;&gt;"","DRG-"&amp;TEXT(457,"000"),"")</f>
        <v/>
      </c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38">
        <v>4</v>
      </c>
      <c r="M462" s="23" t="str">
        <f t="shared" si="0"/>
        <v>✘ Pending</v>
      </c>
      <c r="N462" s="23">
        <f t="shared" si="1"/>
        <v>0</v>
      </c>
      <c r="O462" s="25"/>
      <c r="P462" s="26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  <c r="AB462" s="25"/>
      <c r="AC462" s="26"/>
      <c r="AD462" s="24"/>
      <c r="AE462" s="24"/>
      <c r="AF462" s="24"/>
      <c r="AG462" s="24"/>
      <c r="AH462" s="24"/>
      <c r="AI462" s="24"/>
      <c r="AJ462" s="24"/>
      <c r="AK462" s="24"/>
      <c r="AL462" s="24"/>
      <c r="AM462" s="24"/>
      <c r="AN462" s="24"/>
      <c r="AO462" s="25"/>
      <c r="AP462" s="26"/>
      <c r="AQ462" s="24"/>
      <c r="AR462" s="24"/>
      <c r="AS462" s="24"/>
      <c r="AT462" s="24"/>
      <c r="AU462" s="24"/>
      <c r="AV462" s="24"/>
      <c r="AW462" s="24"/>
      <c r="AX462" s="24"/>
      <c r="AY462" s="24"/>
      <c r="AZ462" s="24"/>
      <c r="BA462" s="24"/>
      <c r="BB462" s="25"/>
      <c r="BC462" s="26"/>
      <c r="BD462" s="24"/>
      <c r="BE462" s="24"/>
      <c r="BF462" s="24"/>
      <c r="BG462" s="24"/>
      <c r="BH462" s="24"/>
      <c r="BI462" s="24"/>
      <c r="BJ462" s="24"/>
      <c r="BK462" s="24"/>
      <c r="BL462" s="24"/>
      <c r="BM462" s="24"/>
      <c r="BN462" s="24"/>
      <c r="BO462" s="25"/>
      <c r="BP462" s="26"/>
      <c r="BQ462" s="24"/>
      <c r="BR462" s="24"/>
      <c r="BS462" s="24"/>
      <c r="BT462" s="24"/>
      <c r="BU462" s="24"/>
      <c r="BV462" s="24"/>
      <c r="BW462" s="24"/>
      <c r="BX462" s="24"/>
      <c r="BY462" s="24"/>
      <c r="BZ462" s="24"/>
      <c r="CA462" s="24"/>
      <c r="CB462" s="25"/>
      <c r="CC462" s="26"/>
      <c r="CD462" s="24"/>
      <c r="CE462" s="24"/>
      <c r="CF462" s="24"/>
      <c r="CG462" s="24"/>
      <c r="CH462" s="24"/>
      <c r="CI462" s="24"/>
      <c r="CJ462" s="24"/>
      <c r="CK462" s="24"/>
      <c r="CL462" s="24"/>
      <c r="CM462" s="24"/>
      <c r="CN462" s="24"/>
      <c r="CO462" s="25"/>
      <c r="CP462" s="26"/>
      <c r="CQ462" s="24"/>
      <c r="CR462" s="24"/>
      <c r="CS462" s="24"/>
      <c r="CT462" s="24"/>
      <c r="CU462" s="24"/>
      <c r="CV462" s="24"/>
      <c r="CW462" s="24"/>
      <c r="CX462" s="24"/>
      <c r="CY462" s="24"/>
      <c r="CZ462" s="24"/>
      <c r="DA462" s="24"/>
      <c r="DB462" s="25"/>
      <c r="DC462" s="26"/>
      <c r="DD462" s="24"/>
      <c r="DE462" s="24"/>
      <c r="DF462" s="24"/>
      <c r="DG462" s="24"/>
      <c r="DH462" s="24"/>
      <c r="DI462" s="24"/>
      <c r="DJ462" s="24"/>
      <c r="DK462" s="24"/>
      <c r="DL462" s="24"/>
      <c r="DM462" s="24"/>
      <c r="DN462" s="24"/>
      <c r="DO462" s="25"/>
      <c r="DP462" s="26"/>
      <c r="DQ462" s="24"/>
      <c r="DR462" s="24"/>
      <c r="DS462" s="24"/>
      <c r="DT462" s="24"/>
      <c r="DU462" s="24"/>
      <c r="DV462" s="24"/>
      <c r="DW462" s="24"/>
      <c r="DX462" s="24"/>
      <c r="DY462" s="24"/>
      <c r="DZ462" s="24"/>
      <c r="EA462" s="24"/>
      <c r="EB462" s="25"/>
      <c r="EC462" s="26"/>
      <c r="ED462" s="24"/>
      <c r="EE462" s="24"/>
      <c r="EF462" s="24"/>
      <c r="EG462" s="24"/>
      <c r="EH462" s="24"/>
      <c r="EI462" s="24"/>
      <c r="EJ462" s="24"/>
      <c r="EK462" s="24"/>
      <c r="EL462" s="24"/>
      <c r="EM462" s="24"/>
      <c r="EN462" s="24"/>
      <c r="EO462" s="25"/>
      <c r="EP462" s="26"/>
      <c r="EQ462" s="24"/>
      <c r="ER462" s="24"/>
      <c r="ES462" s="24"/>
      <c r="ET462" s="24"/>
      <c r="EU462" s="24"/>
      <c r="EV462" s="24"/>
      <c r="EW462" s="24"/>
      <c r="EX462" s="24"/>
      <c r="EY462" s="24"/>
      <c r="EZ462" s="24"/>
      <c r="FA462" s="24"/>
      <c r="FB462" s="25"/>
      <c r="FC462" s="26"/>
      <c r="FD462" s="24"/>
      <c r="FE462" s="24"/>
      <c r="FF462" s="24"/>
      <c r="FG462" s="24"/>
      <c r="FH462" s="24"/>
      <c r="FI462" s="24"/>
      <c r="FJ462" s="24"/>
      <c r="FK462" s="24"/>
      <c r="FL462" s="24"/>
      <c r="FM462" s="24"/>
      <c r="FN462" s="24"/>
      <c r="FO462" s="27">
        <f t="shared" ref="FO462:FV462" si="455">IFERROR(R462*1,0)+IFERROR(AE462*1,0)+IFERROR(AR462*1,0)+IFERROR(BE462*1,0)+IFERROR(BR462*1,0)+IFERROR(CE462*1,0)+IFERROR(CR462*1,0)+IFERROR(DE462*1,0)+IFERROR(DR462*1,0)+IFERROR(EE462*1,0)+IFERROR(ER462*1,0)+IFERROR(FE462*1,0)</f>
        <v>0</v>
      </c>
      <c r="FP462" s="27">
        <f t="shared" si="455"/>
        <v>0</v>
      </c>
      <c r="FQ462" s="27">
        <f t="shared" si="455"/>
        <v>0</v>
      </c>
      <c r="FR462" s="27">
        <f t="shared" si="455"/>
        <v>0</v>
      </c>
      <c r="FS462" s="27">
        <f t="shared" si="455"/>
        <v>0</v>
      </c>
      <c r="FT462" s="27">
        <f t="shared" si="455"/>
        <v>0</v>
      </c>
      <c r="FU462" s="27">
        <f t="shared" si="455"/>
        <v>0</v>
      </c>
      <c r="FV462" s="27">
        <f t="shared" si="455"/>
        <v>0</v>
      </c>
      <c r="FW462" s="28"/>
      <c r="FX462" s="29">
        <f t="shared" si="3"/>
        <v>0</v>
      </c>
    </row>
    <row r="463" spans="1:180" ht="18" customHeight="1" x14ac:dyDescent="0.25">
      <c r="A463" s="3" t="str">
        <f>IF(C463&lt;&gt;"","DRG-"&amp;TEXT(458,"000"),"")</f>
        <v/>
      </c>
      <c r="B463" s="33"/>
      <c r="C463" s="33"/>
      <c r="D463" s="33"/>
      <c r="E463" s="33"/>
      <c r="F463" s="33"/>
      <c r="G463" s="33"/>
      <c r="H463" s="33"/>
      <c r="I463" s="33"/>
      <c r="J463" s="33"/>
      <c r="K463" s="33"/>
      <c r="L463" s="37">
        <v>4</v>
      </c>
      <c r="M463" s="30" t="str">
        <f t="shared" si="0"/>
        <v>✘ Pending</v>
      </c>
      <c r="N463" s="30">
        <f t="shared" si="1"/>
        <v>0</v>
      </c>
      <c r="O463" s="31"/>
      <c r="P463" s="32"/>
      <c r="Q463" s="33"/>
      <c r="R463" s="33"/>
      <c r="S463" s="33"/>
      <c r="T463" s="33"/>
      <c r="U463" s="33"/>
      <c r="V463" s="33"/>
      <c r="W463" s="33"/>
      <c r="X463" s="33"/>
      <c r="Y463" s="33"/>
      <c r="Z463" s="33"/>
      <c r="AA463" s="33"/>
      <c r="AB463" s="31"/>
      <c r="AC463" s="32"/>
      <c r="AD463" s="33"/>
      <c r="AE463" s="33"/>
      <c r="AF463" s="33"/>
      <c r="AG463" s="33"/>
      <c r="AH463" s="33"/>
      <c r="AI463" s="33"/>
      <c r="AJ463" s="33"/>
      <c r="AK463" s="33"/>
      <c r="AL463" s="33"/>
      <c r="AM463" s="33"/>
      <c r="AN463" s="33"/>
      <c r="AO463" s="31"/>
      <c r="AP463" s="32"/>
      <c r="AQ463" s="33"/>
      <c r="AR463" s="33"/>
      <c r="AS463" s="33"/>
      <c r="AT463" s="33"/>
      <c r="AU463" s="33"/>
      <c r="AV463" s="33"/>
      <c r="AW463" s="33"/>
      <c r="AX463" s="33"/>
      <c r="AY463" s="33"/>
      <c r="AZ463" s="33"/>
      <c r="BA463" s="33"/>
      <c r="BB463" s="31"/>
      <c r="BC463" s="32"/>
      <c r="BD463" s="33"/>
      <c r="BE463" s="33"/>
      <c r="BF463" s="33"/>
      <c r="BG463" s="33"/>
      <c r="BH463" s="33"/>
      <c r="BI463" s="33"/>
      <c r="BJ463" s="33"/>
      <c r="BK463" s="33"/>
      <c r="BL463" s="33"/>
      <c r="BM463" s="33"/>
      <c r="BN463" s="33"/>
      <c r="BO463" s="31"/>
      <c r="BP463" s="32"/>
      <c r="BQ463" s="33"/>
      <c r="BR463" s="33"/>
      <c r="BS463" s="33"/>
      <c r="BT463" s="33"/>
      <c r="BU463" s="33"/>
      <c r="BV463" s="33"/>
      <c r="BW463" s="33"/>
      <c r="BX463" s="33"/>
      <c r="BY463" s="33"/>
      <c r="BZ463" s="33"/>
      <c r="CA463" s="33"/>
      <c r="CB463" s="31"/>
      <c r="CC463" s="32"/>
      <c r="CD463" s="33"/>
      <c r="CE463" s="33"/>
      <c r="CF463" s="33"/>
      <c r="CG463" s="33"/>
      <c r="CH463" s="33"/>
      <c r="CI463" s="33"/>
      <c r="CJ463" s="33"/>
      <c r="CK463" s="33"/>
      <c r="CL463" s="33"/>
      <c r="CM463" s="33"/>
      <c r="CN463" s="33"/>
      <c r="CO463" s="31"/>
      <c r="CP463" s="32"/>
      <c r="CQ463" s="33"/>
      <c r="CR463" s="33"/>
      <c r="CS463" s="33"/>
      <c r="CT463" s="33"/>
      <c r="CU463" s="33"/>
      <c r="CV463" s="33"/>
      <c r="CW463" s="33"/>
      <c r="CX463" s="33"/>
      <c r="CY463" s="33"/>
      <c r="CZ463" s="33"/>
      <c r="DA463" s="33"/>
      <c r="DB463" s="31"/>
      <c r="DC463" s="32"/>
      <c r="DD463" s="33"/>
      <c r="DE463" s="33"/>
      <c r="DF463" s="33"/>
      <c r="DG463" s="33"/>
      <c r="DH463" s="33"/>
      <c r="DI463" s="33"/>
      <c r="DJ463" s="33"/>
      <c r="DK463" s="33"/>
      <c r="DL463" s="33"/>
      <c r="DM463" s="33"/>
      <c r="DN463" s="33"/>
      <c r="DO463" s="31"/>
      <c r="DP463" s="32"/>
      <c r="DQ463" s="33"/>
      <c r="DR463" s="33"/>
      <c r="DS463" s="33"/>
      <c r="DT463" s="33"/>
      <c r="DU463" s="33"/>
      <c r="DV463" s="33"/>
      <c r="DW463" s="33"/>
      <c r="DX463" s="33"/>
      <c r="DY463" s="33"/>
      <c r="DZ463" s="33"/>
      <c r="EA463" s="33"/>
      <c r="EB463" s="31"/>
      <c r="EC463" s="32"/>
      <c r="ED463" s="33"/>
      <c r="EE463" s="33"/>
      <c r="EF463" s="33"/>
      <c r="EG463" s="33"/>
      <c r="EH463" s="33"/>
      <c r="EI463" s="33"/>
      <c r="EJ463" s="33"/>
      <c r="EK463" s="33"/>
      <c r="EL463" s="33"/>
      <c r="EM463" s="33"/>
      <c r="EN463" s="33"/>
      <c r="EO463" s="31"/>
      <c r="EP463" s="32"/>
      <c r="EQ463" s="33"/>
      <c r="ER463" s="33"/>
      <c r="ES463" s="33"/>
      <c r="ET463" s="33"/>
      <c r="EU463" s="33"/>
      <c r="EV463" s="33"/>
      <c r="EW463" s="33"/>
      <c r="EX463" s="33"/>
      <c r="EY463" s="33"/>
      <c r="EZ463" s="33"/>
      <c r="FA463" s="33"/>
      <c r="FB463" s="31"/>
      <c r="FC463" s="32"/>
      <c r="FD463" s="33"/>
      <c r="FE463" s="33"/>
      <c r="FF463" s="33"/>
      <c r="FG463" s="33"/>
      <c r="FH463" s="33"/>
      <c r="FI463" s="33"/>
      <c r="FJ463" s="33"/>
      <c r="FK463" s="33"/>
      <c r="FL463" s="33"/>
      <c r="FM463" s="33"/>
      <c r="FN463" s="33"/>
      <c r="FO463" s="34">
        <f t="shared" ref="FO463:FV463" si="456">IFERROR(R463*1,0)+IFERROR(AE463*1,0)+IFERROR(AR463*1,0)+IFERROR(BE463*1,0)+IFERROR(BR463*1,0)+IFERROR(CE463*1,0)+IFERROR(CR463*1,0)+IFERROR(DE463*1,0)+IFERROR(DR463*1,0)+IFERROR(EE463*1,0)+IFERROR(ER463*1,0)+IFERROR(FE463*1,0)</f>
        <v>0</v>
      </c>
      <c r="FP463" s="34">
        <f t="shared" si="456"/>
        <v>0</v>
      </c>
      <c r="FQ463" s="34">
        <f t="shared" si="456"/>
        <v>0</v>
      </c>
      <c r="FR463" s="34">
        <f t="shared" si="456"/>
        <v>0</v>
      </c>
      <c r="FS463" s="34">
        <f t="shared" si="456"/>
        <v>0</v>
      </c>
      <c r="FT463" s="34">
        <f t="shared" si="456"/>
        <v>0</v>
      </c>
      <c r="FU463" s="34">
        <f t="shared" si="456"/>
        <v>0</v>
      </c>
      <c r="FV463" s="34">
        <f t="shared" si="456"/>
        <v>0</v>
      </c>
      <c r="FW463" s="28"/>
      <c r="FX463" s="29">
        <f t="shared" si="3"/>
        <v>0</v>
      </c>
    </row>
    <row r="464" spans="1:180" ht="18" customHeight="1" x14ac:dyDescent="0.25">
      <c r="A464" s="3" t="str">
        <f>IF(C464&lt;&gt;"","DRG-"&amp;TEXT(459,"000"),"")</f>
        <v/>
      </c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38">
        <v>4</v>
      </c>
      <c r="M464" s="23" t="str">
        <f t="shared" si="0"/>
        <v>✘ Pending</v>
      </c>
      <c r="N464" s="23">
        <f t="shared" si="1"/>
        <v>0</v>
      </c>
      <c r="O464" s="25"/>
      <c r="P464" s="26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  <c r="AB464" s="25"/>
      <c r="AC464" s="26"/>
      <c r="AD464" s="24"/>
      <c r="AE464" s="24"/>
      <c r="AF464" s="24"/>
      <c r="AG464" s="24"/>
      <c r="AH464" s="24"/>
      <c r="AI464" s="24"/>
      <c r="AJ464" s="24"/>
      <c r="AK464" s="24"/>
      <c r="AL464" s="24"/>
      <c r="AM464" s="24"/>
      <c r="AN464" s="24"/>
      <c r="AO464" s="25"/>
      <c r="AP464" s="26"/>
      <c r="AQ464" s="24"/>
      <c r="AR464" s="24"/>
      <c r="AS464" s="24"/>
      <c r="AT464" s="24"/>
      <c r="AU464" s="24"/>
      <c r="AV464" s="24"/>
      <c r="AW464" s="24"/>
      <c r="AX464" s="24"/>
      <c r="AY464" s="24"/>
      <c r="AZ464" s="24"/>
      <c r="BA464" s="24"/>
      <c r="BB464" s="25"/>
      <c r="BC464" s="26"/>
      <c r="BD464" s="24"/>
      <c r="BE464" s="24"/>
      <c r="BF464" s="24"/>
      <c r="BG464" s="24"/>
      <c r="BH464" s="24"/>
      <c r="BI464" s="24"/>
      <c r="BJ464" s="24"/>
      <c r="BK464" s="24"/>
      <c r="BL464" s="24"/>
      <c r="BM464" s="24"/>
      <c r="BN464" s="24"/>
      <c r="BO464" s="25"/>
      <c r="BP464" s="26"/>
      <c r="BQ464" s="24"/>
      <c r="BR464" s="24"/>
      <c r="BS464" s="24"/>
      <c r="BT464" s="24"/>
      <c r="BU464" s="24"/>
      <c r="BV464" s="24"/>
      <c r="BW464" s="24"/>
      <c r="BX464" s="24"/>
      <c r="BY464" s="24"/>
      <c r="BZ464" s="24"/>
      <c r="CA464" s="24"/>
      <c r="CB464" s="25"/>
      <c r="CC464" s="26"/>
      <c r="CD464" s="24"/>
      <c r="CE464" s="24"/>
      <c r="CF464" s="24"/>
      <c r="CG464" s="24"/>
      <c r="CH464" s="24"/>
      <c r="CI464" s="24"/>
      <c r="CJ464" s="24"/>
      <c r="CK464" s="24"/>
      <c r="CL464" s="24"/>
      <c r="CM464" s="24"/>
      <c r="CN464" s="24"/>
      <c r="CO464" s="25"/>
      <c r="CP464" s="26"/>
      <c r="CQ464" s="24"/>
      <c r="CR464" s="24"/>
      <c r="CS464" s="24"/>
      <c r="CT464" s="24"/>
      <c r="CU464" s="24"/>
      <c r="CV464" s="24"/>
      <c r="CW464" s="24"/>
      <c r="CX464" s="24"/>
      <c r="CY464" s="24"/>
      <c r="CZ464" s="24"/>
      <c r="DA464" s="24"/>
      <c r="DB464" s="25"/>
      <c r="DC464" s="26"/>
      <c r="DD464" s="24"/>
      <c r="DE464" s="24"/>
      <c r="DF464" s="24"/>
      <c r="DG464" s="24"/>
      <c r="DH464" s="24"/>
      <c r="DI464" s="24"/>
      <c r="DJ464" s="24"/>
      <c r="DK464" s="24"/>
      <c r="DL464" s="24"/>
      <c r="DM464" s="24"/>
      <c r="DN464" s="24"/>
      <c r="DO464" s="25"/>
      <c r="DP464" s="26"/>
      <c r="DQ464" s="24"/>
      <c r="DR464" s="24"/>
      <c r="DS464" s="24"/>
      <c r="DT464" s="24"/>
      <c r="DU464" s="24"/>
      <c r="DV464" s="24"/>
      <c r="DW464" s="24"/>
      <c r="DX464" s="24"/>
      <c r="DY464" s="24"/>
      <c r="DZ464" s="24"/>
      <c r="EA464" s="24"/>
      <c r="EB464" s="25"/>
      <c r="EC464" s="26"/>
      <c r="ED464" s="24"/>
      <c r="EE464" s="24"/>
      <c r="EF464" s="24"/>
      <c r="EG464" s="24"/>
      <c r="EH464" s="24"/>
      <c r="EI464" s="24"/>
      <c r="EJ464" s="24"/>
      <c r="EK464" s="24"/>
      <c r="EL464" s="24"/>
      <c r="EM464" s="24"/>
      <c r="EN464" s="24"/>
      <c r="EO464" s="25"/>
      <c r="EP464" s="26"/>
      <c r="EQ464" s="24"/>
      <c r="ER464" s="24"/>
      <c r="ES464" s="24"/>
      <c r="ET464" s="24"/>
      <c r="EU464" s="24"/>
      <c r="EV464" s="24"/>
      <c r="EW464" s="24"/>
      <c r="EX464" s="24"/>
      <c r="EY464" s="24"/>
      <c r="EZ464" s="24"/>
      <c r="FA464" s="24"/>
      <c r="FB464" s="25"/>
      <c r="FC464" s="26"/>
      <c r="FD464" s="24"/>
      <c r="FE464" s="24"/>
      <c r="FF464" s="24"/>
      <c r="FG464" s="24"/>
      <c r="FH464" s="24"/>
      <c r="FI464" s="24"/>
      <c r="FJ464" s="24"/>
      <c r="FK464" s="24"/>
      <c r="FL464" s="24"/>
      <c r="FM464" s="24"/>
      <c r="FN464" s="24"/>
      <c r="FO464" s="27">
        <f t="shared" ref="FO464:FV464" si="457">IFERROR(R464*1,0)+IFERROR(AE464*1,0)+IFERROR(AR464*1,0)+IFERROR(BE464*1,0)+IFERROR(BR464*1,0)+IFERROR(CE464*1,0)+IFERROR(CR464*1,0)+IFERROR(DE464*1,0)+IFERROR(DR464*1,0)+IFERROR(EE464*1,0)+IFERROR(ER464*1,0)+IFERROR(FE464*1,0)</f>
        <v>0</v>
      </c>
      <c r="FP464" s="27">
        <f t="shared" si="457"/>
        <v>0</v>
      </c>
      <c r="FQ464" s="27">
        <f t="shared" si="457"/>
        <v>0</v>
      </c>
      <c r="FR464" s="27">
        <f t="shared" si="457"/>
        <v>0</v>
      </c>
      <c r="FS464" s="27">
        <f t="shared" si="457"/>
        <v>0</v>
      </c>
      <c r="FT464" s="27">
        <f t="shared" si="457"/>
        <v>0</v>
      </c>
      <c r="FU464" s="27">
        <f t="shared" si="457"/>
        <v>0</v>
      </c>
      <c r="FV464" s="27">
        <f t="shared" si="457"/>
        <v>0</v>
      </c>
      <c r="FW464" s="28"/>
      <c r="FX464" s="29">
        <f t="shared" si="3"/>
        <v>0</v>
      </c>
    </row>
    <row r="465" spans="1:180" ht="18" customHeight="1" x14ac:dyDescent="0.25">
      <c r="A465" s="3" t="str">
        <f>IF(C465&lt;&gt;"","DRG-"&amp;TEXT(460,"000"),"")</f>
        <v/>
      </c>
      <c r="B465" s="33"/>
      <c r="C465" s="33"/>
      <c r="D465" s="33"/>
      <c r="E465" s="33"/>
      <c r="F465" s="33"/>
      <c r="G465" s="33"/>
      <c r="H465" s="33"/>
      <c r="I465" s="33"/>
      <c r="J465" s="33"/>
      <c r="K465" s="33"/>
      <c r="L465" s="37">
        <v>4</v>
      </c>
      <c r="M465" s="30" t="str">
        <f t="shared" si="0"/>
        <v>✘ Pending</v>
      </c>
      <c r="N465" s="30">
        <f t="shared" si="1"/>
        <v>0</v>
      </c>
      <c r="O465" s="31"/>
      <c r="P465" s="32"/>
      <c r="Q465" s="33"/>
      <c r="R465" s="33"/>
      <c r="S465" s="33"/>
      <c r="T465" s="33"/>
      <c r="U465" s="33"/>
      <c r="V465" s="33"/>
      <c r="W465" s="33"/>
      <c r="X465" s="33"/>
      <c r="Y465" s="33"/>
      <c r="Z465" s="33"/>
      <c r="AA465" s="33"/>
      <c r="AB465" s="31"/>
      <c r="AC465" s="32"/>
      <c r="AD465" s="33"/>
      <c r="AE465" s="33"/>
      <c r="AF465" s="33"/>
      <c r="AG465" s="33"/>
      <c r="AH465" s="33"/>
      <c r="AI465" s="33"/>
      <c r="AJ465" s="33"/>
      <c r="AK465" s="33"/>
      <c r="AL465" s="33"/>
      <c r="AM465" s="33"/>
      <c r="AN465" s="33"/>
      <c r="AO465" s="31"/>
      <c r="AP465" s="32"/>
      <c r="AQ465" s="33"/>
      <c r="AR465" s="33"/>
      <c r="AS465" s="33"/>
      <c r="AT465" s="33"/>
      <c r="AU465" s="33"/>
      <c r="AV465" s="33"/>
      <c r="AW465" s="33"/>
      <c r="AX465" s="33"/>
      <c r="AY465" s="33"/>
      <c r="AZ465" s="33"/>
      <c r="BA465" s="33"/>
      <c r="BB465" s="31"/>
      <c r="BC465" s="32"/>
      <c r="BD465" s="33"/>
      <c r="BE465" s="33"/>
      <c r="BF465" s="33"/>
      <c r="BG465" s="33"/>
      <c r="BH465" s="33"/>
      <c r="BI465" s="33"/>
      <c r="BJ465" s="33"/>
      <c r="BK465" s="33"/>
      <c r="BL465" s="33"/>
      <c r="BM465" s="33"/>
      <c r="BN465" s="33"/>
      <c r="BO465" s="31"/>
      <c r="BP465" s="32"/>
      <c r="BQ465" s="33"/>
      <c r="BR465" s="33"/>
      <c r="BS465" s="33"/>
      <c r="BT465" s="33"/>
      <c r="BU465" s="33"/>
      <c r="BV465" s="33"/>
      <c r="BW465" s="33"/>
      <c r="BX465" s="33"/>
      <c r="BY465" s="33"/>
      <c r="BZ465" s="33"/>
      <c r="CA465" s="33"/>
      <c r="CB465" s="31"/>
      <c r="CC465" s="32"/>
      <c r="CD465" s="33"/>
      <c r="CE465" s="33"/>
      <c r="CF465" s="33"/>
      <c r="CG465" s="33"/>
      <c r="CH465" s="33"/>
      <c r="CI465" s="33"/>
      <c r="CJ465" s="33"/>
      <c r="CK465" s="33"/>
      <c r="CL465" s="33"/>
      <c r="CM465" s="33"/>
      <c r="CN465" s="33"/>
      <c r="CO465" s="31"/>
      <c r="CP465" s="32"/>
      <c r="CQ465" s="33"/>
      <c r="CR465" s="33"/>
      <c r="CS465" s="33"/>
      <c r="CT465" s="33"/>
      <c r="CU465" s="33"/>
      <c r="CV465" s="33"/>
      <c r="CW465" s="33"/>
      <c r="CX465" s="33"/>
      <c r="CY465" s="33"/>
      <c r="CZ465" s="33"/>
      <c r="DA465" s="33"/>
      <c r="DB465" s="31"/>
      <c r="DC465" s="32"/>
      <c r="DD465" s="33"/>
      <c r="DE465" s="33"/>
      <c r="DF465" s="33"/>
      <c r="DG465" s="33"/>
      <c r="DH465" s="33"/>
      <c r="DI465" s="33"/>
      <c r="DJ465" s="33"/>
      <c r="DK465" s="33"/>
      <c r="DL465" s="33"/>
      <c r="DM465" s="33"/>
      <c r="DN465" s="33"/>
      <c r="DO465" s="31"/>
      <c r="DP465" s="32"/>
      <c r="DQ465" s="33"/>
      <c r="DR465" s="33"/>
      <c r="DS465" s="33"/>
      <c r="DT465" s="33"/>
      <c r="DU465" s="33"/>
      <c r="DV465" s="33"/>
      <c r="DW465" s="33"/>
      <c r="DX465" s="33"/>
      <c r="DY465" s="33"/>
      <c r="DZ465" s="33"/>
      <c r="EA465" s="33"/>
      <c r="EB465" s="31"/>
      <c r="EC465" s="32"/>
      <c r="ED465" s="33"/>
      <c r="EE465" s="33"/>
      <c r="EF465" s="33"/>
      <c r="EG465" s="33"/>
      <c r="EH465" s="33"/>
      <c r="EI465" s="33"/>
      <c r="EJ465" s="33"/>
      <c r="EK465" s="33"/>
      <c r="EL465" s="33"/>
      <c r="EM465" s="33"/>
      <c r="EN465" s="33"/>
      <c r="EO465" s="31"/>
      <c r="EP465" s="32"/>
      <c r="EQ465" s="33"/>
      <c r="ER465" s="33"/>
      <c r="ES465" s="33"/>
      <c r="ET465" s="33"/>
      <c r="EU465" s="33"/>
      <c r="EV465" s="33"/>
      <c r="EW465" s="33"/>
      <c r="EX465" s="33"/>
      <c r="EY465" s="33"/>
      <c r="EZ465" s="33"/>
      <c r="FA465" s="33"/>
      <c r="FB465" s="31"/>
      <c r="FC465" s="32"/>
      <c r="FD465" s="33"/>
      <c r="FE465" s="33"/>
      <c r="FF465" s="33"/>
      <c r="FG465" s="33"/>
      <c r="FH465" s="33"/>
      <c r="FI465" s="33"/>
      <c r="FJ465" s="33"/>
      <c r="FK465" s="33"/>
      <c r="FL465" s="33"/>
      <c r="FM465" s="33"/>
      <c r="FN465" s="33"/>
      <c r="FO465" s="34">
        <f t="shared" ref="FO465:FV465" si="458">IFERROR(R465*1,0)+IFERROR(AE465*1,0)+IFERROR(AR465*1,0)+IFERROR(BE465*1,0)+IFERROR(BR465*1,0)+IFERROR(CE465*1,0)+IFERROR(CR465*1,0)+IFERROR(DE465*1,0)+IFERROR(DR465*1,0)+IFERROR(EE465*1,0)+IFERROR(ER465*1,0)+IFERROR(FE465*1,0)</f>
        <v>0</v>
      </c>
      <c r="FP465" s="34">
        <f t="shared" si="458"/>
        <v>0</v>
      </c>
      <c r="FQ465" s="34">
        <f t="shared" si="458"/>
        <v>0</v>
      </c>
      <c r="FR465" s="34">
        <f t="shared" si="458"/>
        <v>0</v>
      </c>
      <c r="FS465" s="34">
        <f t="shared" si="458"/>
        <v>0</v>
      </c>
      <c r="FT465" s="34">
        <f t="shared" si="458"/>
        <v>0</v>
      </c>
      <c r="FU465" s="34">
        <f t="shared" si="458"/>
        <v>0</v>
      </c>
      <c r="FV465" s="34">
        <f t="shared" si="458"/>
        <v>0</v>
      </c>
      <c r="FW465" s="28"/>
      <c r="FX465" s="29">
        <f t="shared" si="3"/>
        <v>0</v>
      </c>
    </row>
    <row r="466" spans="1:180" ht="18" customHeight="1" x14ac:dyDescent="0.25">
      <c r="A466" s="3" t="str">
        <f>IF(C466&lt;&gt;"","DRG-"&amp;TEXT(461,"000"),"")</f>
        <v/>
      </c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38">
        <v>4</v>
      </c>
      <c r="M466" s="23" t="str">
        <f t="shared" si="0"/>
        <v>✘ Pending</v>
      </c>
      <c r="N466" s="23">
        <f t="shared" si="1"/>
        <v>0</v>
      </c>
      <c r="O466" s="25"/>
      <c r="P466" s="26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  <c r="AB466" s="25"/>
      <c r="AC466" s="26"/>
      <c r="AD466" s="24"/>
      <c r="AE466" s="24"/>
      <c r="AF466" s="24"/>
      <c r="AG466" s="24"/>
      <c r="AH466" s="24"/>
      <c r="AI466" s="24"/>
      <c r="AJ466" s="24"/>
      <c r="AK466" s="24"/>
      <c r="AL466" s="24"/>
      <c r="AM466" s="24"/>
      <c r="AN466" s="24"/>
      <c r="AO466" s="25"/>
      <c r="AP466" s="26"/>
      <c r="AQ466" s="24"/>
      <c r="AR466" s="24"/>
      <c r="AS466" s="24"/>
      <c r="AT466" s="24"/>
      <c r="AU466" s="24"/>
      <c r="AV466" s="24"/>
      <c r="AW466" s="24"/>
      <c r="AX466" s="24"/>
      <c r="AY466" s="24"/>
      <c r="AZ466" s="24"/>
      <c r="BA466" s="24"/>
      <c r="BB466" s="25"/>
      <c r="BC466" s="26"/>
      <c r="BD466" s="24"/>
      <c r="BE466" s="24"/>
      <c r="BF466" s="24"/>
      <c r="BG466" s="24"/>
      <c r="BH466" s="24"/>
      <c r="BI466" s="24"/>
      <c r="BJ466" s="24"/>
      <c r="BK466" s="24"/>
      <c r="BL466" s="24"/>
      <c r="BM466" s="24"/>
      <c r="BN466" s="24"/>
      <c r="BO466" s="25"/>
      <c r="BP466" s="26"/>
      <c r="BQ466" s="24"/>
      <c r="BR466" s="24"/>
      <c r="BS466" s="24"/>
      <c r="BT466" s="24"/>
      <c r="BU466" s="24"/>
      <c r="BV466" s="24"/>
      <c r="BW466" s="24"/>
      <c r="BX466" s="24"/>
      <c r="BY466" s="24"/>
      <c r="BZ466" s="24"/>
      <c r="CA466" s="24"/>
      <c r="CB466" s="25"/>
      <c r="CC466" s="26"/>
      <c r="CD466" s="24"/>
      <c r="CE466" s="24"/>
      <c r="CF466" s="24"/>
      <c r="CG466" s="24"/>
      <c r="CH466" s="24"/>
      <c r="CI466" s="24"/>
      <c r="CJ466" s="24"/>
      <c r="CK466" s="24"/>
      <c r="CL466" s="24"/>
      <c r="CM466" s="24"/>
      <c r="CN466" s="24"/>
      <c r="CO466" s="25"/>
      <c r="CP466" s="26"/>
      <c r="CQ466" s="24"/>
      <c r="CR466" s="24"/>
      <c r="CS466" s="24"/>
      <c r="CT466" s="24"/>
      <c r="CU466" s="24"/>
      <c r="CV466" s="24"/>
      <c r="CW466" s="24"/>
      <c r="CX466" s="24"/>
      <c r="CY466" s="24"/>
      <c r="CZ466" s="24"/>
      <c r="DA466" s="24"/>
      <c r="DB466" s="25"/>
      <c r="DC466" s="26"/>
      <c r="DD466" s="24"/>
      <c r="DE466" s="24"/>
      <c r="DF466" s="24"/>
      <c r="DG466" s="24"/>
      <c r="DH466" s="24"/>
      <c r="DI466" s="24"/>
      <c r="DJ466" s="24"/>
      <c r="DK466" s="24"/>
      <c r="DL466" s="24"/>
      <c r="DM466" s="24"/>
      <c r="DN466" s="24"/>
      <c r="DO466" s="25"/>
      <c r="DP466" s="26"/>
      <c r="DQ466" s="24"/>
      <c r="DR466" s="24"/>
      <c r="DS466" s="24"/>
      <c r="DT466" s="24"/>
      <c r="DU466" s="24"/>
      <c r="DV466" s="24"/>
      <c r="DW466" s="24"/>
      <c r="DX466" s="24"/>
      <c r="DY466" s="24"/>
      <c r="DZ466" s="24"/>
      <c r="EA466" s="24"/>
      <c r="EB466" s="25"/>
      <c r="EC466" s="26"/>
      <c r="ED466" s="24"/>
      <c r="EE466" s="24"/>
      <c r="EF466" s="24"/>
      <c r="EG466" s="24"/>
      <c r="EH466" s="24"/>
      <c r="EI466" s="24"/>
      <c r="EJ466" s="24"/>
      <c r="EK466" s="24"/>
      <c r="EL466" s="24"/>
      <c r="EM466" s="24"/>
      <c r="EN466" s="24"/>
      <c r="EO466" s="25"/>
      <c r="EP466" s="26"/>
      <c r="EQ466" s="24"/>
      <c r="ER466" s="24"/>
      <c r="ES466" s="24"/>
      <c r="ET466" s="24"/>
      <c r="EU466" s="24"/>
      <c r="EV466" s="24"/>
      <c r="EW466" s="24"/>
      <c r="EX466" s="24"/>
      <c r="EY466" s="24"/>
      <c r="EZ466" s="24"/>
      <c r="FA466" s="24"/>
      <c r="FB466" s="25"/>
      <c r="FC466" s="26"/>
      <c r="FD466" s="24"/>
      <c r="FE466" s="24"/>
      <c r="FF466" s="24"/>
      <c r="FG466" s="24"/>
      <c r="FH466" s="24"/>
      <c r="FI466" s="24"/>
      <c r="FJ466" s="24"/>
      <c r="FK466" s="24"/>
      <c r="FL466" s="24"/>
      <c r="FM466" s="24"/>
      <c r="FN466" s="24"/>
      <c r="FO466" s="27">
        <f t="shared" ref="FO466:FV466" si="459">IFERROR(R466*1,0)+IFERROR(AE466*1,0)+IFERROR(AR466*1,0)+IFERROR(BE466*1,0)+IFERROR(BR466*1,0)+IFERROR(CE466*1,0)+IFERROR(CR466*1,0)+IFERROR(DE466*1,0)+IFERROR(DR466*1,0)+IFERROR(EE466*1,0)+IFERROR(ER466*1,0)+IFERROR(FE466*1,0)</f>
        <v>0</v>
      </c>
      <c r="FP466" s="27">
        <f t="shared" si="459"/>
        <v>0</v>
      </c>
      <c r="FQ466" s="27">
        <f t="shared" si="459"/>
        <v>0</v>
      </c>
      <c r="FR466" s="27">
        <f t="shared" si="459"/>
        <v>0</v>
      </c>
      <c r="FS466" s="27">
        <f t="shared" si="459"/>
        <v>0</v>
      </c>
      <c r="FT466" s="27">
        <f t="shared" si="459"/>
        <v>0</v>
      </c>
      <c r="FU466" s="27">
        <f t="shared" si="459"/>
        <v>0</v>
      </c>
      <c r="FV466" s="27">
        <f t="shared" si="459"/>
        <v>0</v>
      </c>
      <c r="FW466" s="28"/>
      <c r="FX466" s="29">
        <f t="shared" si="3"/>
        <v>0</v>
      </c>
    </row>
    <row r="467" spans="1:180" ht="18" customHeight="1" x14ac:dyDescent="0.25">
      <c r="A467" s="3" t="str">
        <f>IF(C467&lt;&gt;"","DRG-"&amp;TEXT(462,"000"),"")</f>
        <v/>
      </c>
      <c r="B467" s="33"/>
      <c r="C467" s="33"/>
      <c r="D467" s="33"/>
      <c r="E467" s="33"/>
      <c r="F467" s="33"/>
      <c r="G467" s="33"/>
      <c r="H467" s="33"/>
      <c r="I467" s="33"/>
      <c r="J467" s="33"/>
      <c r="K467" s="33"/>
      <c r="L467" s="37">
        <v>4</v>
      </c>
      <c r="M467" s="30" t="str">
        <f t="shared" si="0"/>
        <v>✘ Pending</v>
      </c>
      <c r="N467" s="30">
        <f t="shared" si="1"/>
        <v>0</v>
      </c>
      <c r="O467" s="31"/>
      <c r="P467" s="32"/>
      <c r="Q467" s="33"/>
      <c r="R467" s="33"/>
      <c r="S467" s="33"/>
      <c r="T467" s="33"/>
      <c r="U467" s="33"/>
      <c r="V467" s="33"/>
      <c r="W467" s="33"/>
      <c r="X467" s="33"/>
      <c r="Y467" s="33"/>
      <c r="Z467" s="33"/>
      <c r="AA467" s="33"/>
      <c r="AB467" s="31"/>
      <c r="AC467" s="32"/>
      <c r="AD467" s="33"/>
      <c r="AE467" s="33"/>
      <c r="AF467" s="33"/>
      <c r="AG467" s="33"/>
      <c r="AH467" s="33"/>
      <c r="AI467" s="33"/>
      <c r="AJ467" s="33"/>
      <c r="AK467" s="33"/>
      <c r="AL467" s="33"/>
      <c r="AM467" s="33"/>
      <c r="AN467" s="33"/>
      <c r="AO467" s="31"/>
      <c r="AP467" s="32"/>
      <c r="AQ467" s="33"/>
      <c r="AR467" s="33"/>
      <c r="AS467" s="33"/>
      <c r="AT467" s="33"/>
      <c r="AU467" s="33"/>
      <c r="AV467" s="33"/>
      <c r="AW467" s="33"/>
      <c r="AX467" s="33"/>
      <c r="AY467" s="33"/>
      <c r="AZ467" s="33"/>
      <c r="BA467" s="33"/>
      <c r="BB467" s="31"/>
      <c r="BC467" s="32"/>
      <c r="BD467" s="33"/>
      <c r="BE467" s="33"/>
      <c r="BF467" s="33"/>
      <c r="BG467" s="33"/>
      <c r="BH467" s="33"/>
      <c r="BI467" s="33"/>
      <c r="BJ467" s="33"/>
      <c r="BK467" s="33"/>
      <c r="BL467" s="33"/>
      <c r="BM467" s="33"/>
      <c r="BN467" s="33"/>
      <c r="BO467" s="31"/>
      <c r="BP467" s="32"/>
      <c r="BQ467" s="33"/>
      <c r="BR467" s="33"/>
      <c r="BS467" s="33"/>
      <c r="BT467" s="33"/>
      <c r="BU467" s="33"/>
      <c r="BV467" s="33"/>
      <c r="BW467" s="33"/>
      <c r="BX467" s="33"/>
      <c r="BY467" s="33"/>
      <c r="BZ467" s="33"/>
      <c r="CA467" s="33"/>
      <c r="CB467" s="31"/>
      <c r="CC467" s="32"/>
      <c r="CD467" s="33"/>
      <c r="CE467" s="33"/>
      <c r="CF467" s="33"/>
      <c r="CG467" s="33"/>
      <c r="CH467" s="33"/>
      <c r="CI467" s="33"/>
      <c r="CJ467" s="33"/>
      <c r="CK467" s="33"/>
      <c r="CL467" s="33"/>
      <c r="CM467" s="33"/>
      <c r="CN467" s="33"/>
      <c r="CO467" s="31"/>
      <c r="CP467" s="32"/>
      <c r="CQ467" s="33"/>
      <c r="CR467" s="33"/>
      <c r="CS467" s="33"/>
      <c r="CT467" s="33"/>
      <c r="CU467" s="33"/>
      <c r="CV467" s="33"/>
      <c r="CW467" s="33"/>
      <c r="CX467" s="33"/>
      <c r="CY467" s="33"/>
      <c r="CZ467" s="33"/>
      <c r="DA467" s="33"/>
      <c r="DB467" s="31"/>
      <c r="DC467" s="32"/>
      <c r="DD467" s="33"/>
      <c r="DE467" s="33"/>
      <c r="DF467" s="33"/>
      <c r="DG467" s="33"/>
      <c r="DH467" s="33"/>
      <c r="DI467" s="33"/>
      <c r="DJ467" s="33"/>
      <c r="DK467" s="33"/>
      <c r="DL467" s="33"/>
      <c r="DM467" s="33"/>
      <c r="DN467" s="33"/>
      <c r="DO467" s="31"/>
      <c r="DP467" s="32"/>
      <c r="DQ467" s="33"/>
      <c r="DR467" s="33"/>
      <c r="DS467" s="33"/>
      <c r="DT467" s="33"/>
      <c r="DU467" s="33"/>
      <c r="DV467" s="33"/>
      <c r="DW467" s="33"/>
      <c r="DX467" s="33"/>
      <c r="DY467" s="33"/>
      <c r="DZ467" s="33"/>
      <c r="EA467" s="33"/>
      <c r="EB467" s="31"/>
      <c r="EC467" s="32"/>
      <c r="ED467" s="33"/>
      <c r="EE467" s="33"/>
      <c r="EF467" s="33"/>
      <c r="EG467" s="33"/>
      <c r="EH467" s="33"/>
      <c r="EI467" s="33"/>
      <c r="EJ467" s="33"/>
      <c r="EK467" s="33"/>
      <c r="EL467" s="33"/>
      <c r="EM467" s="33"/>
      <c r="EN467" s="33"/>
      <c r="EO467" s="31"/>
      <c r="EP467" s="32"/>
      <c r="EQ467" s="33"/>
      <c r="ER467" s="33"/>
      <c r="ES467" s="33"/>
      <c r="ET467" s="33"/>
      <c r="EU467" s="33"/>
      <c r="EV467" s="33"/>
      <c r="EW467" s="33"/>
      <c r="EX467" s="33"/>
      <c r="EY467" s="33"/>
      <c r="EZ467" s="33"/>
      <c r="FA467" s="33"/>
      <c r="FB467" s="31"/>
      <c r="FC467" s="32"/>
      <c r="FD467" s="33"/>
      <c r="FE467" s="33"/>
      <c r="FF467" s="33"/>
      <c r="FG467" s="33"/>
      <c r="FH467" s="33"/>
      <c r="FI467" s="33"/>
      <c r="FJ467" s="33"/>
      <c r="FK467" s="33"/>
      <c r="FL467" s="33"/>
      <c r="FM467" s="33"/>
      <c r="FN467" s="33"/>
      <c r="FO467" s="34">
        <f t="shared" ref="FO467:FV467" si="460">IFERROR(R467*1,0)+IFERROR(AE467*1,0)+IFERROR(AR467*1,0)+IFERROR(BE467*1,0)+IFERROR(BR467*1,0)+IFERROR(CE467*1,0)+IFERROR(CR467*1,0)+IFERROR(DE467*1,0)+IFERROR(DR467*1,0)+IFERROR(EE467*1,0)+IFERROR(ER467*1,0)+IFERROR(FE467*1,0)</f>
        <v>0</v>
      </c>
      <c r="FP467" s="34">
        <f t="shared" si="460"/>
        <v>0</v>
      </c>
      <c r="FQ467" s="34">
        <f t="shared" si="460"/>
        <v>0</v>
      </c>
      <c r="FR467" s="34">
        <f t="shared" si="460"/>
        <v>0</v>
      </c>
      <c r="FS467" s="34">
        <f t="shared" si="460"/>
        <v>0</v>
      </c>
      <c r="FT467" s="34">
        <f t="shared" si="460"/>
        <v>0</v>
      </c>
      <c r="FU467" s="34">
        <f t="shared" si="460"/>
        <v>0</v>
      </c>
      <c r="FV467" s="34">
        <f t="shared" si="460"/>
        <v>0</v>
      </c>
      <c r="FW467" s="28"/>
      <c r="FX467" s="29">
        <f t="shared" si="3"/>
        <v>0</v>
      </c>
    </row>
    <row r="468" spans="1:180" ht="18" customHeight="1" x14ac:dyDescent="0.25">
      <c r="A468" s="3" t="str">
        <f>IF(C468&lt;&gt;"","DRG-"&amp;TEXT(463,"000"),"")</f>
        <v/>
      </c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38">
        <v>4</v>
      </c>
      <c r="M468" s="23" t="str">
        <f t="shared" si="0"/>
        <v>✘ Pending</v>
      </c>
      <c r="N468" s="23">
        <f t="shared" si="1"/>
        <v>0</v>
      </c>
      <c r="O468" s="25"/>
      <c r="P468" s="26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  <c r="AB468" s="25"/>
      <c r="AC468" s="26"/>
      <c r="AD468" s="24"/>
      <c r="AE468" s="24"/>
      <c r="AF468" s="24"/>
      <c r="AG468" s="24"/>
      <c r="AH468" s="24"/>
      <c r="AI468" s="24"/>
      <c r="AJ468" s="24"/>
      <c r="AK468" s="24"/>
      <c r="AL468" s="24"/>
      <c r="AM468" s="24"/>
      <c r="AN468" s="24"/>
      <c r="AO468" s="25"/>
      <c r="AP468" s="26"/>
      <c r="AQ468" s="24"/>
      <c r="AR468" s="24"/>
      <c r="AS468" s="24"/>
      <c r="AT468" s="24"/>
      <c r="AU468" s="24"/>
      <c r="AV468" s="24"/>
      <c r="AW468" s="24"/>
      <c r="AX468" s="24"/>
      <c r="AY468" s="24"/>
      <c r="AZ468" s="24"/>
      <c r="BA468" s="24"/>
      <c r="BB468" s="25"/>
      <c r="BC468" s="26"/>
      <c r="BD468" s="24"/>
      <c r="BE468" s="24"/>
      <c r="BF468" s="24"/>
      <c r="BG468" s="24"/>
      <c r="BH468" s="24"/>
      <c r="BI468" s="24"/>
      <c r="BJ468" s="24"/>
      <c r="BK468" s="24"/>
      <c r="BL468" s="24"/>
      <c r="BM468" s="24"/>
      <c r="BN468" s="24"/>
      <c r="BO468" s="25"/>
      <c r="BP468" s="26"/>
      <c r="BQ468" s="24"/>
      <c r="BR468" s="24"/>
      <c r="BS468" s="24"/>
      <c r="BT468" s="24"/>
      <c r="BU468" s="24"/>
      <c r="BV468" s="24"/>
      <c r="BW468" s="24"/>
      <c r="BX468" s="24"/>
      <c r="BY468" s="24"/>
      <c r="BZ468" s="24"/>
      <c r="CA468" s="24"/>
      <c r="CB468" s="25"/>
      <c r="CC468" s="26"/>
      <c r="CD468" s="24"/>
      <c r="CE468" s="24"/>
      <c r="CF468" s="24"/>
      <c r="CG468" s="24"/>
      <c r="CH468" s="24"/>
      <c r="CI468" s="24"/>
      <c r="CJ468" s="24"/>
      <c r="CK468" s="24"/>
      <c r="CL468" s="24"/>
      <c r="CM468" s="24"/>
      <c r="CN468" s="24"/>
      <c r="CO468" s="25"/>
      <c r="CP468" s="26"/>
      <c r="CQ468" s="24"/>
      <c r="CR468" s="24"/>
      <c r="CS468" s="24"/>
      <c r="CT468" s="24"/>
      <c r="CU468" s="24"/>
      <c r="CV468" s="24"/>
      <c r="CW468" s="24"/>
      <c r="CX468" s="24"/>
      <c r="CY468" s="24"/>
      <c r="CZ468" s="24"/>
      <c r="DA468" s="24"/>
      <c r="DB468" s="25"/>
      <c r="DC468" s="26"/>
      <c r="DD468" s="24"/>
      <c r="DE468" s="24"/>
      <c r="DF468" s="24"/>
      <c r="DG468" s="24"/>
      <c r="DH468" s="24"/>
      <c r="DI468" s="24"/>
      <c r="DJ468" s="24"/>
      <c r="DK468" s="24"/>
      <c r="DL468" s="24"/>
      <c r="DM468" s="24"/>
      <c r="DN468" s="24"/>
      <c r="DO468" s="25"/>
      <c r="DP468" s="26"/>
      <c r="DQ468" s="24"/>
      <c r="DR468" s="24"/>
      <c r="DS468" s="24"/>
      <c r="DT468" s="24"/>
      <c r="DU468" s="24"/>
      <c r="DV468" s="24"/>
      <c r="DW468" s="24"/>
      <c r="DX468" s="24"/>
      <c r="DY468" s="24"/>
      <c r="DZ468" s="24"/>
      <c r="EA468" s="24"/>
      <c r="EB468" s="25"/>
      <c r="EC468" s="26"/>
      <c r="ED468" s="24"/>
      <c r="EE468" s="24"/>
      <c r="EF468" s="24"/>
      <c r="EG468" s="24"/>
      <c r="EH468" s="24"/>
      <c r="EI468" s="24"/>
      <c r="EJ468" s="24"/>
      <c r="EK468" s="24"/>
      <c r="EL468" s="24"/>
      <c r="EM468" s="24"/>
      <c r="EN468" s="24"/>
      <c r="EO468" s="25"/>
      <c r="EP468" s="26"/>
      <c r="EQ468" s="24"/>
      <c r="ER468" s="24"/>
      <c r="ES468" s="24"/>
      <c r="ET468" s="24"/>
      <c r="EU468" s="24"/>
      <c r="EV468" s="24"/>
      <c r="EW468" s="24"/>
      <c r="EX468" s="24"/>
      <c r="EY468" s="24"/>
      <c r="EZ468" s="24"/>
      <c r="FA468" s="24"/>
      <c r="FB468" s="25"/>
      <c r="FC468" s="26"/>
      <c r="FD468" s="24"/>
      <c r="FE468" s="24"/>
      <c r="FF468" s="24"/>
      <c r="FG468" s="24"/>
      <c r="FH468" s="24"/>
      <c r="FI468" s="24"/>
      <c r="FJ468" s="24"/>
      <c r="FK468" s="24"/>
      <c r="FL468" s="24"/>
      <c r="FM468" s="24"/>
      <c r="FN468" s="24"/>
      <c r="FO468" s="27">
        <f t="shared" ref="FO468:FV468" si="461">IFERROR(R468*1,0)+IFERROR(AE468*1,0)+IFERROR(AR468*1,0)+IFERROR(BE468*1,0)+IFERROR(BR468*1,0)+IFERROR(CE468*1,0)+IFERROR(CR468*1,0)+IFERROR(DE468*1,0)+IFERROR(DR468*1,0)+IFERROR(EE468*1,0)+IFERROR(ER468*1,0)+IFERROR(FE468*1,0)</f>
        <v>0</v>
      </c>
      <c r="FP468" s="27">
        <f t="shared" si="461"/>
        <v>0</v>
      </c>
      <c r="FQ468" s="27">
        <f t="shared" si="461"/>
        <v>0</v>
      </c>
      <c r="FR468" s="27">
        <f t="shared" si="461"/>
        <v>0</v>
      </c>
      <c r="FS468" s="27">
        <f t="shared" si="461"/>
        <v>0</v>
      </c>
      <c r="FT468" s="27">
        <f t="shared" si="461"/>
        <v>0</v>
      </c>
      <c r="FU468" s="27">
        <f t="shared" si="461"/>
        <v>0</v>
      </c>
      <c r="FV468" s="27">
        <f t="shared" si="461"/>
        <v>0</v>
      </c>
      <c r="FW468" s="28"/>
      <c r="FX468" s="29">
        <f t="shared" si="3"/>
        <v>0</v>
      </c>
    </row>
    <row r="469" spans="1:180" ht="18" customHeight="1" x14ac:dyDescent="0.25">
      <c r="A469" s="3" t="str">
        <f>IF(C469&lt;&gt;"","DRG-"&amp;TEXT(464,"000"),"")</f>
        <v/>
      </c>
      <c r="B469" s="33"/>
      <c r="C469" s="33"/>
      <c r="D469" s="33"/>
      <c r="E469" s="33"/>
      <c r="F469" s="33"/>
      <c r="G469" s="33"/>
      <c r="H469" s="33"/>
      <c r="I469" s="33"/>
      <c r="J469" s="33"/>
      <c r="K469" s="33"/>
      <c r="L469" s="37">
        <v>4</v>
      </c>
      <c r="M469" s="30" t="str">
        <f t="shared" si="0"/>
        <v>✘ Pending</v>
      </c>
      <c r="N469" s="30">
        <f t="shared" si="1"/>
        <v>0</v>
      </c>
      <c r="O469" s="31"/>
      <c r="P469" s="32"/>
      <c r="Q469" s="33"/>
      <c r="R469" s="33"/>
      <c r="S469" s="33"/>
      <c r="T469" s="33"/>
      <c r="U469" s="33"/>
      <c r="V469" s="33"/>
      <c r="W469" s="33"/>
      <c r="X469" s="33"/>
      <c r="Y469" s="33"/>
      <c r="Z469" s="33"/>
      <c r="AA469" s="33"/>
      <c r="AB469" s="31"/>
      <c r="AC469" s="32"/>
      <c r="AD469" s="33"/>
      <c r="AE469" s="33"/>
      <c r="AF469" s="33"/>
      <c r="AG469" s="33"/>
      <c r="AH469" s="33"/>
      <c r="AI469" s="33"/>
      <c r="AJ469" s="33"/>
      <c r="AK469" s="33"/>
      <c r="AL469" s="33"/>
      <c r="AM469" s="33"/>
      <c r="AN469" s="33"/>
      <c r="AO469" s="31"/>
      <c r="AP469" s="32"/>
      <c r="AQ469" s="33"/>
      <c r="AR469" s="33"/>
      <c r="AS469" s="33"/>
      <c r="AT469" s="33"/>
      <c r="AU469" s="33"/>
      <c r="AV469" s="33"/>
      <c r="AW469" s="33"/>
      <c r="AX469" s="33"/>
      <c r="AY469" s="33"/>
      <c r="AZ469" s="33"/>
      <c r="BA469" s="33"/>
      <c r="BB469" s="31"/>
      <c r="BC469" s="32"/>
      <c r="BD469" s="33"/>
      <c r="BE469" s="33"/>
      <c r="BF469" s="33"/>
      <c r="BG469" s="33"/>
      <c r="BH469" s="33"/>
      <c r="BI469" s="33"/>
      <c r="BJ469" s="33"/>
      <c r="BK469" s="33"/>
      <c r="BL469" s="33"/>
      <c r="BM469" s="33"/>
      <c r="BN469" s="33"/>
      <c r="BO469" s="31"/>
      <c r="BP469" s="32"/>
      <c r="BQ469" s="33"/>
      <c r="BR469" s="33"/>
      <c r="BS469" s="33"/>
      <c r="BT469" s="33"/>
      <c r="BU469" s="33"/>
      <c r="BV469" s="33"/>
      <c r="BW469" s="33"/>
      <c r="BX469" s="33"/>
      <c r="BY469" s="33"/>
      <c r="BZ469" s="33"/>
      <c r="CA469" s="33"/>
      <c r="CB469" s="31"/>
      <c r="CC469" s="32"/>
      <c r="CD469" s="33"/>
      <c r="CE469" s="33"/>
      <c r="CF469" s="33"/>
      <c r="CG469" s="33"/>
      <c r="CH469" s="33"/>
      <c r="CI469" s="33"/>
      <c r="CJ469" s="33"/>
      <c r="CK469" s="33"/>
      <c r="CL469" s="33"/>
      <c r="CM469" s="33"/>
      <c r="CN469" s="33"/>
      <c r="CO469" s="31"/>
      <c r="CP469" s="32"/>
      <c r="CQ469" s="33"/>
      <c r="CR469" s="33"/>
      <c r="CS469" s="33"/>
      <c r="CT469" s="33"/>
      <c r="CU469" s="33"/>
      <c r="CV469" s="33"/>
      <c r="CW469" s="33"/>
      <c r="CX469" s="33"/>
      <c r="CY469" s="33"/>
      <c r="CZ469" s="33"/>
      <c r="DA469" s="33"/>
      <c r="DB469" s="31"/>
      <c r="DC469" s="32"/>
      <c r="DD469" s="33"/>
      <c r="DE469" s="33"/>
      <c r="DF469" s="33"/>
      <c r="DG469" s="33"/>
      <c r="DH469" s="33"/>
      <c r="DI469" s="33"/>
      <c r="DJ469" s="33"/>
      <c r="DK469" s="33"/>
      <c r="DL469" s="33"/>
      <c r="DM469" s="33"/>
      <c r="DN469" s="33"/>
      <c r="DO469" s="31"/>
      <c r="DP469" s="32"/>
      <c r="DQ469" s="33"/>
      <c r="DR469" s="33"/>
      <c r="DS469" s="33"/>
      <c r="DT469" s="33"/>
      <c r="DU469" s="33"/>
      <c r="DV469" s="33"/>
      <c r="DW469" s="33"/>
      <c r="DX469" s="33"/>
      <c r="DY469" s="33"/>
      <c r="DZ469" s="33"/>
      <c r="EA469" s="33"/>
      <c r="EB469" s="31"/>
      <c r="EC469" s="32"/>
      <c r="ED469" s="33"/>
      <c r="EE469" s="33"/>
      <c r="EF469" s="33"/>
      <c r="EG469" s="33"/>
      <c r="EH469" s="33"/>
      <c r="EI469" s="33"/>
      <c r="EJ469" s="33"/>
      <c r="EK469" s="33"/>
      <c r="EL469" s="33"/>
      <c r="EM469" s="33"/>
      <c r="EN469" s="33"/>
      <c r="EO469" s="31"/>
      <c r="EP469" s="32"/>
      <c r="EQ469" s="33"/>
      <c r="ER469" s="33"/>
      <c r="ES469" s="33"/>
      <c r="ET469" s="33"/>
      <c r="EU469" s="33"/>
      <c r="EV469" s="33"/>
      <c r="EW469" s="33"/>
      <c r="EX469" s="33"/>
      <c r="EY469" s="33"/>
      <c r="EZ469" s="33"/>
      <c r="FA469" s="33"/>
      <c r="FB469" s="31"/>
      <c r="FC469" s="32"/>
      <c r="FD469" s="33"/>
      <c r="FE469" s="33"/>
      <c r="FF469" s="33"/>
      <c r="FG469" s="33"/>
      <c r="FH469" s="33"/>
      <c r="FI469" s="33"/>
      <c r="FJ469" s="33"/>
      <c r="FK469" s="33"/>
      <c r="FL469" s="33"/>
      <c r="FM469" s="33"/>
      <c r="FN469" s="33"/>
      <c r="FO469" s="34">
        <f t="shared" ref="FO469:FV469" si="462">IFERROR(R469*1,0)+IFERROR(AE469*1,0)+IFERROR(AR469*1,0)+IFERROR(BE469*1,0)+IFERROR(BR469*1,0)+IFERROR(CE469*1,0)+IFERROR(CR469*1,0)+IFERROR(DE469*1,0)+IFERROR(DR469*1,0)+IFERROR(EE469*1,0)+IFERROR(ER469*1,0)+IFERROR(FE469*1,0)</f>
        <v>0</v>
      </c>
      <c r="FP469" s="34">
        <f t="shared" si="462"/>
        <v>0</v>
      </c>
      <c r="FQ469" s="34">
        <f t="shared" si="462"/>
        <v>0</v>
      </c>
      <c r="FR469" s="34">
        <f t="shared" si="462"/>
        <v>0</v>
      </c>
      <c r="FS469" s="34">
        <f t="shared" si="462"/>
        <v>0</v>
      </c>
      <c r="FT469" s="34">
        <f t="shared" si="462"/>
        <v>0</v>
      </c>
      <c r="FU469" s="34">
        <f t="shared" si="462"/>
        <v>0</v>
      </c>
      <c r="FV469" s="34">
        <f t="shared" si="462"/>
        <v>0</v>
      </c>
      <c r="FW469" s="28"/>
      <c r="FX469" s="29">
        <f t="shared" si="3"/>
        <v>0</v>
      </c>
    </row>
    <row r="470" spans="1:180" ht="18" customHeight="1" x14ac:dyDescent="0.25">
      <c r="A470" s="3" t="str">
        <f>IF(C470&lt;&gt;"","DRG-"&amp;TEXT(465,"000"),"")</f>
        <v/>
      </c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38">
        <v>4</v>
      </c>
      <c r="M470" s="23" t="str">
        <f t="shared" si="0"/>
        <v>✘ Pending</v>
      </c>
      <c r="N470" s="23">
        <f t="shared" si="1"/>
        <v>0</v>
      </c>
      <c r="O470" s="25"/>
      <c r="P470" s="26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  <c r="AB470" s="25"/>
      <c r="AC470" s="26"/>
      <c r="AD470" s="24"/>
      <c r="AE470" s="24"/>
      <c r="AF470" s="24"/>
      <c r="AG470" s="24"/>
      <c r="AH470" s="24"/>
      <c r="AI470" s="24"/>
      <c r="AJ470" s="24"/>
      <c r="AK470" s="24"/>
      <c r="AL470" s="24"/>
      <c r="AM470" s="24"/>
      <c r="AN470" s="24"/>
      <c r="AO470" s="25"/>
      <c r="AP470" s="26"/>
      <c r="AQ470" s="24"/>
      <c r="AR470" s="24"/>
      <c r="AS470" s="24"/>
      <c r="AT470" s="24"/>
      <c r="AU470" s="24"/>
      <c r="AV470" s="24"/>
      <c r="AW470" s="24"/>
      <c r="AX470" s="24"/>
      <c r="AY470" s="24"/>
      <c r="AZ470" s="24"/>
      <c r="BA470" s="24"/>
      <c r="BB470" s="25"/>
      <c r="BC470" s="26"/>
      <c r="BD470" s="24"/>
      <c r="BE470" s="24"/>
      <c r="BF470" s="24"/>
      <c r="BG470" s="24"/>
      <c r="BH470" s="24"/>
      <c r="BI470" s="24"/>
      <c r="BJ470" s="24"/>
      <c r="BK470" s="24"/>
      <c r="BL470" s="24"/>
      <c r="BM470" s="24"/>
      <c r="BN470" s="24"/>
      <c r="BO470" s="25"/>
      <c r="BP470" s="26"/>
      <c r="BQ470" s="24"/>
      <c r="BR470" s="24"/>
      <c r="BS470" s="24"/>
      <c r="BT470" s="24"/>
      <c r="BU470" s="24"/>
      <c r="BV470" s="24"/>
      <c r="BW470" s="24"/>
      <c r="BX470" s="24"/>
      <c r="BY470" s="24"/>
      <c r="BZ470" s="24"/>
      <c r="CA470" s="24"/>
      <c r="CB470" s="25"/>
      <c r="CC470" s="26"/>
      <c r="CD470" s="24"/>
      <c r="CE470" s="24"/>
      <c r="CF470" s="24"/>
      <c r="CG470" s="24"/>
      <c r="CH470" s="24"/>
      <c r="CI470" s="24"/>
      <c r="CJ470" s="24"/>
      <c r="CK470" s="24"/>
      <c r="CL470" s="24"/>
      <c r="CM470" s="24"/>
      <c r="CN470" s="24"/>
      <c r="CO470" s="25"/>
      <c r="CP470" s="26"/>
      <c r="CQ470" s="24"/>
      <c r="CR470" s="24"/>
      <c r="CS470" s="24"/>
      <c r="CT470" s="24"/>
      <c r="CU470" s="24"/>
      <c r="CV470" s="24"/>
      <c r="CW470" s="24"/>
      <c r="CX470" s="24"/>
      <c r="CY470" s="24"/>
      <c r="CZ470" s="24"/>
      <c r="DA470" s="24"/>
      <c r="DB470" s="25"/>
      <c r="DC470" s="26"/>
      <c r="DD470" s="24"/>
      <c r="DE470" s="24"/>
      <c r="DF470" s="24"/>
      <c r="DG470" s="24"/>
      <c r="DH470" s="24"/>
      <c r="DI470" s="24"/>
      <c r="DJ470" s="24"/>
      <c r="DK470" s="24"/>
      <c r="DL470" s="24"/>
      <c r="DM470" s="24"/>
      <c r="DN470" s="24"/>
      <c r="DO470" s="25"/>
      <c r="DP470" s="26"/>
      <c r="DQ470" s="24"/>
      <c r="DR470" s="24"/>
      <c r="DS470" s="24"/>
      <c r="DT470" s="24"/>
      <c r="DU470" s="24"/>
      <c r="DV470" s="24"/>
      <c r="DW470" s="24"/>
      <c r="DX470" s="24"/>
      <c r="DY470" s="24"/>
      <c r="DZ470" s="24"/>
      <c r="EA470" s="24"/>
      <c r="EB470" s="25"/>
      <c r="EC470" s="26"/>
      <c r="ED470" s="24"/>
      <c r="EE470" s="24"/>
      <c r="EF470" s="24"/>
      <c r="EG470" s="24"/>
      <c r="EH470" s="24"/>
      <c r="EI470" s="24"/>
      <c r="EJ470" s="24"/>
      <c r="EK470" s="24"/>
      <c r="EL470" s="24"/>
      <c r="EM470" s="24"/>
      <c r="EN470" s="24"/>
      <c r="EO470" s="25"/>
      <c r="EP470" s="26"/>
      <c r="EQ470" s="24"/>
      <c r="ER470" s="24"/>
      <c r="ES470" s="24"/>
      <c r="ET470" s="24"/>
      <c r="EU470" s="24"/>
      <c r="EV470" s="24"/>
      <c r="EW470" s="24"/>
      <c r="EX470" s="24"/>
      <c r="EY470" s="24"/>
      <c r="EZ470" s="24"/>
      <c r="FA470" s="24"/>
      <c r="FB470" s="25"/>
      <c r="FC470" s="26"/>
      <c r="FD470" s="24"/>
      <c r="FE470" s="24"/>
      <c r="FF470" s="24"/>
      <c r="FG470" s="24"/>
      <c r="FH470" s="24"/>
      <c r="FI470" s="24"/>
      <c r="FJ470" s="24"/>
      <c r="FK470" s="24"/>
      <c r="FL470" s="24"/>
      <c r="FM470" s="24"/>
      <c r="FN470" s="24"/>
      <c r="FO470" s="27">
        <f t="shared" ref="FO470:FV470" si="463">IFERROR(R470*1,0)+IFERROR(AE470*1,0)+IFERROR(AR470*1,0)+IFERROR(BE470*1,0)+IFERROR(BR470*1,0)+IFERROR(CE470*1,0)+IFERROR(CR470*1,0)+IFERROR(DE470*1,0)+IFERROR(DR470*1,0)+IFERROR(EE470*1,0)+IFERROR(ER470*1,0)+IFERROR(FE470*1,0)</f>
        <v>0</v>
      </c>
      <c r="FP470" s="27">
        <f t="shared" si="463"/>
        <v>0</v>
      </c>
      <c r="FQ470" s="27">
        <f t="shared" si="463"/>
        <v>0</v>
      </c>
      <c r="FR470" s="27">
        <f t="shared" si="463"/>
        <v>0</v>
      </c>
      <c r="FS470" s="27">
        <f t="shared" si="463"/>
        <v>0</v>
      </c>
      <c r="FT470" s="27">
        <f t="shared" si="463"/>
        <v>0</v>
      </c>
      <c r="FU470" s="27">
        <f t="shared" si="463"/>
        <v>0</v>
      </c>
      <c r="FV470" s="27">
        <f t="shared" si="463"/>
        <v>0</v>
      </c>
      <c r="FW470" s="28"/>
      <c r="FX470" s="29">
        <f t="shared" si="3"/>
        <v>0</v>
      </c>
    </row>
    <row r="471" spans="1:180" ht="18" customHeight="1" x14ac:dyDescent="0.25">
      <c r="A471" s="3" t="str">
        <f>IF(C471&lt;&gt;"","DRG-"&amp;TEXT(466,"000"),"")</f>
        <v/>
      </c>
      <c r="B471" s="33"/>
      <c r="C471" s="33"/>
      <c r="D471" s="33"/>
      <c r="E471" s="33"/>
      <c r="F471" s="33"/>
      <c r="G471" s="33"/>
      <c r="H471" s="33"/>
      <c r="I471" s="33"/>
      <c r="J471" s="33"/>
      <c r="K471" s="33"/>
      <c r="L471" s="37">
        <v>4</v>
      </c>
      <c r="M471" s="30" t="str">
        <f t="shared" si="0"/>
        <v>✘ Pending</v>
      </c>
      <c r="N471" s="30">
        <f t="shared" si="1"/>
        <v>0</v>
      </c>
      <c r="O471" s="31"/>
      <c r="P471" s="32"/>
      <c r="Q471" s="33"/>
      <c r="R471" s="33"/>
      <c r="S471" s="33"/>
      <c r="T471" s="33"/>
      <c r="U471" s="33"/>
      <c r="V471" s="33"/>
      <c r="W471" s="33"/>
      <c r="X471" s="33"/>
      <c r="Y471" s="33"/>
      <c r="Z471" s="33"/>
      <c r="AA471" s="33"/>
      <c r="AB471" s="31"/>
      <c r="AC471" s="32"/>
      <c r="AD471" s="33"/>
      <c r="AE471" s="33"/>
      <c r="AF471" s="33"/>
      <c r="AG471" s="33"/>
      <c r="AH471" s="33"/>
      <c r="AI471" s="33"/>
      <c r="AJ471" s="33"/>
      <c r="AK471" s="33"/>
      <c r="AL471" s="33"/>
      <c r="AM471" s="33"/>
      <c r="AN471" s="33"/>
      <c r="AO471" s="31"/>
      <c r="AP471" s="32"/>
      <c r="AQ471" s="33"/>
      <c r="AR471" s="33"/>
      <c r="AS471" s="33"/>
      <c r="AT471" s="33"/>
      <c r="AU471" s="33"/>
      <c r="AV471" s="33"/>
      <c r="AW471" s="33"/>
      <c r="AX471" s="33"/>
      <c r="AY471" s="33"/>
      <c r="AZ471" s="33"/>
      <c r="BA471" s="33"/>
      <c r="BB471" s="31"/>
      <c r="BC471" s="32"/>
      <c r="BD471" s="33"/>
      <c r="BE471" s="33"/>
      <c r="BF471" s="33"/>
      <c r="BG471" s="33"/>
      <c r="BH471" s="33"/>
      <c r="BI471" s="33"/>
      <c r="BJ471" s="33"/>
      <c r="BK471" s="33"/>
      <c r="BL471" s="33"/>
      <c r="BM471" s="33"/>
      <c r="BN471" s="33"/>
      <c r="BO471" s="31"/>
      <c r="BP471" s="32"/>
      <c r="BQ471" s="33"/>
      <c r="BR471" s="33"/>
      <c r="BS471" s="33"/>
      <c r="BT471" s="33"/>
      <c r="BU471" s="33"/>
      <c r="BV471" s="33"/>
      <c r="BW471" s="33"/>
      <c r="BX471" s="33"/>
      <c r="BY471" s="33"/>
      <c r="BZ471" s="33"/>
      <c r="CA471" s="33"/>
      <c r="CB471" s="31"/>
      <c r="CC471" s="32"/>
      <c r="CD471" s="33"/>
      <c r="CE471" s="33"/>
      <c r="CF471" s="33"/>
      <c r="CG471" s="33"/>
      <c r="CH471" s="33"/>
      <c r="CI471" s="33"/>
      <c r="CJ471" s="33"/>
      <c r="CK471" s="33"/>
      <c r="CL471" s="33"/>
      <c r="CM471" s="33"/>
      <c r="CN471" s="33"/>
      <c r="CO471" s="31"/>
      <c r="CP471" s="32"/>
      <c r="CQ471" s="33"/>
      <c r="CR471" s="33"/>
      <c r="CS471" s="33"/>
      <c r="CT471" s="33"/>
      <c r="CU471" s="33"/>
      <c r="CV471" s="33"/>
      <c r="CW471" s="33"/>
      <c r="CX471" s="33"/>
      <c r="CY471" s="33"/>
      <c r="CZ471" s="33"/>
      <c r="DA471" s="33"/>
      <c r="DB471" s="31"/>
      <c r="DC471" s="32"/>
      <c r="DD471" s="33"/>
      <c r="DE471" s="33"/>
      <c r="DF471" s="33"/>
      <c r="DG471" s="33"/>
      <c r="DH471" s="33"/>
      <c r="DI471" s="33"/>
      <c r="DJ471" s="33"/>
      <c r="DK471" s="33"/>
      <c r="DL471" s="33"/>
      <c r="DM471" s="33"/>
      <c r="DN471" s="33"/>
      <c r="DO471" s="31"/>
      <c r="DP471" s="32"/>
      <c r="DQ471" s="33"/>
      <c r="DR471" s="33"/>
      <c r="DS471" s="33"/>
      <c r="DT471" s="33"/>
      <c r="DU471" s="33"/>
      <c r="DV471" s="33"/>
      <c r="DW471" s="33"/>
      <c r="DX471" s="33"/>
      <c r="DY471" s="33"/>
      <c r="DZ471" s="33"/>
      <c r="EA471" s="33"/>
      <c r="EB471" s="31"/>
      <c r="EC471" s="32"/>
      <c r="ED471" s="33"/>
      <c r="EE471" s="33"/>
      <c r="EF471" s="33"/>
      <c r="EG471" s="33"/>
      <c r="EH471" s="33"/>
      <c r="EI471" s="33"/>
      <c r="EJ471" s="33"/>
      <c r="EK471" s="33"/>
      <c r="EL471" s="33"/>
      <c r="EM471" s="33"/>
      <c r="EN471" s="33"/>
      <c r="EO471" s="31"/>
      <c r="EP471" s="32"/>
      <c r="EQ471" s="33"/>
      <c r="ER471" s="33"/>
      <c r="ES471" s="33"/>
      <c r="ET471" s="33"/>
      <c r="EU471" s="33"/>
      <c r="EV471" s="33"/>
      <c r="EW471" s="33"/>
      <c r="EX471" s="33"/>
      <c r="EY471" s="33"/>
      <c r="EZ471" s="33"/>
      <c r="FA471" s="33"/>
      <c r="FB471" s="31"/>
      <c r="FC471" s="32"/>
      <c r="FD471" s="33"/>
      <c r="FE471" s="33"/>
      <c r="FF471" s="33"/>
      <c r="FG471" s="33"/>
      <c r="FH471" s="33"/>
      <c r="FI471" s="33"/>
      <c r="FJ471" s="33"/>
      <c r="FK471" s="33"/>
      <c r="FL471" s="33"/>
      <c r="FM471" s="33"/>
      <c r="FN471" s="33"/>
      <c r="FO471" s="34">
        <f t="shared" ref="FO471:FV471" si="464">IFERROR(R471*1,0)+IFERROR(AE471*1,0)+IFERROR(AR471*1,0)+IFERROR(BE471*1,0)+IFERROR(BR471*1,0)+IFERROR(CE471*1,0)+IFERROR(CR471*1,0)+IFERROR(DE471*1,0)+IFERROR(DR471*1,0)+IFERROR(EE471*1,0)+IFERROR(ER471*1,0)+IFERROR(FE471*1,0)</f>
        <v>0</v>
      </c>
      <c r="FP471" s="34">
        <f t="shared" si="464"/>
        <v>0</v>
      </c>
      <c r="FQ471" s="34">
        <f t="shared" si="464"/>
        <v>0</v>
      </c>
      <c r="FR471" s="34">
        <f t="shared" si="464"/>
        <v>0</v>
      </c>
      <c r="FS471" s="34">
        <f t="shared" si="464"/>
        <v>0</v>
      </c>
      <c r="FT471" s="34">
        <f t="shared" si="464"/>
        <v>0</v>
      </c>
      <c r="FU471" s="34">
        <f t="shared" si="464"/>
        <v>0</v>
      </c>
      <c r="FV471" s="34">
        <f t="shared" si="464"/>
        <v>0</v>
      </c>
      <c r="FW471" s="28"/>
      <c r="FX471" s="29">
        <f t="shared" si="3"/>
        <v>0</v>
      </c>
    </row>
    <row r="472" spans="1:180" ht="18" customHeight="1" x14ac:dyDescent="0.25">
      <c r="A472" s="3" t="str">
        <f>IF(C472&lt;&gt;"","DRG-"&amp;TEXT(467,"000"),"")</f>
        <v/>
      </c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38">
        <v>4</v>
      </c>
      <c r="M472" s="23" t="str">
        <f t="shared" si="0"/>
        <v>✘ Pending</v>
      </c>
      <c r="N472" s="23">
        <f t="shared" si="1"/>
        <v>0</v>
      </c>
      <c r="O472" s="25"/>
      <c r="P472" s="26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  <c r="AB472" s="25"/>
      <c r="AC472" s="26"/>
      <c r="AD472" s="24"/>
      <c r="AE472" s="24"/>
      <c r="AF472" s="24"/>
      <c r="AG472" s="24"/>
      <c r="AH472" s="24"/>
      <c r="AI472" s="24"/>
      <c r="AJ472" s="24"/>
      <c r="AK472" s="24"/>
      <c r="AL472" s="24"/>
      <c r="AM472" s="24"/>
      <c r="AN472" s="24"/>
      <c r="AO472" s="25"/>
      <c r="AP472" s="26"/>
      <c r="AQ472" s="24"/>
      <c r="AR472" s="24"/>
      <c r="AS472" s="24"/>
      <c r="AT472" s="24"/>
      <c r="AU472" s="24"/>
      <c r="AV472" s="24"/>
      <c r="AW472" s="24"/>
      <c r="AX472" s="24"/>
      <c r="AY472" s="24"/>
      <c r="AZ472" s="24"/>
      <c r="BA472" s="24"/>
      <c r="BB472" s="25"/>
      <c r="BC472" s="26"/>
      <c r="BD472" s="24"/>
      <c r="BE472" s="24"/>
      <c r="BF472" s="24"/>
      <c r="BG472" s="24"/>
      <c r="BH472" s="24"/>
      <c r="BI472" s="24"/>
      <c r="BJ472" s="24"/>
      <c r="BK472" s="24"/>
      <c r="BL472" s="24"/>
      <c r="BM472" s="24"/>
      <c r="BN472" s="24"/>
      <c r="BO472" s="25"/>
      <c r="BP472" s="26"/>
      <c r="BQ472" s="24"/>
      <c r="BR472" s="24"/>
      <c r="BS472" s="24"/>
      <c r="BT472" s="24"/>
      <c r="BU472" s="24"/>
      <c r="BV472" s="24"/>
      <c r="BW472" s="24"/>
      <c r="BX472" s="24"/>
      <c r="BY472" s="24"/>
      <c r="BZ472" s="24"/>
      <c r="CA472" s="24"/>
      <c r="CB472" s="25"/>
      <c r="CC472" s="26"/>
      <c r="CD472" s="24"/>
      <c r="CE472" s="24"/>
      <c r="CF472" s="24"/>
      <c r="CG472" s="24"/>
      <c r="CH472" s="24"/>
      <c r="CI472" s="24"/>
      <c r="CJ472" s="24"/>
      <c r="CK472" s="24"/>
      <c r="CL472" s="24"/>
      <c r="CM472" s="24"/>
      <c r="CN472" s="24"/>
      <c r="CO472" s="25"/>
      <c r="CP472" s="26"/>
      <c r="CQ472" s="24"/>
      <c r="CR472" s="24"/>
      <c r="CS472" s="24"/>
      <c r="CT472" s="24"/>
      <c r="CU472" s="24"/>
      <c r="CV472" s="24"/>
      <c r="CW472" s="24"/>
      <c r="CX472" s="24"/>
      <c r="CY472" s="24"/>
      <c r="CZ472" s="24"/>
      <c r="DA472" s="24"/>
      <c r="DB472" s="25"/>
      <c r="DC472" s="26"/>
      <c r="DD472" s="24"/>
      <c r="DE472" s="24"/>
      <c r="DF472" s="24"/>
      <c r="DG472" s="24"/>
      <c r="DH472" s="24"/>
      <c r="DI472" s="24"/>
      <c r="DJ472" s="24"/>
      <c r="DK472" s="24"/>
      <c r="DL472" s="24"/>
      <c r="DM472" s="24"/>
      <c r="DN472" s="24"/>
      <c r="DO472" s="25"/>
      <c r="DP472" s="26"/>
      <c r="DQ472" s="24"/>
      <c r="DR472" s="24"/>
      <c r="DS472" s="24"/>
      <c r="DT472" s="24"/>
      <c r="DU472" s="24"/>
      <c r="DV472" s="24"/>
      <c r="DW472" s="24"/>
      <c r="DX472" s="24"/>
      <c r="DY472" s="24"/>
      <c r="DZ472" s="24"/>
      <c r="EA472" s="24"/>
      <c r="EB472" s="25"/>
      <c r="EC472" s="26"/>
      <c r="ED472" s="24"/>
      <c r="EE472" s="24"/>
      <c r="EF472" s="24"/>
      <c r="EG472" s="24"/>
      <c r="EH472" s="24"/>
      <c r="EI472" s="24"/>
      <c r="EJ472" s="24"/>
      <c r="EK472" s="24"/>
      <c r="EL472" s="24"/>
      <c r="EM472" s="24"/>
      <c r="EN472" s="24"/>
      <c r="EO472" s="25"/>
      <c r="EP472" s="26"/>
      <c r="EQ472" s="24"/>
      <c r="ER472" s="24"/>
      <c r="ES472" s="24"/>
      <c r="ET472" s="24"/>
      <c r="EU472" s="24"/>
      <c r="EV472" s="24"/>
      <c r="EW472" s="24"/>
      <c r="EX472" s="24"/>
      <c r="EY472" s="24"/>
      <c r="EZ472" s="24"/>
      <c r="FA472" s="24"/>
      <c r="FB472" s="25"/>
      <c r="FC472" s="26"/>
      <c r="FD472" s="24"/>
      <c r="FE472" s="24"/>
      <c r="FF472" s="24"/>
      <c r="FG472" s="24"/>
      <c r="FH472" s="24"/>
      <c r="FI472" s="24"/>
      <c r="FJ472" s="24"/>
      <c r="FK472" s="24"/>
      <c r="FL472" s="24"/>
      <c r="FM472" s="24"/>
      <c r="FN472" s="24"/>
      <c r="FO472" s="27">
        <f t="shared" ref="FO472:FV472" si="465">IFERROR(R472*1,0)+IFERROR(AE472*1,0)+IFERROR(AR472*1,0)+IFERROR(BE472*1,0)+IFERROR(BR472*1,0)+IFERROR(CE472*1,0)+IFERROR(CR472*1,0)+IFERROR(DE472*1,0)+IFERROR(DR472*1,0)+IFERROR(EE472*1,0)+IFERROR(ER472*1,0)+IFERROR(FE472*1,0)</f>
        <v>0</v>
      </c>
      <c r="FP472" s="27">
        <f t="shared" si="465"/>
        <v>0</v>
      </c>
      <c r="FQ472" s="27">
        <f t="shared" si="465"/>
        <v>0</v>
      </c>
      <c r="FR472" s="27">
        <f t="shared" si="465"/>
        <v>0</v>
      </c>
      <c r="FS472" s="27">
        <f t="shared" si="465"/>
        <v>0</v>
      </c>
      <c r="FT472" s="27">
        <f t="shared" si="465"/>
        <v>0</v>
      </c>
      <c r="FU472" s="27">
        <f t="shared" si="465"/>
        <v>0</v>
      </c>
      <c r="FV472" s="27">
        <f t="shared" si="465"/>
        <v>0</v>
      </c>
      <c r="FW472" s="28"/>
      <c r="FX472" s="29">
        <f t="shared" si="3"/>
        <v>0</v>
      </c>
    </row>
    <row r="473" spans="1:180" ht="18" customHeight="1" x14ac:dyDescent="0.25">
      <c r="A473" s="3" t="str">
        <f>IF(C473&lt;&gt;"","DRG-"&amp;TEXT(468,"000"),"")</f>
        <v/>
      </c>
      <c r="B473" s="33"/>
      <c r="C473" s="33"/>
      <c r="D473" s="33"/>
      <c r="E473" s="33"/>
      <c r="F473" s="33"/>
      <c r="G473" s="33"/>
      <c r="H473" s="33"/>
      <c r="I473" s="33"/>
      <c r="J473" s="33"/>
      <c r="K473" s="33"/>
      <c r="L473" s="37">
        <v>4</v>
      </c>
      <c r="M473" s="30" t="str">
        <f t="shared" si="0"/>
        <v>✘ Pending</v>
      </c>
      <c r="N473" s="30">
        <f t="shared" si="1"/>
        <v>0</v>
      </c>
      <c r="O473" s="31"/>
      <c r="P473" s="32"/>
      <c r="Q473" s="33"/>
      <c r="R473" s="33"/>
      <c r="S473" s="33"/>
      <c r="T473" s="33"/>
      <c r="U473" s="33"/>
      <c r="V473" s="33"/>
      <c r="W473" s="33"/>
      <c r="X473" s="33"/>
      <c r="Y473" s="33"/>
      <c r="Z473" s="33"/>
      <c r="AA473" s="33"/>
      <c r="AB473" s="31"/>
      <c r="AC473" s="32"/>
      <c r="AD473" s="33"/>
      <c r="AE473" s="33"/>
      <c r="AF473" s="33"/>
      <c r="AG473" s="33"/>
      <c r="AH473" s="33"/>
      <c r="AI473" s="33"/>
      <c r="AJ473" s="33"/>
      <c r="AK473" s="33"/>
      <c r="AL473" s="33"/>
      <c r="AM473" s="33"/>
      <c r="AN473" s="33"/>
      <c r="AO473" s="31"/>
      <c r="AP473" s="32"/>
      <c r="AQ473" s="33"/>
      <c r="AR473" s="33"/>
      <c r="AS473" s="33"/>
      <c r="AT473" s="33"/>
      <c r="AU473" s="33"/>
      <c r="AV473" s="33"/>
      <c r="AW473" s="33"/>
      <c r="AX473" s="33"/>
      <c r="AY473" s="33"/>
      <c r="AZ473" s="33"/>
      <c r="BA473" s="33"/>
      <c r="BB473" s="31"/>
      <c r="BC473" s="32"/>
      <c r="BD473" s="33"/>
      <c r="BE473" s="33"/>
      <c r="BF473" s="33"/>
      <c r="BG473" s="33"/>
      <c r="BH473" s="33"/>
      <c r="BI473" s="33"/>
      <c r="BJ473" s="33"/>
      <c r="BK473" s="33"/>
      <c r="BL473" s="33"/>
      <c r="BM473" s="33"/>
      <c r="BN473" s="33"/>
      <c r="BO473" s="31"/>
      <c r="BP473" s="32"/>
      <c r="BQ473" s="33"/>
      <c r="BR473" s="33"/>
      <c r="BS473" s="33"/>
      <c r="BT473" s="33"/>
      <c r="BU473" s="33"/>
      <c r="BV473" s="33"/>
      <c r="BW473" s="33"/>
      <c r="BX473" s="33"/>
      <c r="BY473" s="33"/>
      <c r="BZ473" s="33"/>
      <c r="CA473" s="33"/>
      <c r="CB473" s="31"/>
      <c r="CC473" s="32"/>
      <c r="CD473" s="33"/>
      <c r="CE473" s="33"/>
      <c r="CF473" s="33"/>
      <c r="CG473" s="33"/>
      <c r="CH473" s="33"/>
      <c r="CI473" s="33"/>
      <c r="CJ473" s="33"/>
      <c r="CK473" s="33"/>
      <c r="CL473" s="33"/>
      <c r="CM473" s="33"/>
      <c r="CN473" s="33"/>
      <c r="CO473" s="31"/>
      <c r="CP473" s="32"/>
      <c r="CQ473" s="33"/>
      <c r="CR473" s="33"/>
      <c r="CS473" s="33"/>
      <c r="CT473" s="33"/>
      <c r="CU473" s="33"/>
      <c r="CV473" s="33"/>
      <c r="CW473" s="33"/>
      <c r="CX473" s="33"/>
      <c r="CY473" s="33"/>
      <c r="CZ473" s="33"/>
      <c r="DA473" s="33"/>
      <c r="DB473" s="31"/>
      <c r="DC473" s="32"/>
      <c r="DD473" s="33"/>
      <c r="DE473" s="33"/>
      <c r="DF473" s="33"/>
      <c r="DG473" s="33"/>
      <c r="DH473" s="33"/>
      <c r="DI473" s="33"/>
      <c r="DJ473" s="33"/>
      <c r="DK473" s="33"/>
      <c r="DL473" s="33"/>
      <c r="DM473" s="33"/>
      <c r="DN473" s="33"/>
      <c r="DO473" s="31"/>
      <c r="DP473" s="32"/>
      <c r="DQ473" s="33"/>
      <c r="DR473" s="33"/>
      <c r="DS473" s="33"/>
      <c r="DT473" s="33"/>
      <c r="DU473" s="33"/>
      <c r="DV473" s="33"/>
      <c r="DW473" s="33"/>
      <c r="DX473" s="33"/>
      <c r="DY473" s="33"/>
      <c r="DZ473" s="33"/>
      <c r="EA473" s="33"/>
      <c r="EB473" s="31"/>
      <c r="EC473" s="32"/>
      <c r="ED473" s="33"/>
      <c r="EE473" s="33"/>
      <c r="EF473" s="33"/>
      <c r="EG473" s="33"/>
      <c r="EH473" s="33"/>
      <c r="EI473" s="33"/>
      <c r="EJ473" s="33"/>
      <c r="EK473" s="33"/>
      <c r="EL473" s="33"/>
      <c r="EM473" s="33"/>
      <c r="EN473" s="33"/>
      <c r="EO473" s="31"/>
      <c r="EP473" s="32"/>
      <c r="EQ473" s="33"/>
      <c r="ER473" s="33"/>
      <c r="ES473" s="33"/>
      <c r="ET473" s="33"/>
      <c r="EU473" s="33"/>
      <c r="EV473" s="33"/>
      <c r="EW473" s="33"/>
      <c r="EX473" s="33"/>
      <c r="EY473" s="33"/>
      <c r="EZ473" s="33"/>
      <c r="FA473" s="33"/>
      <c r="FB473" s="31"/>
      <c r="FC473" s="32"/>
      <c r="FD473" s="33"/>
      <c r="FE473" s="33"/>
      <c r="FF473" s="33"/>
      <c r="FG473" s="33"/>
      <c r="FH473" s="33"/>
      <c r="FI473" s="33"/>
      <c r="FJ473" s="33"/>
      <c r="FK473" s="33"/>
      <c r="FL473" s="33"/>
      <c r="FM473" s="33"/>
      <c r="FN473" s="33"/>
      <c r="FO473" s="34">
        <f t="shared" ref="FO473:FV473" si="466">IFERROR(R473*1,0)+IFERROR(AE473*1,0)+IFERROR(AR473*1,0)+IFERROR(BE473*1,0)+IFERROR(BR473*1,0)+IFERROR(CE473*1,0)+IFERROR(CR473*1,0)+IFERROR(DE473*1,0)+IFERROR(DR473*1,0)+IFERROR(EE473*1,0)+IFERROR(ER473*1,0)+IFERROR(FE473*1,0)</f>
        <v>0</v>
      </c>
      <c r="FP473" s="34">
        <f t="shared" si="466"/>
        <v>0</v>
      </c>
      <c r="FQ473" s="34">
        <f t="shared" si="466"/>
        <v>0</v>
      </c>
      <c r="FR473" s="34">
        <f t="shared" si="466"/>
        <v>0</v>
      </c>
      <c r="FS473" s="34">
        <f t="shared" si="466"/>
        <v>0</v>
      </c>
      <c r="FT473" s="34">
        <f t="shared" si="466"/>
        <v>0</v>
      </c>
      <c r="FU473" s="34">
        <f t="shared" si="466"/>
        <v>0</v>
      </c>
      <c r="FV473" s="34">
        <f t="shared" si="466"/>
        <v>0</v>
      </c>
      <c r="FW473" s="28"/>
      <c r="FX473" s="29">
        <f t="shared" si="3"/>
        <v>0</v>
      </c>
    </row>
    <row r="474" spans="1:180" ht="18" customHeight="1" x14ac:dyDescent="0.25">
      <c r="A474" s="3" t="str">
        <f>IF(C474&lt;&gt;"","DRG-"&amp;TEXT(469,"000"),"")</f>
        <v/>
      </c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38">
        <v>4</v>
      </c>
      <c r="M474" s="23" t="str">
        <f t="shared" si="0"/>
        <v>✘ Pending</v>
      </c>
      <c r="N474" s="23">
        <f t="shared" si="1"/>
        <v>0</v>
      </c>
      <c r="O474" s="25"/>
      <c r="P474" s="26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  <c r="AB474" s="25"/>
      <c r="AC474" s="26"/>
      <c r="AD474" s="24"/>
      <c r="AE474" s="24"/>
      <c r="AF474" s="24"/>
      <c r="AG474" s="24"/>
      <c r="AH474" s="24"/>
      <c r="AI474" s="24"/>
      <c r="AJ474" s="24"/>
      <c r="AK474" s="24"/>
      <c r="AL474" s="24"/>
      <c r="AM474" s="24"/>
      <c r="AN474" s="24"/>
      <c r="AO474" s="25"/>
      <c r="AP474" s="26"/>
      <c r="AQ474" s="24"/>
      <c r="AR474" s="24"/>
      <c r="AS474" s="24"/>
      <c r="AT474" s="24"/>
      <c r="AU474" s="24"/>
      <c r="AV474" s="24"/>
      <c r="AW474" s="24"/>
      <c r="AX474" s="24"/>
      <c r="AY474" s="24"/>
      <c r="AZ474" s="24"/>
      <c r="BA474" s="24"/>
      <c r="BB474" s="25"/>
      <c r="BC474" s="26"/>
      <c r="BD474" s="24"/>
      <c r="BE474" s="24"/>
      <c r="BF474" s="24"/>
      <c r="BG474" s="24"/>
      <c r="BH474" s="24"/>
      <c r="BI474" s="24"/>
      <c r="BJ474" s="24"/>
      <c r="BK474" s="24"/>
      <c r="BL474" s="24"/>
      <c r="BM474" s="24"/>
      <c r="BN474" s="24"/>
      <c r="BO474" s="25"/>
      <c r="BP474" s="26"/>
      <c r="BQ474" s="24"/>
      <c r="BR474" s="24"/>
      <c r="BS474" s="24"/>
      <c r="BT474" s="24"/>
      <c r="BU474" s="24"/>
      <c r="BV474" s="24"/>
      <c r="BW474" s="24"/>
      <c r="BX474" s="24"/>
      <c r="BY474" s="24"/>
      <c r="BZ474" s="24"/>
      <c r="CA474" s="24"/>
      <c r="CB474" s="25"/>
      <c r="CC474" s="26"/>
      <c r="CD474" s="24"/>
      <c r="CE474" s="24"/>
      <c r="CF474" s="24"/>
      <c r="CG474" s="24"/>
      <c r="CH474" s="24"/>
      <c r="CI474" s="24"/>
      <c r="CJ474" s="24"/>
      <c r="CK474" s="24"/>
      <c r="CL474" s="24"/>
      <c r="CM474" s="24"/>
      <c r="CN474" s="24"/>
      <c r="CO474" s="25"/>
      <c r="CP474" s="26"/>
      <c r="CQ474" s="24"/>
      <c r="CR474" s="24"/>
      <c r="CS474" s="24"/>
      <c r="CT474" s="24"/>
      <c r="CU474" s="24"/>
      <c r="CV474" s="24"/>
      <c r="CW474" s="24"/>
      <c r="CX474" s="24"/>
      <c r="CY474" s="24"/>
      <c r="CZ474" s="24"/>
      <c r="DA474" s="24"/>
      <c r="DB474" s="25"/>
      <c r="DC474" s="26"/>
      <c r="DD474" s="24"/>
      <c r="DE474" s="24"/>
      <c r="DF474" s="24"/>
      <c r="DG474" s="24"/>
      <c r="DH474" s="24"/>
      <c r="DI474" s="24"/>
      <c r="DJ474" s="24"/>
      <c r="DK474" s="24"/>
      <c r="DL474" s="24"/>
      <c r="DM474" s="24"/>
      <c r="DN474" s="24"/>
      <c r="DO474" s="25"/>
      <c r="DP474" s="26"/>
      <c r="DQ474" s="24"/>
      <c r="DR474" s="24"/>
      <c r="DS474" s="24"/>
      <c r="DT474" s="24"/>
      <c r="DU474" s="24"/>
      <c r="DV474" s="24"/>
      <c r="DW474" s="24"/>
      <c r="DX474" s="24"/>
      <c r="DY474" s="24"/>
      <c r="DZ474" s="24"/>
      <c r="EA474" s="24"/>
      <c r="EB474" s="25"/>
      <c r="EC474" s="26"/>
      <c r="ED474" s="24"/>
      <c r="EE474" s="24"/>
      <c r="EF474" s="24"/>
      <c r="EG474" s="24"/>
      <c r="EH474" s="24"/>
      <c r="EI474" s="24"/>
      <c r="EJ474" s="24"/>
      <c r="EK474" s="24"/>
      <c r="EL474" s="24"/>
      <c r="EM474" s="24"/>
      <c r="EN474" s="24"/>
      <c r="EO474" s="25"/>
      <c r="EP474" s="26"/>
      <c r="EQ474" s="24"/>
      <c r="ER474" s="24"/>
      <c r="ES474" s="24"/>
      <c r="ET474" s="24"/>
      <c r="EU474" s="24"/>
      <c r="EV474" s="24"/>
      <c r="EW474" s="24"/>
      <c r="EX474" s="24"/>
      <c r="EY474" s="24"/>
      <c r="EZ474" s="24"/>
      <c r="FA474" s="24"/>
      <c r="FB474" s="25"/>
      <c r="FC474" s="26"/>
      <c r="FD474" s="24"/>
      <c r="FE474" s="24"/>
      <c r="FF474" s="24"/>
      <c r="FG474" s="24"/>
      <c r="FH474" s="24"/>
      <c r="FI474" s="24"/>
      <c r="FJ474" s="24"/>
      <c r="FK474" s="24"/>
      <c r="FL474" s="24"/>
      <c r="FM474" s="24"/>
      <c r="FN474" s="24"/>
      <c r="FO474" s="27">
        <f t="shared" ref="FO474:FV474" si="467">IFERROR(R474*1,0)+IFERROR(AE474*1,0)+IFERROR(AR474*1,0)+IFERROR(BE474*1,0)+IFERROR(BR474*1,0)+IFERROR(CE474*1,0)+IFERROR(CR474*1,0)+IFERROR(DE474*1,0)+IFERROR(DR474*1,0)+IFERROR(EE474*1,0)+IFERROR(ER474*1,0)+IFERROR(FE474*1,0)</f>
        <v>0</v>
      </c>
      <c r="FP474" s="27">
        <f t="shared" si="467"/>
        <v>0</v>
      </c>
      <c r="FQ474" s="27">
        <f t="shared" si="467"/>
        <v>0</v>
      </c>
      <c r="FR474" s="27">
        <f t="shared" si="467"/>
        <v>0</v>
      </c>
      <c r="FS474" s="27">
        <f t="shared" si="467"/>
        <v>0</v>
      </c>
      <c r="FT474" s="27">
        <f t="shared" si="467"/>
        <v>0</v>
      </c>
      <c r="FU474" s="27">
        <f t="shared" si="467"/>
        <v>0</v>
      </c>
      <c r="FV474" s="27">
        <f t="shared" si="467"/>
        <v>0</v>
      </c>
      <c r="FW474" s="28"/>
      <c r="FX474" s="29">
        <f t="shared" si="3"/>
        <v>0</v>
      </c>
    </row>
    <row r="475" spans="1:180" ht="18" customHeight="1" x14ac:dyDescent="0.25">
      <c r="A475" s="3" t="str">
        <f>IF(C475&lt;&gt;"","DRG-"&amp;TEXT(470,"000"),"")</f>
        <v/>
      </c>
      <c r="B475" s="33"/>
      <c r="C475" s="33"/>
      <c r="D475" s="33"/>
      <c r="E475" s="33"/>
      <c r="F475" s="33"/>
      <c r="G475" s="33"/>
      <c r="H475" s="33"/>
      <c r="I475" s="33"/>
      <c r="J475" s="33"/>
      <c r="K475" s="33"/>
      <c r="L475" s="37">
        <v>4</v>
      </c>
      <c r="M475" s="30" t="str">
        <f t="shared" si="0"/>
        <v>✘ Pending</v>
      </c>
      <c r="N475" s="30">
        <f t="shared" si="1"/>
        <v>0</v>
      </c>
      <c r="O475" s="31"/>
      <c r="P475" s="32"/>
      <c r="Q475" s="33"/>
      <c r="R475" s="33"/>
      <c r="S475" s="33"/>
      <c r="T475" s="33"/>
      <c r="U475" s="33"/>
      <c r="V475" s="33"/>
      <c r="W475" s="33"/>
      <c r="X475" s="33"/>
      <c r="Y475" s="33"/>
      <c r="Z475" s="33"/>
      <c r="AA475" s="33"/>
      <c r="AB475" s="31"/>
      <c r="AC475" s="32"/>
      <c r="AD475" s="33"/>
      <c r="AE475" s="33"/>
      <c r="AF475" s="33"/>
      <c r="AG475" s="33"/>
      <c r="AH475" s="33"/>
      <c r="AI475" s="33"/>
      <c r="AJ475" s="33"/>
      <c r="AK475" s="33"/>
      <c r="AL475" s="33"/>
      <c r="AM475" s="33"/>
      <c r="AN475" s="33"/>
      <c r="AO475" s="31"/>
      <c r="AP475" s="32"/>
      <c r="AQ475" s="33"/>
      <c r="AR475" s="33"/>
      <c r="AS475" s="33"/>
      <c r="AT475" s="33"/>
      <c r="AU475" s="33"/>
      <c r="AV475" s="33"/>
      <c r="AW475" s="33"/>
      <c r="AX475" s="33"/>
      <c r="AY475" s="33"/>
      <c r="AZ475" s="33"/>
      <c r="BA475" s="33"/>
      <c r="BB475" s="31"/>
      <c r="BC475" s="32"/>
      <c r="BD475" s="33"/>
      <c r="BE475" s="33"/>
      <c r="BF475" s="33"/>
      <c r="BG475" s="33"/>
      <c r="BH475" s="33"/>
      <c r="BI475" s="33"/>
      <c r="BJ475" s="33"/>
      <c r="BK475" s="33"/>
      <c r="BL475" s="33"/>
      <c r="BM475" s="33"/>
      <c r="BN475" s="33"/>
      <c r="BO475" s="31"/>
      <c r="BP475" s="32"/>
      <c r="BQ475" s="33"/>
      <c r="BR475" s="33"/>
      <c r="BS475" s="33"/>
      <c r="BT475" s="33"/>
      <c r="BU475" s="33"/>
      <c r="BV475" s="33"/>
      <c r="BW475" s="33"/>
      <c r="BX475" s="33"/>
      <c r="BY475" s="33"/>
      <c r="BZ475" s="33"/>
      <c r="CA475" s="33"/>
      <c r="CB475" s="31"/>
      <c r="CC475" s="32"/>
      <c r="CD475" s="33"/>
      <c r="CE475" s="33"/>
      <c r="CF475" s="33"/>
      <c r="CG475" s="33"/>
      <c r="CH475" s="33"/>
      <c r="CI475" s="33"/>
      <c r="CJ475" s="33"/>
      <c r="CK475" s="33"/>
      <c r="CL475" s="33"/>
      <c r="CM475" s="33"/>
      <c r="CN475" s="33"/>
      <c r="CO475" s="31"/>
      <c r="CP475" s="32"/>
      <c r="CQ475" s="33"/>
      <c r="CR475" s="33"/>
      <c r="CS475" s="33"/>
      <c r="CT475" s="33"/>
      <c r="CU475" s="33"/>
      <c r="CV475" s="33"/>
      <c r="CW475" s="33"/>
      <c r="CX475" s="33"/>
      <c r="CY475" s="33"/>
      <c r="CZ475" s="33"/>
      <c r="DA475" s="33"/>
      <c r="DB475" s="31"/>
      <c r="DC475" s="32"/>
      <c r="DD475" s="33"/>
      <c r="DE475" s="33"/>
      <c r="DF475" s="33"/>
      <c r="DG475" s="33"/>
      <c r="DH475" s="33"/>
      <c r="DI475" s="33"/>
      <c r="DJ475" s="33"/>
      <c r="DK475" s="33"/>
      <c r="DL475" s="33"/>
      <c r="DM475" s="33"/>
      <c r="DN475" s="33"/>
      <c r="DO475" s="31"/>
      <c r="DP475" s="32"/>
      <c r="DQ475" s="33"/>
      <c r="DR475" s="33"/>
      <c r="DS475" s="33"/>
      <c r="DT475" s="33"/>
      <c r="DU475" s="33"/>
      <c r="DV475" s="33"/>
      <c r="DW475" s="33"/>
      <c r="DX475" s="33"/>
      <c r="DY475" s="33"/>
      <c r="DZ475" s="33"/>
      <c r="EA475" s="33"/>
      <c r="EB475" s="31"/>
      <c r="EC475" s="32"/>
      <c r="ED475" s="33"/>
      <c r="EE475" s="33"/>
      <c r="EF475" s="33"/>
      <c r="EG475" s="33"/>
      <c r="EH475" s="33"/>
      <c r="EI475" s="33"/>
      <c r="EJ475" s="33"/>
      <c r="EK475" s="33"/>
      <c r="EL475" s="33"/>
      <c r="EM475" s="33"/>
      <c r="EN475" s="33"/>
      <c r="EO475" s="31"/>
      <c r="EP475" s="32"/>
      <c r="EQ475" s="33"/>
      <c r="ER475" s="33"/>
      <c r="ES475" s="33"/>
      <c r="ET475" s="33"/>
      <c r="EU475" s="33"/>
      <c r="EV475" s="33"/>
      <c r="EW475" s="33"/>
      <c r="EX475" s="33"/>
      <c r="EY475" s="33"/>
      <c r="EZ475" s="33"/>
      <c r="FA475" s="33"/>
      <c r="FB475" s="31"/>
      <c r="FC475" s="32"/>
      <c r="FD475" s="33"/>
      <c r="FE475" s="33"/>
      <c r="FF475" s="33"/>
      <c r="FG475" s="33"/>
      <c r="FH475" s="33"/>
      <c r="FI475" s="33"/>
      <c r="FJ475" s="33"/>
      <c r="FK475" s="33"/>
      <c r="FL475" s="33"/>
      <c r="FM475" s="33"/>
      <c r="FN475" s="33"/>
      <c r="FO475" s="34">
        <f t="shared" ref="FO475:FV475" si="468">IFERROR(R475*1,0)+IFERROR(AE475*1,0)+IFERROR(AR475*1,0)+IFERROR(BE475*1,0)+IFERROR(BR475*1,0)+IFERROR(CE475*1,0)+IFERROR(CR475*1,0)+IFERROR(DE475*1,0)+IFERROR(DR475*1,0)+IFERROR(EE475*1,0)+IFERROR(ER475*1,0)+IFERROR(FE475*1,0)</f>
        <v>0</v>
      </c>
      <c r="FP475" s="34">
        <f t="shared" si="468"/>
        <v>0</v>
      </c>
      <c r="FQ475" s="34">
        <f t="shared" si="468"/>
        <v>0</v>
      </c>
      <c r="FR475" s="34">
        <f t="shared" si="468"/>
        <v>0</v>
      </c>
      <c r="FS475" s="34">
        <f t="shared" si="468"/>
        <v>0</v>
      </c>
      <c r="FT475" s="34">
        <f t="shared" si="468"/>
        <v>0</v>
      </c>
      <c r="FU475" s="34">
        <f t="shared" si="468"/>
        <v>0</v>
      </c>
      <c r="FV475" s="34">
        <f t="shared" si="468"/>
        <v>0</v>
      </c>
      <c r="FW475" s="28"/>
      <c r="FX475" s="29">
        <f t="shared" si="3"/>
        <v>0</v>
      </c>
    </row>
    <row r="476" spans="1:180" ht="18" customHeight="1" x14ac:dyDescent="0.25">
      <c r="A476" s="3" t="str">
        <f>IF(C476&lt;&gt;"","DRG-"&amp;TEXT(471,"000"),"")</f>
        <v/>
      </c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38">
        <v>4</v>
      </c>
      <c r="M476" s="23" t="str">
        <f t="shared" si="0"/>
        <v>✘ Pending</v>
      </c>
      <c r="N476" s="23">
        <f t="shared" si="1"/>
        <v>0</v>
      </c>
      <c r="O476" s="25"/>
      <c r="P476" s="26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  <c r="AB476" s="25"/>
      <c r="AC476" s="26"/>
      <c r="AD476" s="24"/>
      <c r="AE476" s="24"/>
      <c r="AF476" s="24"/>
      <c r="AG476" s="24"/>
      <c r="AH476" s="24"/>
      <c r="AI476" s="24"/>
      <c r="AJ476" s="24"/>
      <c r="AK476" s="24"/>
      <c r="AL476" s="24"/>
      <c r="AM476" s="24"/>
      <c r="AN476" s="24"/>
      <c r="AO476" s="25"/>
      <c r="AP476" s="26"/>
      <c r="AQ476" s="24"/>
      <c r="AR476" s="24"/>
      <c r="AS476" s="24"/>
      <c r="AT476" s="24"/>
      <c r="AU476" s="24"/>
      <c r="AV476" s="24"/>
      <c r="AW476" s="24"/>
      <c r="AX476" s="24"/>
      <c r="AY476" s="24"/>
      <c r="AZ476" s="24"/>
      <c r="BA476" s="24"/>
      <c r="BB476" s="25"/>
      <c r="BC476" s="26"/>
      <c r="BD476" s="24"/>
      <c r="BE476" s="24"/>
      <c r="BF476" s="24"/>
      <c r="BG476" s="24"/>
      <c r="BH476" s="24"/>
      <c r="BI476" s="24"/>
      <c r="BJ476" s="24"/>
      <c r="BK476" s="24"/>
      <c r="BL476" s="24"/>
      <c r="BM476" s="24"/>
      <c r="BN476" s="24"/>
      <c r="BO476" s="25"/>
      <c r="BP476" s="26"/>
      <c r="BQ476" s="24"/>
      <c r="BR476" s="24"/>
      <c r="BS476" s="24"/>
      <c r="BT476" s="24"/>
      <c r="BU476" s="24"/>
      <c r="BV476" s="24"/>
      <c r="BW476" s="24"/>
      <c r="BX476" s="24"/>
      <c r="BY476" s="24"/>
      <c r="BZ476" s="24"/>
      <c r="CA476" s="24"/>
      <c r="CB476" s="25"/>
      <c r="CC476" s="26"/>
      <c r="CD476" s="24"/>
      <c r="CE476" s="24"/>
      <c r="CF476" s="24"/>
      <c r="CG476" s="24"/>
      <c r="CH476" s="24"/>
      <c r="CI476" s="24"/>
      <c r="CJ476" s="24"/>
      <c r="CK476" s="24"/>
      <c r="CL476" s="24"/>
      <c r="CM476" s="24"/>
      <c r="CN476" s="24"/>
      <c r="CO476" s="25"/>
      <c r="CP476" s="26"/>
      <c r="CQ476" s="24"/>
      <c r="CR476" s="24"/>
      <c r="CS476" s="24"/>
      <c r="CT476" s="24"/>
      <c r="CU476" s="24"/>
      <c r="CV476" s="24"/>
      <c r="CW476" s="24"/>
      <c r="CX476" s="24"/>
      <c r="CY476" s="24"/>
      <c r="CZ476" s="24"/>
      <c r="DA476" s="24"/>
      <c r="DB476" s="25"/>
      <c r="DC476" s="26"/>
      <c r="DD476" s="24"/>
      <c r="DE476" s="24"/>
      <c r="DF476" s="24"/>
      <c r="DG476" s="24"/>
      <c r="DH476" s="24"/>
      <c r="DI476" s="24"/>
      <c r="DJ476" s="24"/>
      <c r="DK476" s="24"/>
      <c r="DL476" s="24"/>
      <c r="DM476" s="24"/>
      <c r="DN476" s="24"/>
      <c r="DO476" s="25"/>
      <c r="DP476" s="26"/>
      <c r="DQ476" s="24"/>
      <c r="DR476" s="24"/>
      <c r="DS476" s="24"/>
      <c r="DT476" s="24"/>
      <c r="DU476" s="24"/>
      <c r="DV476" s="24"/>
      <c r="DW476" s="24"/>
      <c r="DX476" s="24"/>
      <c r="DY476" s="24"/>
      <c r="DZ476" s="24"/>
      <c r="EA476" s="24"/>
      <c r="EB476" s="25"/>
      <c r="EC476" s="26"/>
      <c r="ED476" s="24"/>
      <c r="EE476" s="24"/>
      <c r="EF476" s="24"/>
      <c r="EG476" s="24"/>
      <c r="EH476" s="24"/>
      <c r="EI476" s="24"/>
      <c r="EJ476" s="24"/>
      <c r="EK476" s="24"/>
      <c r="EL476" s="24"/>
      <c r="EM476" s="24"/>
      <c r="EN476" s="24"/>
      <c r="EO476" s="25"/>
      <c r="EP476" s="26"/>
      <c r="EQ476" s="24"/>
      <c r="ER476" s="24"/>
      <c r="ES476" s="24"/>
      <c r="ET476" s="24"/>
      <c r="EU476" s="24"/>
      <c r="EV476" s="24"/>
      <c r="EW476" s="24"/>
      <c r="EX476" s="24"/>
      <c r="EY476" s="24"/>
      <c r="EZ476" s="24"/>
      <c r="FA476" s="24"/>
      <c r="FB476" s="25"/>
      <c r="FC476" s="26"/>
      <c r="FD476" s="24"/>
      <c r="FE476" s="24"/>
      <c r="FF476" s="24"/>
      <c r="FG476" s="24"/>
      <c r="FH476" s="24"/>
      <c r="FI476" s="24"/>
      <c r="FJ476" s="24"/>
      <c r="FK476" s="24"/>
      <c r="FL476" s="24"/>
      <c r="FM476" s="24"/>
      <c r="FN476" s="24"/>
      <c r="FO476" s="27">
        <f t="shared" ref="FO476:FV476" si="469">IFERROR(R476*1,0)+IFERROR(AE476*1,0)+IFERROR(AR476*1,0)+IFERROR(BE476*1,0)+IFERROR(BR476*1,0)+IFERROR(CE476*1,0)+IFERROR(CR476*1,0)+IFERROR(DE476*1,0)+IFERROR(DR476*1,0)+IFERROR(EE476*1,0)+IFERROR(ER476*1,0)+IFERROR(FE476*1,0)</f>
        <v>0</v>
      </c>
      <c r="FP476" s="27">
        <f t="shared" si="469"/>
        <v>0</v>
      </c>
      <c r="FQ476" s="27">
        <f t="shared" si="469"/>
        <v>0</v>
      </c>
      <c r="FR476" s="27">
        <f t="shared" si="469"/>
        <v>0</v>
      </c>
      <c r="FS476" s="27">
        <f t="shared" si="469"/>
        <v>0</v>
      </c>
      <c r="FT476" s="27">
        <f t="shared" si="469"/>
        <v>0</v>
      </c>
      <c r="FU476" s="27">
        <f t="shared" si="469"/>
        <v>0</v>
      </c>
      <c r="FV476" s="27">
        <f t="shared" si="469"/>
        <v>0</v>
      </c>
      <c r="FW476" s="28"/>
      <c r="FX476" s="29">
        <f t="shared" si="3"/>
        <v>0</v>
      </c>
    </row>
    <row r="477" spans="1:180" ht="18" customHeight="1" x14ac:dyDescent="0.25">
      <c r="A477" s="3" t="str">
        <f>IF(C477&lt;&gt;"","DRG-"&amp;TEXT(472,"000"),"")</f>
        <v/>
      </c>
      <c r="B477" s="33"/>
      <c r="C477" s="33"/>
      <c r="D477" s="33"/>
      <c r="E477" s="33"/>
      <c r="F477" s="33"/>
      <c r="G477" s="33"/>
      <c r="H477" s="33"/>
      <c r="I477" s="33"/>
      <c r="J477" s="33"/>
      <c r="K477" s="33"/>
      <c r="L477" s="37">
        <v>4</v>
      </c>
      <c r="M477" s="30" t="str">
        <f t="shared" si="0"/>
        <v>✘ Pending</v>
      </c>
      <c r="N477" s="30">
        <f t="shared" si="1"/>
        <v>0</v>
      </c>
      <c r="O477" s="31"/>
      <c r="P477" s="32"/>
      <c r="Q477" s="33"/>
      <c r="R477" s="33"/>
      <c r="S477" s="33"/>
      <c r="T477" s="33"/>
      <c r="U477" s="33"/>
      <c r="V477" s="33"/>
      <c r="W477" s="33"/>
      <c r="X477" s="33"/>
      <c r="Y477" s="33"/>
      <c r="Z477" s="33"/>
      <c r="AA477" s="33"/>
      <c r="AB477" s="31"/>
      <c r="AC477" s="32"/>
      <c r="AD477" s="33"/>
      <c r="AE477" s="33"/>
      <c r="AF477" s="33"/>
      <c r="AG477" s="33"/>
      <c r="AH477" s="33"/>
      <c r="AI477" s="33"/>
      <c r="AJ477" s="33"/>
      <c r="AK477" s="33"/>
      <c r="AL477" s="33"/>
      <c r="AM477" s="33"/>
      <c r="AN477" s="33"/>
      <c r="AO477" s="31"/>
      <c r="AP477" s="32"/>
      <c r="AQ477" s="33"/>
      <c r="AR477" s="33"/>
      <c r="AS477" s="33"/>
      <c r="AT477" s="33"/>
      <c r="AU477" s="33"/>
      <c r="AV477" s="33"/>
      <c r="AW477" s="33"/>
      <c r="AX477" s="33"/>
      <c r="AY477" s="33"/>
      <c r="AZ477" s="33"/>
      <c r="BA477" s="33"/>
      <c r="BB477" s="31"/>
      <c r="BC477" s="32"/>
      <c r="BD477" s="33"/>
      <c r="BE477" s="33"/>
      <c r="BF477" s="33"/>
      <c r="BG477" s="33"/>
      <c r="BH477" s="33"/>
      <c r="BI477" s="33"/>
      <c r="BJ477" s="33"/>
      <c r="BK477" s="33"/>
      <c r="BL477" s="33"/>
      <c r="BM477" s="33"/>
      <c r="BN477" s="33"/>
      <c r="BO477" s="31"/>
      <c r="BP477" s="32"/>
      <c r="BQ477" s="33"/>
      <c r="BR477" s="33"/>
      <c r="BS477" s="33"/>
      <c r="BT477" s="33"/>
      <c r="BU477" s="33"/>
      <c r="BV477" s="33"/>
      <c r="BW477" s="33"/>
      <c r="BX477" s="33"/>
      <c r="BY477" s="33"/>
      <c r="BZ477" s="33"/>
      <c r="CA477" s="33"/>
      <c r="CB477" s="31"/>
      <c r="CC477" s="32"/>
      <c r="CD477" s="33"/>
      <c r="CE477" s="33"/>
      <c r="CF477" s="33"/>
      <c r="CG477" s="33"/>
      <c r="CH477" s="33"/>
      <c r="CI477" s="33"/>
      <c r="CJ477" s="33"/>
      <c r="CK477" s="33"/>
      <c r="CL477" s="33"/>
      <c r="CM477" s="33"/>
      <c r="CN477" s="33"/>
      <c r="CO477" s="31"/>
      <c r="CP477" s="32"/>
      <c r="CQ477" s="33"/>
      <c r="CR477" s="33"/>
      <c r="CS477" s="33"/>
      <c r="CT477" s="33"/>
      <c r="CU477" s="33"/>
      <c r="CV477" s="33"/>
      <c r="CW477" s="33"/>
      <c r="CX477" s="33"/>
      <c r="CY477" s="33"/>
      <c r="CZ477" s="33"/>
      <c r="DA477" s="33"/>
      <c r="DB477" s="31"/>
      <c r="DC477" s="32"/>
      <c r="DD477" s="33"/>
      <c r="DE477" s="33"/>
      <c r="DF477" s="33"/>
      <c r="DG477" s="33"/>
      <c r="DH477" s="33"/>
      <c r="DI477" s="33"/>
      <c r="DJ477" s="33"/>
      <c r="DK477" s="33"/>
      <c r="DL477" s="33"/>
      <c r="DM477" s="33"/>
      <c r="DN477" s="33"/>
      <c r="DO477" s="31"/>
      <c r="DP477" s="32"/>
      <c r="DQ477" s="33"/>
      <c r="DR477" s="33"/>
      <c r="DS477" s="33"/>
      <c r="DT477" s="33"/>
      <c r="DU477" s="33"/>
      <c r="DV477" s="33"/>
      <c r="DW477" s="33"/>
      <c r="DX477" s="33"/>
      <c r="DY477" s="33"/>
      <c r="DZ477" s="33"/>
      <c r="EA477" s="33"/>
      <c r="EB477" s="31"/>
      <c r="EC477" s="32"/>
      <c r="ED477" s="33"/>
      <c r="EE477" s="33"/>
      <c r="EF477" s="33"/>
      <c r="EG477" s="33"/>
      <c r="EH477" s="33"/>
      <c r="EI477" s="33"/>
      <c r="EJ477" s="33"/>
      <c r="EK477" s="33"/>
      <c r="EL477" s="33"/>
      <c r="EM477" s="33"/>
      <c r="EN477" s="33"/>
      <c r="EO477" s="31"/>
      <c r="EP477" s="32"/>
      <c r="EQ477" s="33"/>
      <c r="ER477" s="33"/>
      <c r="ES477" s="33"/>
      <c r="ET477" s="33"/>
      <c r="EU477" s="33"/>
      <c r="EV477" s="33"/>
      <c r="EW477" s="33"/>
      <c r="EX477" s="33"/>
      <c r="EY477" s="33"/>
      <c r="EZ477" s="33"/>
      <c r="FA477" s="33"/>
      <c r="FB477" s="31"/>
      <c r="FC477" s="32"/>
      <c r="FD477" s="33"/>
      <c r="FE477" s="33"/>
      <c r="FF477" s="33"/>
      <c r="FG477" s="33"/>
      <c r="FH477" s="33"/>
      <c r="FI477" s="33"/>
      <c r="FJ477" s="33"/>
      <c r="FK477" s="33"/>
      <c r="FL477" s="33"/>
      <c r="FM477" s="33"/>
      <c r="FN477" s="33"/>
      <c r="FO477" s="34">
        <f t="shared" ref="FO477:FV477" si="470">IFERROR(R477*1,0)+IFERROR(AE477*1,0)+IFERROR(AR477*1,0)+IFERROR(BE477*1,0)+IFERROR(BR477*1,0)+IFERROR(CE477*1,0)+IFERROR(CR477*1,0)+IFERROR(DE477*1,0)+IFERROR(DR477*1,0)+IFERROR(EE477*1,0)+IFERROR(ER477*1,0)+IFERROR(FE477*1,0)</f>
        <v>0</v>
      </c>
      <c r="FP477" s="34">
        <f t="shared" si="470"/>
        <v>0</v>
      </c>
      <c r="FQ477" s="34">
        <f t="shared" si="470"/>
        <v>0</v>
      </c>
      <c r="FR477" s="34">
        <f t="shared" si="470"/>
        <v>0</v>
      </c>
      <c r="FS477" s="34">
        <f t="shared" si="470"/>
        <v>0</v>
      </c>
      <c r="FT477" s="34">
        <f t="shared" si="470"/>
        <v>0</v>
      </c>
      <c r="FU477" s="34">
        <f t="shared" si="470"/>
        <v>0</v>
      </c>
      <c r="FV477" s="34">
        <f t="shared" si="470"/>
        <v>0</v>
      </c>
      <c r="FW477" s="28"/>
      <c r="FX477" s="29">
        <f t="shared" si="3"/>
        <v>0</v>
      </c>
    </row>
    <row r="478" spans="1:180" ht="18" customHeight="1" x14ac:dyDescent="0.25">
      <c r="A478" s="3" t="str">
        <f>IF(C478&lt;&gt;"","DRG-"&amp;TEXT(473,"000"),"")</f>
        <v/>
      </c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38">
        <v>4</v>
      </c>
      <c r="M478" s="23" t="str">
        <f t="shared" si="0"/>
        <v>✘ Pending</v>
      </c>
      <c r="N478" s="23">
        <f t="shared" si="1"/>
        <v>0</v>
      </c>
      <c r="O478" s="25"/>
      <c r="P478" s="26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  <c r="AB478" s="25"/>
      <c r="AC478" s="26"/>
      <c r="AD478" s="24"/>
      <c r="AE478" s="24"/>
      <c r="AF478" s="24"/>
      <c r="AG478" s="24"/>
      <c r="AH478" s="24"/>
      <c r="AI478" s="24"/>
      <c r="AJ478" s="24"/>
      <c r="AK478" s="24"/>
      <c r="AL478" s="24"/>
      <c r="AM478" s="24"/>
      <c r="AN478" s="24"/>
      <c r="AO478" s="25"/>
      <c r="AP478" s="26"/>
      <c r="AQ478" s="24"/>
      <c r="AR478" s="24"/>
      <c r="AS478" s="24"/>
      <c r="AT478" s="24"/>
      <c r="AU478" s="24"/>
      <c r="AV478" s="24"/>
      <c r="AW478" s="24"/>
      <c r="AX478" s="24"/>
      <c r="AY478" s="24"/>
      <c r="AZ478" s="24"/>
      <c r="BA478" s="24"/>
      <c r="BB478" s="25"/>
      <c r="BC478" s="26"/>
      <c r="BD478" s="24"/>
      <c r="BE478" s="24"/>
      <c r="BF478" s="24"/>
      <c r="BG478" s="24"/>
      <c r="BH478" s="24"/>
      <c r="BI478" s="24"/>
      <c r="BJ478" s="24"/>
      <c r="BK478" s="24"/>
      <c r="BL478" s="24"/>
      <c r="BM478" s="24"/>
      <c r="BN478" s="24"/>
      <c r="BO478" s="25"/>
      <c r="BP478" s="26"/>
      <c r="BQ478" s="24"/>
      <c r="BR478" s="24"/>
      <c r="BS478" s="24"/>
      <c r="BT478" s="24"/>
      <c r="BU478" s="24"/>
      <c r="BV478" s="24"/>
      <c r="BW478" s="24"/>
      <c r="BX478" s="24"/>
      <c r="BY478" s="24"/>
      <c r="BZ478" s="24"/>
      <c r="CA478" s="24"/>
      <c r="CB478" s="25"/>
      <c r="CC478" s="26"/>
      <c r="CD478" s="24"/>
      <c r="CE478" s="24"/>
      <c r="CF478" s="24"/>
      <c r="CG478" s="24"/>
      <c r="CH478" s="24"/>
      <c r="CI478" s="24"/>
      <c r="CJ478" s="24"/>
      <c r="CK478" s="24"/>
      <c r="CL478" s="24"/>
      <c r="CM478" s="24"/>
      <c r="CN478" s="24"/>
      <c r="CO478" s="25"/>
      <c r="CP478" s="26"/>
      <c r="CQ478" s="24"/>
      <c r="CR478" s="24"/>
      <c r="CS478" s="24"/>
      <c r="CT478" s="24"/>
      <c r="CU478" s="24"/>
      <c r="CV478" s="24"/>
      <c r="CW478" s="24"/>
      <c r="CX478" s="24"/>
      <c r="CY478" s="24"/>
      <c r="CZ478" s="24"/>
      <c r="DA478" s="24"/>
      <c r="DB478" s="25"/>
      <c r="DC478" s="26"/>
      <c r="DD478" s="24"/>
      <c r="DE478" s="24"/>
      <c r="DF478" s="24"/>
      <c r="DG478" s="24"/>
      <c r="DH478" s="24"/>
      <c r="DI478" s="24"/>
      <c r="DJ478" s="24"/>
      <c r="DK478" s="24"/>
      <c r="DL478" s="24"/>
      <c r="DM478" s="24"/>
      <c r="DN478" s="24"/>
      <c r="DO478" s="25"/>
      <c r="DP478" s="26"/>
      <c r="DQ478" s="24"/>
      <c r="DR478" s="24"/>
      <c r="DS478" s="24"/>
      <c r="DT478" s="24"/>
      <c r="DU478" s="24"/>
      <c r="DV478" s="24"/>
      <c r="DW478" s="24"/>
      <c r="DX478" s="24"/>
      <c r="DY478" s="24"/>
      <c r="DZ478" s="24"/>
      <c r="EA478" s="24"/>
      <c r="EB478" s="25"/>
      <c r="EC478" s="26"/>
      <c r="ED478" s="24"/>
      <c r="EE478" s="24"/>
      <c r="EF478" s="24"/>
      <c r="EG478" s="24"/>
      <c r="EH478" s="24"/>
      <c r="EI478" s="24"/>
      <c r="EJ478" s="24"/>
      <c r="EK478" s="24"/>
      <c r="EL478" s="24"/>
      <c r="EM478" s="24"/>
      <c r="EN478" s="24"/>
      <c r="EO478" s="25"/>
      <c r="EP478" s="26"/>
      <c r="EQ478" s="24"/>
      <c r="ER478" s="24"/>
      <c r="ES478" s="24"/>
      <c r="ET478" s="24"/>
      <c r="EU478" s="24"/>
      <c r="EV478" s="24"/>
      <c r="EW478" s="24"/>
      <c r="EX478" s="24"/>
      <c r="EY478" s="24"/>
      <c r="EZ478" s="24"/>
      <c r="FA478" s="24"/>
      <c r="FB478" s="25"/>
      <c r="FC478" s="26"/>
      <c r="FD478" s="24"/>
      <c r="FE478" s="24"/>
      <c r="FF478" s="24"/>
      <c r="FG478" s="24"/>
      <c r="FH478" s="24"/>
      <c r="FI478" s="24"/>
      <c r="FJ478" s="24"/>
      <c r="FK478" s="24"/>
      <c r="FL478" s="24"/>
      <c r="FM478" s="24"/>
      <c r="FN478" s="24"/>
      <c r="FO478" s="27">
        <f t="shared" ref="FO478:FV478" si="471">IFERROR(R478*1,0)+IFERROR(AE478*1,0)+IFERROR(AR478*1,0)+IFERROR(BE478*1,0)+IFERROR(BR478*1,0)+IFERROR(CE478*1,0)+IFERROR(CR478*1,0)+IFERROR(DE478*1,0)+IFERROR(DR478*1,0)+IFERROR(EE478*1,0)+IFERROR(ER478*1,0)+IFERROR(FE478*1,0)</f>
        <v>0</v>
      </c>
      <c r="FP478" s="27">
        <f t="shared" si="471"/>
        <v>0</v>
      </c>
      <c r="FQ478" s="27">
        <f t="shared" si="471"/>
        <v>0</v>
      </c>
      <c r="FR478" s="27">
        <f t="shared" si="471"/>
        <v>0</v>
      </c>
      <c r="FS478" s="27">
        <f t="shared" si="471"/>
        <v>0</v>
      </c>
      <c r="FT478" s="27">
        <f t="shared" si="471"/>
        <v>0</v>
      </c>
      <c r="FU478" s="27">
        <f t="shared" si="471"/>
        <v>0</v>
      </c>
      <c r="FV478" s="27">
        <f t="shared" si="471"/>
        <v>0</v>
      </c>
      <c r="FW478" s="28"/>
      <c r="FX478" s="29">
        <f t="shared" si="3"/>
        <v>0</v>
      </c>
    </row>
    <row r="479" spans="1:180" ht="18" customHeight="1" x14ac:dyDescent="0.25">
      <c r="A479" s="3" t="str">
        <f>IF(C479&lt;&gt;"","DRG-"&amp;TEXT(474,"000"),"")</f>
        <v/>
      </c>
      <c r="B479" s="33"/>
      <c r="C479" s="33"/>
      <c r="D479" s="33"/>
      <c r="E479" s="33"/>
      <c r="F479" s="33"/>
      <c r="G479" s="33"/>
      <c r="H479" s="33"/>
      <c r="I479" s="33"/>
      <c r="J479" s="33"/>
      <c r="K479" s="33"/>
      <c r="L479" s="37">
        <v>4</v>
      </c>
      <c r="M479" s="30" t="str">
        <f t="shared" si="0"/>
        <v>✘ Pending</v>
      </c>
      <c r="N479" s="30">
        <f t="shared" si="1"/>
        <v>0</v>
      </c>
      <c r="O479" s="31"/>
      <c r="P479" s="32"/>
      <c r="Q479" s="33"/>
      <c r="R479" s="33"/>
      <c r="S479" s="33"/>
      <c r="T479" s="33"/>
      <c r="U479" s="33"/>
      <c r="V479" s="33"/>
      <c r="W479" s="33"/>
      <c r="X479" s="33"/>
      <c r="Y479" s="33"/>
      <c r="Z479" s="33"/>
      <c r="AA479" s="33"/>
      <c r="AB479" s="31"/>
      <c r="AC479" s="32"/>
      <c r="AD479" s="33"/>
      <c r="AE479" s="33"/>
      <c r="AF479" s="33"/>
      <c r="AG479" s="33"/>
      <c r="AH479" s="33"/>
      <c r="AI479" s="33"/>
      <c r="AJ479" s="33"/>
      <c r="AK479" s="33"/>
      <c r="AL479" s="33"/>
      <c r="AM479" s="33"/>
      <c r="AN479" s="33"/>
      <c r="AO479" s="31"/>
      <c r="AP479" s="32"/>
      <c r="AQ479" s="33"/>
      <c r="AR479" s="33"/>
      <c r="AS479" s="33"/>
      <c r="AT479" s="33"/>
      <c r="AU479" s="33"/>
      <c r="AV479" s="33"/>
      <c r="AW479" s="33"/>
      <c r="AX479" s="33"/>
      <c r="AY479" s="33"/>
      <c r="AZ479" s="33"/>
      <c r="BA479" s="33"/>
      <c r="BB479" s="31"/>
      <c r="BC479" s="32"/>
      <c r="BD479" s="33"/>
      <c r="BE479" s="33"/>
      <c r="BF479" s="33"/>
      <c r="BG479" s="33"/>
      <c r="BH479" s="33"/>
      <c r="BI479" s="33"/>
      <c r="BJ479" s="33"/>
      <c r="BK479" s="33"/>
      <c r="BL479" s="33"/>
      <c r="BM479" s="33"/>
      <c r="BN479" s="33"/>
      <c r="BO479" s="31"/>
      <c r="BP479" s="32"/>
      <c r="BQ479" s="33"/>
      <c r="BR479" s="33"/>
      <c r="BS479" s="33"/>
      <c r="BT479" s="33"/>
      <c r="BU479" s="33"/>
      <c r="BV479" s="33"/>
      <c r="BW479" s="33"/>
      <c r="BX479" s="33"/>
      <c r="BY479" s="33"/>
      <c r="BZ479" s="33"/>
      <c r="CA479" s="33"/>
      <c r="CB479" s="31"/>
      <c r="CC479" s="32"/>
      <c r="CD479" s="33"/>
      <c r="CE479" s="33"/>
      <c r="CF479" s="33"/>
      <c r="CG479" s="33"/>
      <c r="CH479" s="33"/>
      <c r="CI479" s="33"/>
      <c r="CJ479" s="33"/>
      <c r="CK479" s="33"/>
      <c r="CL479" s="33"/>
      <c r="CM479" s="33"/>
      <c r="CN479" s="33"/>
      <c r="CO479" s="31"/>
      <c r="CP479" s="32"/>
      <c r="CQ479" s="33"/>
      <c r="CR479" s="33"/>
      <c r="CS479" s="33"/>
      <c r="CT479" s="33"/>
      <c r="CU479" s="33"/>
      <c r="CV479" s="33"/>
      <c r="CW479" s="33"/>
      <c r="CX479" s="33"/>
      <c r="CY479" s="33"/>
      <c r="CZ479" s="33"/>
      <c r="DA479" s="33"/>
      <c r="DB479" s="31"/>
      <c r="DC479" s="32"/>
      <c r="DD479" s="33"/>
      <c r="DE479" s="33"/>
      <c r="DF479" s="33"/>
      <c r="DG479" s="33"/>
      <c r="DH479" s="33"/>
      <c r="DI479" s="33"/>
      <c r="DJ479" s="33"/>
      <c r="DK479" s="33"/>
      <c r="DL479" s="33"/>
      <c r="DM479" s="33"/>
      <c r="DN479" s="33"/>
      <c r="DO479" s="31"/>
      <c r="DP479" s="32"/>
      <c r="DQ479" s="33"/>
      <c r="DR479" s="33"/>
      <c r="DS479" s="33"/>
      <c r="DT479" s="33"/>
      <c r="DU479" s="33"/>
      <c r="DV479" s="33"/>
      <c r="DW479" s="33"/>
      <c r="DX479" s="33"/>
      <c r="DY479" s="33"/>
      <c r="DZ479" s="33"/>
      <c r="EA479" s="33"/>
      <c r="EB479" s="31"/>
      <c r="EC479" s="32"/>
      <c r="ED479" s="33"/>
      <c r="EE479" s="33"/>
      <c r="EF479" s="33"/>
      <c r="EG479" s="33"/>
      <c r="EH479" s="33"/>
      <c r="EI479" s="33"/>
      <c r="EJ479" s="33"/>
      <c r="EK479" s="33"/>
      <c r="EL479" s="33"/>
      <c r="EM479" s="33"/>
      <c r="EN479" s="33"/>
      <c r="EO479" s="31"/>
      <c r="EP479" s="32"/>
      <c r="EQ479" s="33"/>
      <c r="ER479" s="33"/>
      <c r="ES479" s="33"/>
      <c r="ET479" s="33"/>
      <c r="EU479" s="33"/>
      <c r="EV479" s="33"/>
      <c r="EW479" s="33"/>
      <c r="EX479" s="33"/>
      <c r="EY479" s="33"/>
      <c r="EZ479" s="33"/>
      <c r="FA479" s="33"/>
      <c r="FB479" s="31"/>
      <c r="FC479" s="32"/>
      <c r="FD479" s="33"/>
      <c r="FE479" s="33"/>
      <c r="FF479" s="33"/>
      <c r="FG479" s="33"/>
      <c r="FH479" s="33"/>
      <c r="FI479" s="33"/>
      <c r="FJ479" s="33"/>
      <c r="FK479" s="33"/>
      <c r="FL479" s="33"/>
      <c r="FM479" s="33"/>
      <c r="FN479" s="33"/>
      <c r="FO479" s="34">
        <f t="shared" ref="FO479:FV479" si="472">IFERROR(R479*1,0)+IFERROR(AE479*1,0)+IFERROR(AR479*1,0)+IFERROR(BE479*1,0)+IFERROR(BR479*1,0)+IFERROR(CE479*1,0)+IFERROR(CR479*1,0)+IFERROR(DE479*1,0)+IFERROR(DR479*1,0)+IFERROR(EE479*1,0)+IFERROR(ER479*1,0)+IFERROR(FE479*1,0)</f>
        <v>0</v>
      </c>
      <c r="FP479" s="34">
        <f t="shared" si="472"/>
        <v>0</v>
      </c>
      <c r="FQ479" s="34">
        <f t="shared" si="472"/>
        <v>0</v>
      </c>
      <c r="FR479" s="34">
        <f t="shared" si="472"/>
        <v>0</v>
      </c>
      <c r="FS479" s="34">
        <f t="shared" si="472"/>
        <v>0</v>
      </c>
      <c r="FT479" s="34">
        <f t="shared" si="472"/>
        <v>0</v>
      </c>
      <c r="FU479" s="34">
        <f t="shared" si="472"/>
        <v>0</v>
      </c>
      <c r="FV479" s="34">
        <f t="shared" si="472"/>
        <v>0</v>
      </c>
      <c r="FW479" s="28"/>
      <c r="FX479" s="29">
        <f t="shared" si="3"/>
        <v>0</v>
      </c>
    </row>
    <row r="480" spans="1:180" ht="18" customHeight="1" x14ac:dyDescent="0.25">
      <c r="A480" s="3" t="str">
        <f>IF(C480&lt;&gt;"","DRG-"&amp;TEXT(475,"000"),"")</f>
        <v/>
      </c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38">
        <v>4</v>
      </c>
      <c r="M480" s="23" t="str">
        <f t="shared" si="0"/>
        <v>✘ Pending</v>
      </c>
      <c r="N480" s="23">
        <f t="shared" si="1"/>
        <v>0</v>
      </c>
      <c r="O480" s="25"/>
      <c r="P480" s="26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  <c r="AB480" s="25"/>
      <c r="AC480" s="26"/>
      <c r="AD480" s="24"/>
      <c r="AE480" s="24"/>
      <c r="AF480" s="24"/>
      <c r="AG480" s="24"/>
      <c r="AH480" s="24"/>
      <c r="AI480" s="24"/>
      <c r="AJ480" s="24"/>
      <c r="AK480" s="24"/>
      <c r="AL480" s="24"/>
      <c r="AM480" s="24"/>
      <c r="AN480" s="24"/>
      <c r="AO480" s="25"/>
      <c r="AP480" s="26"/>
      <c r="AQ480" s="24"/>
      <c r="AR480" s="24"/>
      <c r="AS480" s="24"/>
      <c r="AT480" s="24"/>
      <c r="AU480" s="24"/>
      <c r="AV480" s="24"/>
      <c r="AW480" s="24"/>
      <c r="AX480" s="24"/>
      <c r="AY480" s="24"/>
      <c r="AZ480" s="24"/>
      <c r="BA480" s="24"/>
      <c r="BB480" s="25"/>
      <c r="BC480" s="26"/>
      <c r="BD480" s="24"/>
      <c r="BE480" s="24"/>
      <c r="BF480" s="24"/>
      <c r="BG480" s="24"/>
      <c r="BH480" s="24"/>
      <c r="BI480" s="24"/>
      <c r="BJ480" s="24"/>
      <c r="BK480" s="24"/>
      <c r="BL480" s="24"/>
      <c r="BM480" s="24"/>
      <c r="BN480" s="24"/>
      <c r="BO480" s="25"/>
      <c r="BP480" s="26"/>
      <c r="BQ480" s="24"/>
      <c r="BR480" s="24"/>
      <c r="BS480" s="24"/>
      <c r="BT480" s="24"/>
      <c r="BU480" s="24"/>
      <c r="BV480" s="24"/>
      <c r="BW480" s="24"/>
      <c r="BX480" s="24"/>
      <c r="BY480" s="24"/>
      <c r="BZ480" s="24"/>
      <c r="CA480" s="24"/>
      <c r="CB480" s="25"/>
      <c r="CC480" s="26"/>
      <c r="CD480" s="24"/>
      <c r="CE480" s="24"/>
      <c r="CF480" s="24"/>
      <c r="CG480" s="24"/>
      <c r="CH480" s="24"/>
      <c r="CI480" s="24"/>
      <c r="CJ480" s="24"/>
      <c r="CK480" s="24"/>
      <c r="CL480" s="24"/>
      <c r="CM480" s="24"/>
      <c r="CN480" s="24"/>
      <c r="CO480" s="25"/>
      <c r="CP480" s="26"/>
      <c r="CQ480" s="24"/>
      <c r="CR480" s="24"/>
      <c r="CS480" s="24"/>
      <c r="CT480" s="24"/>
      <c r="CU480" s="24"/>
      <c r="CV480" s="24"/>
      <c r="CW480" s="24"/>
      <c r="CX480" s="24"/>
      <c r="CY480" s="24"/>
      <c r="CZ480" s="24"/>
      <c r="DA480" s="24"/>
      <c r="DB480" s="25"/>
      <c r="DC480" s="26"/>
      <c r="DD480" s="24"/>
      <c r="DE480" s="24"/>
      <c r="DF480" s="24"/>
      <c r="DG480" s="24"/>
      <c r="DH480" s="24"/>
      <c r="DI480" s="24"/>
      <c r="DJ480" s="24"/>
      <c r="DK480" s="24"/>
      <c r="DL480" s="24"/>
      <c r="DM480" s="24"/>
      <c r="DN480" s="24"/>
      <c r="DO480" s="25"/>
      <c r="DP480" s="26"/>
      <c r="DQ480" s="24"/>
      <c r="DR480" s="24"/>
      <c r="DS480" s="24"/>
      <c r="DT480" s="24"/>
      <c r="DU480" s="24"/>
      <c r="DV480" s="24"/>
      <c r="DW480" s="24"/>
      <c r="DX480" s="24"/>
      <c r="DY480" s="24"/>
      <c r="DZ480" s="24"/>
      <c r="EA480" s="24"/>
      <c r="EB480" s="25"/>
      <c r="EC480" s="26"/>
      <c r="ED480" s="24"/>
      <c r="EE480" s="24"/>
      <c r="EF480" s="24"/>
      <c r="EG480" s="24"/>
      <c r="EH480" s="24"/>
      <c r="EI480" s="24"/>
      <c r="EJ480" s="24"/>
      <c r="EK480" s="24"/>
      <c r="EL480" s="24"/>
      <c r="EM480" s="24"/>
      <c r="EN480" s="24"/>
      <c r="EO480" s="25"/>
      <c r="EP480" s="26"/>
      <c r="EQ480" s="24"/>
      <c r="ER480" s="24"/>
      <c r="ES480" s="24"/>
      <c r="ET480" s="24"/>
      <c r="EU480" s="24"/>
      <c r="EV480" s="24"/>
      <c r="EW480" s="24"/>
      <c r="EX480" s="24"/>
      <c r="EY480" s="24"/>
      <c r="EZ480" s="24"/>
      <c r="FA480" s="24"/>
      <c r="FB480" s="25"/>
      <c r="FC480" s="26"/>
      <c r="FD480" s="24"/>
      <c r="FE480" s="24"/>
      <c r="FF480" s="24"/>
      <c r="FG480" s="24"/>
      <c r="FH480" s="24"/>
      <c r="FI480" s="24"/>
      <c r="FJ480" s="24"/>
      <c r="FK480" s="24"/>
      <c r="FL480" s="24"/>
      <c r="FM480" s="24"/>
      <c r="FN480" s="24"/>
      <c r="FO480" s="27">
        <f t="shared" ref="FO480:FV480" si="473">IFERROR(R480*1,0)+IFERROR(AE480*1,0)+IFERROR(AR480*1,0)+IFERROR(BE480*1,0)+IFERROR(BR480*1,0)+IFERROR(CE480*1,0)+IFERROR(CR480*1,0)+IFERROR(DE480*1,0)+IFERROR(DR480*1,0)+IFERROR(EE480*1,0)+IFERROR(ER480*1,0)+IFERROR(FE480*1,0)</f>
        <v>0</v>
      </c>
      <c r="FP480" s="27">
        <f t="shared" si="473"/>
        <v>0</v>
      </c>
      <c r="FQ480" s="27">
        <f t="shared" si="473"/>
        <v>0</v>
      </c>
      <c r="FR480" s="27">
        <f t="shared" si="473"/>
        <v>0</v>
      </c>
      <c r="FS480" s="27">
        <f t="shared" si="473"/>
        <v>0</v>
      </c>
      <c r="FT480" s="27">
        <f t="shared" si="473"/>
        <v>0</v>
      </c>
      <c r="FU480" s="27">
        <f t="shared" si="473"/>
        <v>0</v>
      </c>
      <c r="FV480" s="27">
        <f t="shared" si="473"/>
        <v>0</v>
      </c>
      <c r="FW480" s="28"/>
      <c r="FX480" s="29">
        <f t="shared" si="3"/>
        <v>0</v>
      </c>
    </row>
    <row r="481" spans="1:180" ht="18" customHeight="1" x14ac:dyDescent="0.25">
      <c r="A481" s="3" t="str">
        <f>IF(C481&lt;&gt;"","DRG-"&amp;TEXT(476,"000"),"")</f>
        <v/>
      </c>
      <c r="B481" s="33"/>
      <c r="C481" s="33"/>
      <c r="D481" s="33"/>
      <c r="E481" s="33"/>
      <c r="F481" s="33"/>
      <c r="G481" s="33"/>
      <c r="H481" s="33"/>
      <c r="I481" s="33"/>
      <c r="J481" s="33"/>
      <c r="K481" s="33"/>
      <c r="L481" s="37">
        <v>4</v>
      </c>
      <c r="M481" s="30" t="str">
        <f t="shared" si="0"/>
        <v>✘ Pending</v>
      </c>
      <c r="N481" s="30">
        <f t="shared" si="1"/>
        <v>0</v>
      </c>
      <c r="O481" s="31"/>
      <c r="P481" s="32"/>
      <c r="Q481" s="33"/>
      <c r="R481" s="33"/>
      <c r="S481" s="33"/>
      <c r="T481" s="33"/>
      <c r="U481" s="33"/>
      <c r="V481" s="33"/>
      <c r="W481" s="33"/>
      <c r="X481" s="33"/>
      <c r="Y481" s="33"/>
      <c r="Z481" s="33"/>
      <c r="AA481" s="33"/>
      <c r="AB481" s="31"/>
      <c r="AC481" s="32"/>
      <c r="AD481" s="33"/>
      <c r="AE481" s="33"/>
      <c r="AF481" s="33"/>
      <c r="AG481" s="33"/>
      <c r="AH481" s="33"/>
      <c r="AI481" s="33"/>
      <c r="AJ481" s="33"/>
      <c r="AK481" s="33"/>
      <c r="AL481" s="33"/>
      <c r="AM481" s="33"/>
      <c r="AN481" s="33"/>
      <c r="AO481" s="31"/>
      <c r="AP481" s="32"/>
      <c r="AQ481" s="33"/>
      <c r="AR481" s="33"/>
      <c r="AS481" s="33"/>
      <c r="AT481" s="33"/>
      <c r="AU481" s="33"/>
      <c r="AV481" s="33"/>
      <c r="AW481" s="33"/>
      <c r="AX481" s="33"/>
      <c r="AY481" s="33"/>
      <c r="AZ481" s="33"/>
      <c r="BA481" s="33"/>
      <c r="BB481" s="31"/>
      <c r="BC481" s="32"/>
      <c r="BD481" s="33"/>
      <c r="BE481" s="33"/>
      <c r="BF481" s="33"/>
      <c r="BG481" s="33"/>
      <c r="BH481" s="33"/>
      <c r="BI481" s="33"/>
      <c r="BJ481" s="33"/>
      <c r="BK481" s="33"/>
      <c r="BL481" s="33"/>
      <c r="BM481" s="33"/>
      <c r="BN481" s="33"/>
      <c r="BO481" s="31"/>
      <c r="BP481" s="32"/>
      <c r="BQ481" s="33"/>
      <c r="BR481" s="33"/>
      <c r="BS481" s="33"/>
      <c r="BT481" s="33"/>
      <c r="BU481" s="33"/>
      <c r="BV481" s="33"/>
      <c r="BW481" s="33"/>
      <c r="BX481" s="33"/>
      <c r="BY481" s="33"/>
      <c r="BZ481" s="33"/>
      <c r="CA481" s="33"/>
      <c r="CB481" s="31"/>
      <c r="CC481" s="32"/>
      <c r="CD481" s="33"/>
      <c r="CE481" s="33"/>
      <c r="CF481" s="33"/>
      <c r="CG481" s="33"/>
      <c r="CH481" s="33"/>
      <c r="CI481" s="33"/>
      <c r="CJ481" s="33"/>
      <c r="CK481" s="33"/>
      <c r="CL481" s="33"/>
      <c r="CM481" s="33"/>
      <c r="CN481" s="33"/>
      <c r="CO481" s="31"/>
      <c r="CP481" s="32"/>
      <c r="CQ481" s="33"/>
      <c r="CR481" s="33"/>
      <c r="CS481" s="33"/>
      <c r="CT481" s="33"/>
      <c r="CU481" s="33"/>
      <c r="CV481" s="33"/>
      <c r="CW481" s="33"/>
      <c r="CX481" s="33"/>
      <c r="CY481" s="33"/>
      <c r="CZ481" s="33"/>
      <c r="DA481" s="33"/>
      <c r="DB481" s="31"/>
      <c r="DC481" s="32"/>
      <c r="DD481" s="33"/>
      <c r="DE481" s="33"/>
      <c r="DF481" s="33"/>
      <c r="DG481" s="33"/>
      <c r="DH481" s="33"/>
      <c r="DI481" s="33"/>
      <c r="DJ481" s="33"/>
      <c r="DK481" s="33"/>
      <c r="DL481" s="33"/>
      <c r="DM481" s="33"/>
      <c r="DN481" s="33"/>
      <c r="DO481" s="31"/>
      <c r="DP481" s="32"/>
      <c r="DQ481" s="33"/>
      <c r="DR481" s="33"/>
      <c r="DS481" s="33"/>
      <c r="DT481" s="33"/>
      <c r="DU481" s="33"/>
      <c r="DV481" s="33"/>
      <c r="DW481" s="33"/>
      <c r="DX481" s="33"/>
      <c r="DY481" s="33"/>
      <c r="DZ481" s="33"/>
      <c r="EA481" s="33"/>
      <c r="EB481" s="31"/>
      <c r="EC481" s="32"/>
      <c r="ED481" s="33"/>
      <c r="EE481" s="33"/>
      <c r="EF481" s="33"/>
      <c r="EG481" s="33"/>
      <c r="EH481" s="33"/>
      <c r="EI481" s="33"/>
      <c r="EJ481" s="33"/>
      <c r="EK481" s="33"/>
      <c r="EL481" s="33"/>
      <c r="EM481" s="33"/>
      <c r="EN481" s="33"/>
      <c r="EO481" s="31"/>
      <c r="EP481" s="32"/>
      <c r="EQ481" s="33"/>
      <c r="ER481" s="33"/>
      <c r="ES481" s="33"/>
      <c r="ET481" s="33"/>
      <c r="EU481" s="33"/>
      <c r="EV481" s="33"/>
      <c r="EW481" s="33"/>
      <c r="EX481" s="33"/>
      <c r="EY481" s="33"/>
      <c r="EZ481" s="33"/>
      <c r="FA481" s="33"/>
      <c r="FB481" s="31"/>
      <c r="FC481" s="32"/>
      <c r="FD481" s="33"/>
      <c r="FE481" s="33"/>
      <c r="FF481" s="33"/>
      <c r="FG481" s="33"/>
      <c r="FH481" s="33"/>
      <c r="FI481" s="33"/>
      <c r="FJ481" s="33"/>
      <c r="FK481" s="33"/>
      <c r="FL481" s="33"/>
      <c r="FM481" s="33"/>
      <c r="FN481" s="33"/>
      <c r="FO481" s="34">
        <f t="shared" ref="FO481:FV481" si="474">IFERROR(R481*1,0)+IFERROR(AE481*1,0)+IFERROR(AR481*1,0)+IFERROR(BE481*1,0)+IFERROR(BR481*1,0)+IFERROR(CE481*1,0)+IFERROR(CR481*1,0)+IFERROR(DE481*1,0)+IFERROR(DR481*1,0)+IFERROR(EE481*1,0)+IFERROR(ER481*1,0)+IFERROR(FE481*1,0)</f>
        <v>0</v>
      </c>
      <c r="FP481" s="34">
        <f t="shared" si="474"/>
        <v>0</v>
      </c>
      <c r="FQ481" s="34">
        <f t="shared" si="474"/>
        <v>0</v>
      </c>
      <c r="FR481" s="34">
        <f t="shared" si="474"/>
        <v>0</v>
      </c>
      <c r="FS481" s="34">
        <f t="shared" si="474"/>
        <v>0</v>
      </c>
      <c r="FT481" s="34">
        <f t="shared" si="474"/>
        <v>0</v>
      </c>
      <c r="FU481" s="34">
        <f t="shared" si="474"/>
        <v>0</v>
      </c>
      <c r="FV481" s="34">
        <f t="shared" si="474"/>
        <v>0</v>
      </c>
      <c r="FW481" s="28"/>
      <c r="FX481" s="29">
        <f t="shared" si="3"/>
        <v>0</v>
      </c>
    </row>
    <row r="482" spans="1:180" ht="18" customHeight="1" x14ac:dyDescent="0.25">
      <c r="A482" s="3" t="str">
        <f>IF(C482&lt;&gt;"","DRG-"&amp;TEXT(477,"000"),"")</f>
        <v/>
      </c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38">
        <v>4</v>
      </c>
      <c r="M482" s="23" t="str">
        <f t="shared" si="0"/>
        <v>✘ Pending</v>
      </c>
      <c r="N482" s="23">
        <f t="shared" si="1"/>
        <v>0</v>
      </c>
      <c r="O482" s="25"/>
      <c r="P482" s="26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  <c r="AB482" s="25"/>
      <c r="AC482" s="26"/>
      <c r="AD482" s="24"/>
      <c r="AE482" s="24"/>
      <c r="AF482" s="24"/>
      <c r="AG482" s="24"/>
      <c r="AH482" s="24"/>
      <c r="AI482" s="24"/>
      <c r="AJ482" s="24"/>
      <c r="AK482" s="24"/>
      <c r="AL482" s="24"/>
      <c r="AM482" s="24"/>
      <c r="AN482" s="24"/>
      <c r="AO482" s="25"/>
      <c r="AP482" s="26"/>
      <c r="AQ482" s="24"/>
      <c r="AR482" s="24"/>
      <c r="AS482" s="24"/>
      <c r="AT482" s="24"/>
      <c r="AU482" s="24"/>
      <c r="AV482" s="24"/>
      <c r="AW482" s="24"/>
      <c r="AX482" s="24"/>
      <c r="AY482" s="24"/>
      <c r="AZ482" s="24"/>
      <c r="BA482" s="24"/>
      <c r="BB482" s="25"/>
      <c r="BC482" s="26"/>
      <c r="BD482" s="24"/>
      <c r="BE482" s="24"/>
      <c r="BF482" s="24"/>
      <c r="BG482" s="24"/>
      <c r="BH482" s="24"/>
      <c r="BI482" s="24"/>
      <c r="BJ482" s="24"/>
      <c r="BK482" s="24"/>
      <c r="BL482" s="24"/>
      <c r="BM482" s="24"/>
      <c r="BN482" s="24"/>
      <c r="BO482" s="25"/>
      <c r="BP482" s="26"/>
      <c r="BQ482" s="24"/>
      <c r="BR482" s="24"/>
      <c r="BS482" s="24"/>
      <c r="BT482" s="24"/>
      <c r="BU482" s="24"/>
      <c r="BV482" s="24"/>
      <c r="BW482" s="24"/>
      <c r="BX482" s="24"/>
      <c r="BY482" s="24"/>
      <c r="BZ482" s="24"/>
      <c r="CA482" s="24"/>
      <c r="CB482" s="25"/>
      <c r="CC482" s="26"/>
      <c r="CD482" s="24"/>
      <c r="CE482" s="24"/>
      <c r="CF482" s="24"/>
      <c r="CG482" s="24"/>
      <c r="CH482" s="24"/>
      <c r="CI482" s="24"/>
      <c r="CJ482" s="24"/>
      <c r="CK482" s="24"/>
      <c r="CL482" s="24"/>
      <c r="CM482" s="24"/>
      <c r="CN482" s="24"/>
      <c r="CO482" s="25"/>
      <c r="CP482" s="26"/>
      <c r="CQ482" s="24"/>
      <c r="CR482" s="24"/>
      <c r="CS482" s="24"/>
      <c r="CT482" s="24"/>
      <c r="CU482" s="24"/>
      <c r="CV482" s="24"/>
      <c r="CW482" s="24"/>
      <c r="CX482" s="24"/>
      <c r="CY482" s="24"/>
      <c r="CZ482" s="24"/>
      <c r="DA482" s="24"/>
      <c r="DB482" s="25"/>
      <c r="DC482" s="26"/>
      <c r="DD482" s="24"/>
      <c r="DE482" s="24"/>
      <c r="DF482" s="24"/>
      <c r="DG482" s="24"/>
      <c r="DH482" s="24"/>
      <c r="DI482" s="24"/>
      <c r="DJ482" s="24"/>
      <c r="DK482" s="24"/>
      <c r="DL482" s="24"/>
      <c r="DM482" s="24"/>
      <c r="DN482" s="24"/>
      <c r="DO482" s="25"/>
      <c r="DP482" s="26"/>
      <c r="DQ482" s="24"/>
      <c r="DR482" s="24"/>
      <c r="DS482" s="24"/>
      <c r="DT482" s="24"/>
      <c r="DU482" s="24"/>
      <c r="DV482" s="24"/>
      <c r="DW482" s="24"/>
      <c r="DX482" s="24"/>
      <c r="DY482" s="24"/>
      <c r="DZ482" s="24"/>
      <c r="EA482" s="24"/>
      <c r="EB482" s="25"/>
      <c r="EC482" s="26"/>
      <c r="ED482" s="24"/>
      <c r="EE482" s="24"/>
      <c r="EF482" s="24"/>
      <c r="EG482" s="24"/>
      <c r="EH482" s="24"/>
      <c r="EI482" s="24"/>
      <c r="EJ482" s="24"/>
      <c r="EK482" s="24"/>
      <c r="EL482" s="24"/>
      <c r="EM482" s="24"/>
      <c r="EN482" s="24"/>
      <c r="EO482" s="25"/>
      <c r="EP482" s="26"/>
      <c r="EQ482" s="24"/>
      <c r="ER482" s="24"/>
      <c r="ES482" s="24"/>
      <c r="ET482" s="24"/>
      <c r="EU482" s="24"/>
      <c r="EV482" s="24"/>
      <c r="EW482" s="24"/>
      <c r="EX482" s="24"/>
      <c r="EY482" s="24"/>
      <c r="EZ482" s="24"/>
      <c r="FA482" s="24"/>
      <c r="FB482" s="25"/>
      <c r="FC482" s="26"/>
      <c r="FD482" s="24"/>
      <c r="FE482" s="24"/>
      <c r="FF482" s="24"/>
      <c r="FG482" s="24"/>
      <c r="FH482" s="24"/>
      <c r="FI482" s="24"/>
      <c r="FJ482" s="24"/>
      <c r="FK482" s="24"/>
      <c r="FL482" s="24"/>
      <c r="FM482" s="24"/>
      <c r="FN482" s="24"/>
      <c r="FO482" s="27">
        <f t="shared" ref="FO482:FV482" si="475">IFERROR(R482*1,0)+IFERROR(AE482*1,0)+IFERROR(AR482*1,0)+IFERROR(BE482*1,0)+IFERROR(BR482*1,0)+IFERROR(CE482*1,0)+IFERROR(CR482*1,0)+IFERROR(DE482*1,0)+IFERROR(DR482*1,0)+IFERROR(EE482*1,0)+IFERROR(ER482*1,0)+IFERROR(FE482*1,0)</f>
        <v>0</v>
      </c>
      <c r="FP482" s="27">
        <f t="shared" si="475"/>
        <v>0</v>
      </c>
      <c r="FQ482" s="27">
        <f t="shared" si="475"/>
        <v>0</v>
      </c>
      <c r="FR482" s="27">
        <f t="shared" si="475"/>
        <v>0</v>
      </c>
      <c r="FS482" s="27">
        <f t="shared" si="475"/>
        <v>0</v>
      </c>
      <c r="FT482" s="27">
        <f t="shared" si="475"/>
        <v>0</v>
      </c>
      <c r="FU482" s="27">
        <f t="shared" si="475"/>
        <v>0</v>
      </c>
      <c r="FV482" s="27">
        <f t="shared" si="475"/>
        <v>0</v>
      </c>
      <c r="FW482" s="28"/>
      <c r="FX482" s="29">
        <f t="shared" si="3"/>
        <v>0</v>
      </c>
    </row>
    <row r="483" spans="1:180" ht="18" customHeight="1" x14ac:dyDescent="0.25">
      <c r="A483" s="3" t="str">
        <f>IF(C483&lt;&gt;"","DRG-"&amp;TEXT(478,"000"),"")</f>
        <v/>
      </c>
      <c r="B483" s="33"/>
      <c r="C483" s="33"/>
      <c r="D483" s="33"/>
      <c r="E483" s="33"/>
      <c r="F483" s="33"/>
      <c r="G483" s="33"/>
      <c r="H483" s="33"/>
      <c r="I483" s="33"/>
      <c r="J483" s="33"/>
      <c r="K483" s="33"/>
      <c r="L483" s="37">
        <v>4</v>
      </c>
      <c r="M483" s="30" t="str">
        <f t="shared" si="0"/>
        <v>✘ Pending</v>
      </c>
      <c r="N483" s="30">
        <f t="shared" si="1"/>
        <v>0</v>
      </c>
      <c r="O483" s="31"/>
      <c r="P483" s="32"/>
      <c r="Q483" s="33"/>
      <c r="R483" s="33"/>
      <c r="S483" s="33"/>
      <c r="T483" s="33"/>
      <c r="U483" s="33"/>
      <c r="V483" s="33"/>
      <c r="W483" s="33"/>
      <c r="X483" s="33"/>
      <c r="Y483" s="33"/>
      <c r="Z483" s="33"/>
      <c r="AA483" s="33"/>
      <c r="AB483" s="31"/>
      <c r="AC483" s="32"/>
      <c r="AD483" s="33"/>
      <c r="AE483" s="33"/>
      <c r="AF483" s="33"/>
      <c r="AG483" s="33"/>
      <c r="AH483" s="33"/>
      <c r="AI483" s="33"/>
      <c r="AJ483" s="33"/>
      <c r="AK483" s="33"/>
      <c r="AL483" s="33"/>
      <c r="AM483" s="33"/>
      <c r="AN483" s="33"/>
      <c r="AO483" s="31"/>
      <c r="AP483" s="32"/>
      <c r="AQ483" s="33"/>
      <c r="AR483" s="33"/>
      <c r="AS483" s="33"/>
      <c r="AT483" s="33"/>
      <c r="AU483" s="33"/>
      <c r="AV483" s="33"/>
      <c r="AW483" s="33"/>
      <c r="AX483" s="33"/>
      <c r="AY483" s="33"/>
      <c r="AZ483" s="33"/>
      <c r="BA483" s="33"/>
      <c r="BB483" s="31"/>
      <c r="BC483" s="32"/>
      <c r="BD483" s="33"/>
      <c r="BE483" s="33"/>
      <c r="BF483" s="33"/>
      <c r="BG483" s="33"/>
      <c r="BH483" s="33"/>
      <c r="BI483" s="33"/>
      <c r="BJ483" s="33"/>
      <c r="BK483" s="33"/>
      <c r="BL483" s="33"/>
      <c r="BM483" s="33"/>
      <c r="BN483" s="33"/>
      <c r="BO483" s="31"/>
      <c r="BP483" s="32"/>
      <c r="BQ483" s="33"/>
      <c r="BR483" s="33"/>
      <c r="BS483" s="33"/>
      <c r="BT483" s="33"/>
      <c r="BU483" s="33"/>
      <c r="BV483" s="33"/>
      <c r="BW483" s="33"/>
      <c r="BX483" s="33"/>
      <c r="BY483" s="33"/>
      <c r="BZ483" s="33"/>
      <c r="CA483" s="33"/>
      <c r="CB483" s="31"/>
      <c r="CC483" s="32"/>
      <c r="CD483" s="33"/>
      <c r="CE483" s="33"/>
      <c r="CF483" s="33"/>
      <c r="CG483" s="33"/>
      <c r="CH483" s="33"/>
      <c r="CI483" s="33"/>
      <c r="CJ483" s="33"/>
      <c r="CK483" s="33"/>
      <c r="CL483" s="33"/>
      <c r="CM483" s="33"/>
      <c r="CN483" s="33"/>
      <c r="CO483" s="31"/>
      <c r="CP483" s="32"/>
      <c r="CQ483" s="33"/>
      <c r="CR483" s="33"/>
      <c r="CS483" s="33"/>
      <c r="CT483" s="33"/>
      <c r="CU483" s="33"/>
      <c r="CV483" s="33"/>
      <c r="CW483" s="33"/>
      <c r="CX483" s="33"/>
      <c r="CY483" s="33"/>
      <c r="CZ483" s="33"/>
      <c r="DA483" s="33"/>
      <c r="DB483" s="31"/>
      <c r="DC483" s="32"/>
      <c r="DD483" s="33"/>
      <c r="DE483" s="33"/>
      <c r="DF483" s="33"/>
      <c r="DG483" s="33"/>
      <c r="DH483" s="33"/>
      <c r="DI483" s="33"/>
      <c r="DJ483" s="33"/>
      <c r="DK483" s="33"/>
      <c r="DL483" s="33"/>
      <c r="DM483" s="33"/>
      <c r="DN483" s="33"/>
      <c r="DO483" s="31"/>
      <c r="DP483" s="32"/>
      <c r="DQ483" s="33"/>
      <c r="DR483" s="33"/>
      <c r="DS483" s="33"/>
      <c r="DT483" s="33"/>
      <c r="DU483" s="33"/>
      <c r="DV483" s="33"/>
      <c r="DW483" s="33"/>
      <c r="DX483" s="33"/>
      <c r="DY483" s="33"/>
      <c r="DZ483" s="33"/>
      <c r="EA483" s="33"/>
      <c r="EB483" s="31"/>
      <c r="EC483" s="32"/>
      <c r="ED483" s="33"/>
      <c r="EE483" s="33"/>
      <c r="EF483" s="33"/>
      <c r="EG483" s="33"/>
      <c r="EH483" s="33"/>
      <c r="EI483" s="33"/>
      <c r="EJ483" s="33"/>
      <c r="EK483" s="33"/>
      <c r="EL483" s="33"/>
      <c r="EM483" s="33"/>
      <c r="EN483" s="33"/>
      <c r="EO483" s="31"/>
      <c r="EP483" s="32"/>
      <c r="EQ483" s="33"/>
      <c r="ER483" s="33"/>
      <c r="ES483" s="33"/>
      <c r="ET483" s="33"/>
      <c r="EU483" s="33"/>
      <c r="EV483" s="33"/>
      <c r="EW483" s="33"/>
      <c r="EX483" s="33"/>
      <c r="EY483" s="33"/>
      <c r="EZ483" s="33"/>
      <c r="FA483" s="33"/>
      <c r="FB483" s="31"/>
      <c r="FC483" s="32"/>
      <c r="FD483" s="33"/>
      <c r="FE483" s="33"/>
      <c r="FF483" s="33"/>
      <c r="FG483" s="33"/>
      <c r="FH483" s="33"/>
      <c r="FI483" s="33"/>
      <c r="FJ483" s="33"/>
      <c r="FK483" s="33"/>
      <c r="FL483" s="33"/>
      <c r="FM483" s="33"/>
      <c r="FN483" s="33"/>
      <c r="FO483" s="34">
        <f t="shared" ref="FO483:FV483" si="476">IFERROR(R483*1,0)+IFERROR(AE483*1,0)+IFERROR(AR483*1,0)+IFERROR(BE483*1,0)+IFERROR(BR483*1,0)+IFERROR(CE483*1,0)+IFERROR(CR483*1,0)+IFERROR(DE483*1,0)+IFERROR(DR483*1,0)+IFERROR(EE483*1,0)+IFERROR(ER483*1,0)+IFERROR(FE483*1,0)</f>
        <v>0</v>
      </c>
      <c r="FP483" s="34">
        <f t="shared" si="476"/>
        <v>0</v>
      </c>
      <c r="FQ483" s="34">
        <f t="shared" si="476"/>
        <v>0</v>
      </c>
      <c r="FR483" s="34">
        <f t="shared" si="476"/>
        <v>0</v>
      </c>
      <c r="FS483" s="34">
        <f t="shared" si="476"/>
        <v>0</v>
      </c>
      <c r="FT483" s="34">
        <f t="shared" si="476"/>
        <v>0</v>
      </c>
      <c r="FU483" s="34">
        <f t="shared" si="476"/>
        <v>0</v>
      </c>
      <c r="FV483" s="34">
        <f t="shared" si="476"/>
        <v>0</v>
      </c>
      <c r="FW483" s="28"/>
      <c r="FX483" s="29">
        <f t="shared" si="3"/>
        <v>0</v>
      </c>
    </row>
    <row r="484" spans="1:180" ht="18" customHeight="1" x14ac:dyDescent="0.25">
      <c r="A484" s="3" t="str">
        <f>IF(C484&lt;&gt;"","DRG-"&amp;TEXT(479,"000"),"")</f>
        <v/>
      </c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38">
        <v>4</v>
      </c>
      <c r="M484" s="23" t="str">
        <f t="shared" si="0"/>
        <v>✘ Pending</v>
      </c>
      <c r="N484" s="23">
        <f t="shared" si="1"/>
        <v>0</v>
      </c>
      <c r="O484" s="25"/>
      <c r="P484" s="26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  <c r="AB484" s="25"/>
      <c r="AC484" s="26"/>
      <c r="AD484" s="24"/>
      <c r="AE484" s="24"/>
      <c r="AF484" s="24"/>
      <c r="AG484" s="24"/>
      <c r="AH484" s="24"/>
      <c r="AI484" s="24"/>
      <c r="AJ484" s="24"/>
      <c r="AK484" s="24"/>
      <c r="AL484" s="24"/>
      <c r="AM484" s="24"/>
      <c r="AN484" s="24"/>
      <c r="AO484" s="25"/>
      <c r="AP484" s="26"/>
      <c r="AQ484" s="24"/>
      <c r="AR484" s="24"/>
      <c r="AS484" s="24"/>
      <c r="AT484" s="24"/>
      <c r="AU484" s="24"/>
      <c r="AV484" s="24"/>
      <c r="AW484" s="24"/>
      <c r="AX484" s="24"/>
      <c r="AY484" s="24"/>
      <c r="AZ484" s="24"/>
      <c r="BA484" s="24"/>
      <c r="BB484" s="25"/>
      <c r="BC484" s="26"/>
      <c r="BD484" s="24"/>
      <c r="BE484" s="24"/>
      <c r="BF484" s="24"/>
      <c r="BG484" s="24"/>
      <c r="BH484" s="24"/>
      <c r="BI484" s="24"/>
      <c r="BJ484" s="24"/>
      <c r="BK484" s="24"/>
      <c r="BL484" s="24"/>
      <c r="BM484" s="24"/>
      <c r="BN484" s="24"/>
      <c r="BO484" s="25"/>
      <c r="BP484" s="26"/>
      <c r="BQ484" s="24"/>
      <c r="BR484" s="24"/>
      <c r="BS484" s="24"/>
      <c r="BT484" s="24"/>
      <c r="BU484" s="24"/>
      <c r="BV484" s="24"/>
      <c r="BW484" s="24"/>
      <c r="BX484" s="24"/>
      <c r="BY484" s="24"/>
      <c r="BZ484" s="24"/>
      <c r="CA484" s="24"/>
      <c r="CB484" s="25"/>
      <c r="CC484" s="26"/>
      <c r="CD484" s="24"/>
      <c r="CE484" s="24"/>
      <c r="CF484" s="24"/>
      <c r="CG484" s="24"/>
      <c r="CH484" s="24"/>
      <c r="CI484" s="24"/>
      <c r="CJ484" s="24"/>
      <c r="CK484" s="24"/>
      <c r="CL484" s="24"/>
      <c r="CM484" s="24"/>
      <c r="CN484" s="24"/>
      <c r="CO484" s="25"/>
      <c r="CP484" s="26"/>
      <c r="CQ484" s="24"/>
      <c r="CR484" s="24"/>
      <c r="CS484" s="24"/>
      <c r="CT484" s="24"/>
      <c r="CU484" s="24"/>
      <c r="CV484" s="24"/>
      <c r="CW484" s="24"/>
      <c r="CX484" s="24"/>
      <c r="CY484" s="24"/>
      <c r="CZ484" s="24"/>
      <c r="DA484" s="24"/>
      <c r="DB484" s="25"/>
      <c r="DC484" s="26"/>
      <c r="DD484" s="24"/>
      <c r="DE484" s="24"/>
      <c r="DF484" s="24"/>
      <c r="DG484" s="24"/>
      <c r="DH484" s="24"/>
      <c r="DI484" s="24"/>
      <c r="DJ484" s="24"/>
      <c r="DK484" s="24"/>
      <c r="DL484" s="24"/>
      <c r="DM484" s="24"/>
      <c r="DN484" s="24"/>
      <c r="DO484" s="25"/>
      <c r="DP484" s="26"/>
      <c r="DQ484" s="24"/>
      <c r="DR484" s="24"/>
      <c r="DS484" s="24"/>
      <c r="DT484" s="24"/>
      <c r="DU484" s="24"/>
      <c r="DV484" s="24"/>
      <c r="DW484" s="24"/>
      <c r="DX484" s="24"/>
      <c r="DY484" s="24"/>
      <c r="DZ484" s="24"/>
      <c r="EA484" s="24"/>
      <c r="EB484" s="25"/>
      <c r="EC484" s="26"/>
      <c r="ED484" s="24"/>
      <c r="EE484" s="24"/>
      <c r="EF484" s="24"/>
      <c r="EG484" s="24"/>
      <c r="EH484" s="24"/>
      <c r="EI484" s="24"/>
      <c r="EJ484" s="24"/>
      <c r="EK484" s="24"/>
      <c r="EL484" s="24"/>
      <c r="EM484" s="24"/>
      <c r="EN484" s="24"/>
      <c r="EO484" s="25"/>
      <c r="EP484" s="26"/>
      <c r="EQ484" s="24"/>
      <c r="ER484" s="24"/>
      <c r="ES484" s="24"/>
      <c r="ET484" s="24"/>
      <c r="EU484" s="24"/>
      <c r="EV484" s="24"/>
      <c r="EW484" s="24"/>
      <c r="EX484" s="24"/>
      <c r="EY484" s="24"/>
      <c r="EZ484" s="24"/>
      <c r="FA484" s="24"/>
      <c r="FB484" s="25"/>
      <c r="FC484" s="26"/>
      <c r="FD484" s="24"/>
      <c r="FE484" s="24"/>
      <c r="FF484" s="24"/>
      <c r="FG484" s="24"/>
      <c r="FH484" s="24"/>
      <c r="FI484" s="24"/>
      <c r="FJ484" s="24"/>
      <c r="FK484" s="24"/>
      <c r="FL484" s="24"/>
      <c r="FM484" s="24"/>
      <c r="FN484" s="24"/>
      <c r="FO484" s="27">
        <f t="shared" ref="FO484:FV484" si="477">IFERROR(R484*1,0)+IFERROR(AE484*1,0)+IFERROR(AR484*1,0)+IFERROR(BE484*1,0)+IFERROR(BR484*1,0)+IFERROR(CE484*1,0)+IFERROR(CR484*1,0)+IFERROR(DE484*1,0)+IFERROR(DR484*1,0)+IFERROR(EE484*1,0)+IFERROR(ER484*1,0)+IFERROR(FE484*1,0)</f>
        <v>0</v>
      </c>
      <c r="FP484" s="27">
        <f t="shared" si="477"/>
        <v>0</v>
      </c>
      <c r="FQ484" s="27">
        <f t="shared" si="477"/>
        <v>0</v>
      </c>
      <c r="FR484" s="27">
        <f t="shared" si="477"/>
        <v>0</v>
      </c>
      <c r="FS484" s="27">
        <f t="shared" si="477"/>
        <v>0</v>
      </c>
      <c r="FT484" s="27">
        <f t="shared" si="477"/>
        <v>0</v>
      </c>
      <c r="FU484" s="27">
        <f t="shared" si="477"/>
        <v>0</v>
      </c>
      <c r="FV484" s="27">
        <f t="shared" si="477"/>
        <v>0</v>
      </c>
      <c r="FW484" s="28"/>
      <c r="FX484" s="29">
        <f t="shared" si="3"/>
        <v>0</v>
      </c>
    </row>
    <row r="485" spans="1:180" ht="18" customHeight="1" x14ac:dyDescent="0.25">
      <c r="A485" s="3" t="str">
        <f>IF(C485&lt;&gt;"","DRG-"&amp;TEXT(480,"000"),"")</f>
        <v/>
      </c>
      <c r="B485" s="33"/>
      <c r="C485" s="33"/>
      <c r="D485" s="33"/>
      <c r="E485" s="33"/>
      <c r="F485" s="33"/>
      <c r="G485" s="33"/>
      <c r="H485" s="33"/>
      <c r="I485" s="33"/>
      <c r="J485" s="33"/>
      <c r="K485" s="33"/>
      <c r="L485" s="37">
        <v>4</v>
      </c>
      <c r="M485" s="30" t="str">
        <f t="shared" si="0"/>
        <v>✘ Pending</v>
      </c>
      <c r="N485" s="30">
        <f t="shared" si="1"/>
        <v>0</v>
      </c>
      <c r="O485" s="31"/>
      <c r="P485" s="32"/>
      <c r="Q485" s="33"/>
      <c r="R485" s="33"/>
      <c r="S485" s="33"/>
      <c r="T485" s="33"/>
      <c r="U485" s="33"/>
      <c r="V485" s="33"/>
      <c r="W485" s="33"/>
      <c r="X485" s="33"/>
      <c r="Y485" s="33"/>
      <c r="Z485" s="33"/>
      <c r="AA485" s="33"/>
      <c r="AB485" s="31"/>
      <c r="AC485" s="32"/>
      <c r="AD485" s="33"/>
      <c r="AE485" s="33"/>
      <c r="AF485" s="33"/>
      <c r="AG485" s="33"/>
      <c r="AH485" s="33"/>
      <c r="AI485" s="33"/>
      <c r="AJ485" s="33"/>
      <c r="AK485" s="33"/>
      <c r="AL485" s="33"/>
      <c r="AM485" s="33"/>
      <c r="AN485" s="33"/>
      <c r="AO485" s="31"/>
      <c r="AP485" s="32"/>
      <c r="AQ485" s="33"/>
      <c r="AR485" s="33"/>
      <c r="AS485" s="33"/>
      <c r="AT485" s="33"/>
      <c r="AU485" s="33"/>
      <c r="AV485" s="33"/>
      <c r="AW485" s="33"/>
      <c r="AX485" s="33"/>
      <c r="AY485" s="33"/>
      <c r="AZ485" s="33"/>
      <c r="BA485" s="33"/>
      <c r="BB485" s="31"/>
      <c r="BC485" s="32"/>
      <c r="BD485" s="33"/>
      <c r="BE485" s="33"/>
      <c r="BF485" s="33"/>
      <c r="BG485" s="33"/>
      <c r="BH485" s="33"/>
      <c r="BI485" s="33"/>
      <c r="BJ485" s="33"/>
      <c r="BK485" s="33"/>
      <c r="BL485" s="33"/>
      <c r="BM485" s="33"/>
      <c r="BN485" s="33"/>
      <c r="BO485" s="31"/>
      <c r="BP485" s="32"/>
      <c r="BQ485" s="33"/>
      <c r="BR485" s="33"/>
      <c r="BS485" s="33"/>
      <c r="BT485" s="33"/>
      <c r="BU485" s="33"/>
      <c r="BV485" s="33"/>
      <c r="BW485" s="33"/>
      <c r="BX485" s="33"/>
      <c r="BY485" s="33"/>
      <c r="BZ485" s="33"/>
      <c r="CA485" s="33"/>
      <c r="CB485" s="31"/>
      <c r="CC485" s="32"/>
      <c r="CD485" s="33"/>
      <c r="CE485" s="33"/>
      <c r="CF485" s="33"/>
      <c r="CG485" s="33"/>
      <c r="CH485" s="33"/>
      <c r="CI485" s="33"/>
      <c r="CJ485" s="33"/>
      <c r="CK485" s="33"/>
      <c r="CL485" s="33"/>
      <c r="CM485" s="33"/>
      <c r="CN485" s="33"/>
      <c r="CO485" s="31"/>
      <c r="CP485" s="32"/>
      <c r="CQ485" s="33"/>
      <c r="CR485" s="33"/>
      <c r="CS485" s="33"/>
      <c r="CT485" s="33"/>
      <c r="CU485" s="33"/>
      <c r="CV485" s="33"/>
      <c r="CW485" s="33"/>
      <c r="CX485" s="33"/>
      <c r="CY485" s="33"/>
      <c r="CZ485" s="33"/>
      <c r="DA485" s="33"/>
      <c r="DB485" s="31"/>
      <c r="DC485" s="32"/>
      <c r="DD485" s="33"/>
      <c r="DE485" s="33"/>
      <c r="DF485" s="33"/>
      <c r="DG485" s="33"/>
      <c r="DH485" s="33"/>
      <c r="DI485" s="33"/>
      <c r="DJ485" s="33"/>
      <c r="DK485" s="33"/>
      <c r="DL485" s="33"/>
      <c r="DM485" s="33"/>
      <c r="DN485" s="33"/>
      <c r="DO485" s="31"/>
      <c r="DP485" s="32"/>
      <c r="DQ485" s="33"/>
      <c r="DR485" s="33"/>
      <c r="DS485" s="33"/>
      <c r="DT485" s="33"/>
      <c r="DU485" s="33"/>
      <c r="DV485" s="33"/>
      <c r="DW485" s="33"/>
      <c r="DX485" s="33"/>
      <c r="DY485" s="33"/>
      <c r="DZ485" s="33"/>
      <c r="EA485" s="33"/>
      <c r="EB485" s="31"/>
      <c r="EC485" s="32"/>
      <c r="ED485" s="33"/>
      <c r="EE485" s="33"/>
      <c r="EF485" s="33"/>
      <c r="EG485" s="33"/>
      <c r="EH485" s="33"/>
      <c r="EI485" s="33"/>
      <c r="EJ485" s="33"/>
      <c r="EK485" s="33"/>
      <c r="EL485" s="33"/>
      <c r="EM485" s="33"/>
      <c r="EN485" s="33"/>
      <c r="EO485" s="31"/>
      <c r="EP485" s="32"/>
      <c r="EQ485" s="33"/>
      <c r="ER485" s="33"/>
      <c r="ES485" s="33"/>
      <c r="ET485" s="33"/>
      <c r="EU485" s="33"/>
      <c r="EV485" s="33"/>
      <c r="EW485" s="33"/>
      <c r="EX485" s="33"/>
      <c r="EY485" s="33"/>
      <c r="EZ485" s="33"/>
      <c r="FA485" s="33"/>
      <c r="FB485" s="31"/>
      <c r="FC485" s="32"/>
      <c r="FD485" s="33"/>
      <c r="FE485" s="33"/>
      <c r="FF485" s="33"/>
      <c r="FG485" s="33"/>
      <c r="FH485" s="33"/>
      <c r="FI485" s="33"/>
      <c r="FJ485" s="33"/>
      <c r="FK485" s="33"/>
      <c r="FL485" s="33"/>
      <c r="FM485" s="33"/>
      <c r="FN485" s="33"/>
      <c r="FO485" s="34">
        <f t="shared" ref="FO485:FV485" si="478">IFERROR(R485*1,0)+IFERROR(AE485*1,0)+IFERROR(AR485*1,0)+IFERROR(BE485*1,0)+IFERROR(BR485*1,0)+IFERROR(CE485*1,0)+IFERROR(CR485*1,0)+IFERROR(DE485*1,0)+IFERROR(DR485*1,0)+IFERROR(EE485*1,0)+IFERROR(ER485*1,0)+IFERROR(FE485*1,0)</f>
        <v>0</v>
      </c>
      <c r="FP485" s="34">
        <f t="shared" si="478"/>
        <v>0</v>
      </c>
      <c r="FQ485" s="34">
        <f t="shared" si="478"/>
        <v>0</v>
      </c>
      <c r="FR485" s="34">
        <f t="shared" si="478"/>
        <v>0</v>
      </c>
      <c r="FS485" s="34">
        <f t="shared" si="478"/>
        <v>0</v>
      </c>
      <c r="FT485" s="34">
        <f t="shared" si="478"/>
        <v>0</v>
      </c>
      <c r="FU485" s="34">
        <f t="shared" si="478"/>
        <v>0</v>
      </c>
      <c r="FV485" s="34">
        <f t="shared" si="478"/>
        <v>0</v>
      </c>
      <c r="FW485" s="28"/>
      <c r="FX485" s="29">
        <f t="shared" si="3"/>
        <v>0</v>
      </c>
    </row>
    <row r="486" spans="1:180" ht="18" customHeight="1" x14ac:dyDescent="0.25">
      <c r="A486" s="3" t="str">
        <f>IF(C486&lt;&gt;"","DRG-"&amp;TEXT(481,"000"),"")</f>
        <v/>
      </c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38">
        <v>4</v>
      </c>
      <c r="M486" s="23" t="str">
        <f t="shared" si="0"/>
        <v>✘ Pending</v>
      </c>
      <c r="N486" s="23">
        <f t="shared" si="1"/>
        <v>0</v>
      </c>
      <c r="O486" s="25"/>
      <c r="P486" s="26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  <c r="AB486" s="25"/>
      <c r="AC486" s="26"/>
      <c r="AD486" s="24"/>
      <c r="AE486" s="24"/>
      <c r="AF486" s="24"/>
      <c r="AG486" s="24"/>
      <c r="AH486" s="24"/>
      <c r="AI486" s="24"/>
      <c r="AJ486" s="24"/>
      <c r="AK486" s="24"/>
      <c r="AL486" s="24"/>
      <c r="AM486" s="24"/>
      <c r="AN486" s="24"/>
      <c r="AO486" s="25"/>
      <c r="AP486" s="26"/>
      <c r="AQ486" s="24"/>
      <c r="AR486" s="24"/>
      <c r="AS486" s="24"/>
      <c r="AT486" s="24"/>
      <c r="AU486" s="24"/>
      <c r="AV486" s="24"/>
      <c r="AW486" s="24"/>
      <c r="AX486" s="24"/>
      <c r="AY486" s="24"/>
      <c r="AZ486" s="24"/>
      <c r="BA486" s="24"/>
      <c r="BB486" s="25"/>
      <c r="BC486" s="26"/>
      <c r="BD486" s="24"/>
      <c r="BE486" s="24"/>
      <c r="BF486" s="24"/>
      <c r="BG486" s="24"/>
      <c r="BH486" s="24"/>
      <c r="BI486" s="24"/>
      <c r="BJ486" s="24"/>
      <c r="BK486" s="24"/>
      <c r="BL486" s="24"/>
      <c r="BM486" s="24"/>
      <c r="BN486" s="24"/>
      <c r="BO486" s="25"/>
      <c r="BP486" s="26"/>
      <c r="BQ486" s="24"/>
      <c r="BR486" s="24"/>
      <c r="BS486" s="24"/>
      <c r="BT486" s="24"/>
      <c r="BU486" s="24"/>
      <c r="BV486" s="24"/>
      <c r="BW486" s="24"/>
      <c r="BX486" s="24"/>
      <c r="BY486" s="24"/>
      <c r="BZ486" s="24"/>
      <c r="CA486" s="24"/>
      <c r="CB486" s="25"/>
      <c r="CC486" s="26"/>
      <c r="CD486" s="24"/>
      <c r="CE486" s="24"/>
      <c r="CF486" s="24"/>
      <c r="CG486" s="24"/>
      <c r="CH486" s="24"/>
      <c r="CI486" s="24"/>
      <c r="CJ486" s="24"/>
      <c r="CK486" s="24"/>
      <c r="CL486" s="24"/>
      <c r="CM486" s="24"/>
      <c r="CN486" s="24"/>
      <c r="CO486" s="25"/>
      <c r="CP486" s="26"/>
      <c r="CQ486" s="24"/>
      <c r="CR486" s="24"/>
      <c r="CS486" s="24"/>
      <c r="CT486" s="24"/>
      <c r="CU486" s="24"/>
      <c r="CV486" s="24"/>
      <c r="CW486" s="24"/>
      <c r="CX486" s="24"/>
      <c r="CY486" s="24"/>
      <c r="CZ486" s="24"/>
      <c r="DA486" s="24"/>
      <c r="DB486" s="25"/>
      <c r="DC486" s="26"/>
      <c r="DD486" s="24"/>
      <c r="DE486" s="24"/>
      <c r="DF486" s="24"/>
      <c r="DG486" s="24"/>
      <c r="DH486" s="24"/>
      <c r="DI486" s="24"/>
      <c r="DJ486" s="24"/>
      <c r="DK486" s="24"/>
      <c r="DL486" s="24"/>
      <c r="DM486" s="24"/>
      <c r="DN486" s="24"/>
      <c r="DO486" s="25"/>
      <c r="DP486" s="26"/>
      <c r="DQ486" s="24"/>
      <c r="DR486" s="24"/>
      <c r="DS486" s="24"/>
      <c r="DT486" s="24"/>
      <c r="DU486" s="24"/>
      <c r="DV486" s="24"/>
      <c r="DW486" s="24"/>
      <c r="DX486" s="24"/>
      <c r="DY486" s="24"/>
      <c r="DZ486" s="24"/>
      <c r="EA486" s="24"/>
      <c r="EB486" s="25"/>
      <c r="EC486" s="26"/>
      <c r="ED486" s="24"/>
      <c r="EE486" s="24"/>
      <c r="EF486" s="24"/>
      <c r="EG486" s="24"/>
      <c r="EH486" s="24"/>
      <c r="EI486" s="24"/>
      <c r="EJ486" s="24"/>
      <c r="EK486" s="24"/>
      <c r="EL486" s="24"/>
      <c r="EM486" s="24"/>
      <c r="EN486" s="24"/>
      <c r="EO486" s="25"/>
      <c r="EP486" s="26"/>
      <c r="EQ486" s="24"/>
      <c r="ER486" s="24"/>
      <c r="ES486" s="24"/>
      <c r="ET486" s="24"/>
      <c r="EU486" s="24"/>
      <c r="EV486" s="24"/>
      <c r="EW486" s="24"/>
      <c r="EX486" s="24"/>
      <c r="EY486" s="24"/>
      <c r="EZ486" s="24"/>
      <c r="FA486" s="24"/>
      <c r="FB486" s="25"/>
      <c r="FC486" s="26"/>
      <c r="FD486" s="24"/>
      <c r="FE486" s="24"/>
      <c r="FF486" s="24"/>
      <c r="FG486" s="24"/>
      <c r="FH486" s="24"/>
      <c r="FI486" s="24"/>
      <c r="FJ486" s="24"/>
      <c r="FK486" s="24"/>
      <c r="FL486" s="24"/>
      <c r="FM486" s="24"/>
      <c r="FN486" s="24"/>
      <c r="FO486" s="27">
        <f t="shared" ref="FO486:FV486" si="479">IFERROR(R486*1,0)+IFERROR(AE486*1,0)+IFERROR(AR486*1,0)+IFERROR(BE486*1,0)+IFERROR(BR486*1,0)+IFERROR(CE486*1,0)+IFERROR(CR486*1,0)+IFERROR(DE486*1,0)+IFERROR(DR486*1,0)+IFERROR(EE486*1,0)+IFERROR(ER486*1,0)+IFERROR(FE486*1,0)</f>
        <v>0</v>
      </c>
      <c r="FP486" s="27">
        <f t="shared" si="479"/>
        <v>0</v>
      </c>
      <c r="FQ486" s="27">
        <f t="shared" si="479"/>
        <v>0</v>
      </c>
      <c r="FR486" s="27">
        <f t="shared" si="479"/>
        <v>0</v>
      </c>
      <c r="FS486" s="27">
        <f t="shared" si="479"/>
        <v>0</v>
      </c>
      <c r="FT486" s="27">
        <f t="shared" si="479"/>
        <v>0</v>
      </c>
      <c r="FU486" s="27">
        <f t="shared" si="479"/>
        <v>0</v>
      </c>
      <c r="FV486" s="27">
        <f t="shared" si="479"/>
        <v>0</v>
      </c>
      <c r="FW486" s="28"/>
      <c r="FX486" s="29">
        <f t="shared" si="3"/>
        <v>0</v>
      </c>
    </row>
    <row r="487" spans="1:180" ht="18" customHeight="1" x14ac:dyDescent="0.25">
      <c r="A487" s="3" t="str">
        <f>IF(C487&lt;&gt;"","DRG-"&amp;TEXT(482,"000"),"")</f>
        <v/>
      </c>
      <c r="B487" s="33"/>
      <c r="C487" s="33"/>
      <c r="D487" s="33"/>
      <c r="E487" s="33"/>
      <c r="F487" s="33"/>
      <c r="G487" s="33"/>
      <c r="H487" s="33"/>
      <c r="I487" s="33"/>
      <c r="J487" s="33"/>
      <c r="K487" s="33"/>
      <c r="L487" s="37">
        <v>4</v>
      </c>
      <c r="M487" s="30" t="str">
        <f t="shared" si="0"/>
        <v>✘ Pending</v>
      </c>
      <c r="N487" s="30">
        <f t="shared" si="1"/>
        <v>0</v>
      </c>
      <c r="O487" s="31"/>
      <c r="P487" s="32"/>
      <c r="Q487" s="33"/>
      <c r="R487" s="33"/>
      <c r="S487" s="33"/>
      <c r="T487" s="33"/>
      <c r="U487" s="33"/>
      <c r="V487" s="33"/>
      <c r="W487" s="33"/>
      <c r="X487" s="33"/>
      <c r="Y487" s="33"/>
      <c r="Z487" s="33"/>
      <c r="AA487" s="33"/>
      <c r="AB487" s="31"/>
      <c r="AC487" s="32"/>
      <c r="AD487" s="33"/>
      <c r="AE487" s="33"/>
      <c r="AF487" s="33"/>
      <c r="AG487" s="33"/>
      <c r="AH487" s="33"/>
      <c r="AI487" s="33"/>
      <c r="AJ487" s="33"/>
      <c r="AK487" s="33"/>
      <c r="AL487" s="33"/>
      <c r="AM487" s="33"/>
      <c r="AN487" s="33"/>
      <c r="AO487" s="31"/>
      <c r="AP487" s="32"/>
      <c r="AQ487" s="33"/>
      <c r="AR487" s="33"/>
      <c r="AS487" s="33"/>
      <c r="AT487" s="33"/>
      <c r="AU487" s="33"/>
      <c r="AV487" s="33"/>
      <c r="AW487" s="33"/>
      <c r="AX487" s="33"/>
      <c r="AY487" s="33"/>
      <c r="AZ487" s="33"/>
      <c r="BA487" s="33"/>
      <c r="BB487" s="31"/>
      <c r="BC487" s="32"/>
      <c r="BD487" s="33"/>
      <c r="BE487" s="33"/>
      <c r="BF487" s="33"/>
      <c r="BG487" s="33"/>
      <c r="BH487" s="33"/>
      <c r="BI487" s="33"/>
      <c r="BJ487" s="33"/>
      <c r="BK487" s="33"/>
      <c r="BL487" s="33"/>
      <c r="BM487" s="33"/>
      <c r="BN487" s="33"/>
      <c r="BO487" s="31"/>
      <c r="BP487" s="32"/>
      <c r="BQ487" s="33"/>
      <c r="BR487" s="33"/>
      <c r="BS487" s="33"/>
      <c r="BT487" s="33"/>
      <c r="BU487" s="33"/>
      <c r="BV487" s="33"/>
      <c r="BW487" s="33"/>
      <c r="BX487" s="33"/>
      <c r="BY487" s="33"/>
      <c r="BZ487" s="33"/>
      <c r="CA487" s="33"/>
      <c r="CB487" s="31"/>
      <c r="CC487" s="32"/>
      <c r="CD487" s="33"/>
      <c r="CE487" s="33"/>
      <c r="CF487" s="33"/>
      <c r="CG487" s="33"/>
      <c r="CH487" s="33"/>
      <c r="CI487" s="33"/>
      <c r="CJ487" s="33"/>
      <c r="CK487" s="33"/>
      <c r="CL487" s="33"/>
      <c r="CM487" s="33"/>
      <c r="CN487" s="33"/>
      <c r="CO487" s="31"/>
      <c r="CP487" s="32"/>
      <c r="CQ487" s="33"/>
      <c r="CR487" s="33"/>
      <c r="CS487" s="33"/>
      <c r="CT487" s="33"/>
      <c r="CU487" s="33"/>
      <c r="CV487" s="33"/>
      <c r="CW487" s="33"/>
      <c r="CX487" s="33"/>
      <c r="CY487" s="33"/>
      <c r="CZ487" s="33"/>
      <c r="DA487" s="33"/>
      <c r="DB487" s="31"/>
      <c r="DC487" s="32"/>
      <c r="DD487" s="33"/>
      <c r="DE487" s="33"/>
      <c r="DF487" s="33"/>
      <c r="DG487" s="33"/>
      <c r="DH487" s="33"/>
      <c r="DI487" s="33"/>
      <c r="DJ487" s="33"/>
      <c r="DK487" s="33"/>
      <c r="DL487" s="33"/>
      <c r="DM487" s="33"/>
      <c r="DN487" s="33"/>
      <c r="DO487" s="31"/>
      <c r="DP487" s="32"/>
      <c r="DQ487" s="33"/>
      <c r="DR487" s="33"/>
      <c r="DS487" s="33"/>
      <c r="DT487" s="33"/>
      <c r="DU487" s="33"/>
      <c r="DV487" s="33"/>
      <c r="DW487" s="33"/>
      <c r="DX487" s="33"/>
      <c r="DY487" s="33"/>
      <c r="DZ487" s="33"/>
      <c r="EA487" s="33"/>
      <c r="EB487" s="31"/>
      <c r="EC487" s="32"/>
      <c r="ED487" s="33"/>
      <c r="EE487" s="33"/>
      <c r="EF487" s="33"/>
      <c r="EG487" s="33"/>
      <c r="EH487" s="33"/>
      <c r="EI487" s="33"/>
      <c r="EJ487" s="33"/>
      <c r="EK487" s="33"/>
      <c r="EL487" s="33"/>
      <c r="EM487" s="33"/>
      <c r="EN487" s="33"/>
      <c r="EO487" s="31"/>
      <c r="EP487" s="32"/>
      <c r="EQ487" s="33"/>
      <c r="ER487" s="33"/>
      <c r="ES487" s="33"/>
      <c r="ET487" s="33"/>
      <c r="EU487" s="33"/>
      <c r="EV487" s="33"/>
      <c r="EW487" s="33"/>
      <c r="EX487" s="33"/>
      <c r="EY487" s="33"/>
      <c r="EZ487" s="33"/>
      <c r="FA487" s="33"/>
      <c r="FB487" s="31"/>
      <c r="FC487" s="32"/>
      <c r="FD487" s="33"/>
      <c r="FE487" s="33"/>
      <c r="FF487" s="33"/>
      <c r="FG487" s="33"/>
      <c r="FH487" s="33"/>
      <c r="FI487" s="33"/>
      <c r="FJ487" s="33"/>
      <c r="FK487" s="33"/>
      <c r="FL487" s="33"/>
      <c r="FM487" s="33"/>
      <c r="FN487" s="33"/>
      <c r="FO487" s="34">
        <f t="shared" ref="FO487:FV487" si="480">IFERROR(R487*1,0)+IFERROR(AE487*1,0)+IFERROR(AR487*1,0)+IFERROR(BE487*1,0)+IFERROR(BR487*1,0)+IFERROR(CE487*1,0)+IFERROR(CR487*1,0)+IFERROR(DE487*1,0)+IFERROR(DR487*1,0)+IFERROR(EE487*1,0)+IFERROR(ER487*1,0)+IFERROR(FE487*1,0)</f>
        <v>0</v>
      </c>
      <c r="FP487" s="34">
        <f t="shared" si="480"/>
        <v>0</v>
      </c>
      <c r="FQ487" s="34">
        <f t="shared" si="480"/>
        <v>0</v>
      </c>
      <c r="FR487" s="34">
        <f t="shared" si="480"/>
        <v>0</v>
      </c>
      <c r="FS487" s="34">
        <f t="shared" si="480"/>
        <v>0</v>
      </c>
      <c r="FT487" s="34">
        <f t="shared" si="480"/>
        <v>0</v>
      </c>
      <c r="FU487" s="34">
        <f t="shared" si="480"/>
        <v>0</v>
      </c>
      <c r="FV487" s="34">
        <f t="shared" si="480"/>
        <v>0</v>
      </c>
      <c r="FW487" s="28"/>
      <c r="FX487" s="29">
        <f t="shared" si="3"/>
        <v>0</v>
      </c>
    </row>
    <row r="488" spans="1:180" ht="18" customHeight="1" x14ac:dyDescent="0.25">
      <c r="A488" s="3" t="str">
        <f>IF(C488&lt;&gt;"","DRG-"&amp;TEXT(483,"000"),"")</f>
        <v/>
      </c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38">
        <v>4</v>
      </c>
      <c r="M488" s="23" t="str">
        <f t="shared" si="0"/>
        <v>✘ Pending</v>
      </c>
      <c r="N488" s="23">
        <f t="shared" si="1"/>
        <v>0</v>
      </c>
      <c r="O488" s="25"/>
      <c r="P488" s="26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  <c r="AB488" s="25"/>
      <c r="AC488" s="26"/>
      <c r="AD488" s="24"/>
      <c r="AE488" s="24"/>
      <c r="AF488" s="24"/>
      <c r="AG488" s="24"/>
      <c r="AH488" s="24"/>
      <c r="AI488" s="24"/>
      <c r="AJ488" s="24"/>
      <c r="AK488" s="24"/>
      <c r="AL488" s="24"/>
      <c r="AM488" s="24"/>
      <c r="AN488" s="24"/>
      <c r="AO488" s="25"/>
      <c r="AP488" s="26"/>
      <c r="AQ488" s="24"/>
      <c r="AR488" s="24"/>
      <c r="AS488" s="24"/>
      <c r="AT488" s="24"/>
      <c r="AU488" s="24"/>
      <c r="AV488" s="24"/>
      <c r="AW488" s="24"/>
      <c r="AX488" s="24"/>
      <c r="AY488" s="24"/>
      <c r="AZ488" s="24"/>
      <c r="BA488" s="24"/>
      <c r="BB488" s="25"/>
      <c r="BC488" s="26"/>
      <c r="BD488" s="24"/>
      <c r="BE488" s="24"/>
      <c r="BF488" s="24"/>
      <c r="BG488" s="24"/>
      <c r="BH488" s="24"/>
      <c r="BI488" s="24"/>
      <c r="BJ488" s="24"/>
      <c r="BK488" s="24"/>
      <c r="BL488" s="24"/>
      <c r="BM488" s="24"/>
      <c r="BN488" s="24"/>
      <c r="BO488" s="25"/>
      <c r="BP488" s="26"/>
      <c r="BQ488" s="24"/>
      <c r="BR488" s="24"/>
      <c r="BS488" s="24"/>
      <c r="BT488" s="24"/>
      <c r="BU488" s="24"/>
      <c r="BV488" s="24"/>
      <c r="BW488" s="24"/>
      <c r="BX488" s="24"/>
      <c r="BY488" s="24"/>
      <c r="BZ488" s="24"/>
      <c r="CA488" s="24"/>
      <c r="CB488" s="25"/>
      <c r="CC488" s="26"/>
      <c r="CD488" s="24"/>
      <c r="CE488" s="24"/>
      <c r="CF488" s="24"/>
      <c r="CG488" s="24"/>
      <c r="CH488" s="24"/>
      <c r="CI488" s="24"/>
      <c r="CJ488" s="24"/>
      <c r="CK488" s="24"/>
      <c r="CL488" s="24"/>
      <c r="CM488" s="24"/>
      <c r="CN488" s="24"/>
      <c r="CO488" s="25"/>
      <c r="CP488" s="26"/>
      <c r="CQ488" s="24"/>
      <c r="CR488" s="24"/>
      <c r="CS488" s="24"/>
      <c r="CT488" s="24"/>
      <c r="CU488" s="24"/>
      <c r="CV488" s="24"/>
      <c r="CW488" s="24"/>
      <c r="CX488" s="24"/>
      <c r="CY488" s="24"/>
      <c r="CZ488" s="24"/>
      <c r="DA488" s="24"/>
      <c r="DB488" s="25"/>
      <c r="DC488" s="26"/>
      <c r="DD488" s="24"/>
      <c r="DE488" s="24"/>
      <c r="DF488" s="24"/>
      <c r="DG488" s="24"/>
      <c r="DH488" s="24"/>
      <c r="DI488" s="24"/>
      <c r="DJ488" s="24"/>
      <c r="DK488" s="24"/>
      <c r="DL488" s="24"/>
      <c r="DM488" s="24"/>
      <c r="DN488" s="24"/>
      <c r="DO488" s="25"/>
      <c r="DP488" s="26"/>
      <c r="DQ488" s="24"/>
      <c r="DR488" s="24"/>
      <c r="DS488" s="24"/>
      <c r="DT488" s="24"/>
      <c r="DU488" s="24"/>
      <c r="DV488" s="24"/>
      <c r="DW488" s="24"/>
      <c r="DX488" s="24"/>
      <c r="DY488" s="24"/>
      <c r="DZ488" s="24"/>
      <c r="EA488" s="24"/>
      <c r="EB488" s="25"/>
      <c r="EC488" s="26"/>
      <c r="ED488" s="24"/>
      <c r="EE488" s="24"/>
      <c r="EF488" s="24"/>
      <c r="EG488" s="24"/>
      <c r="EH488" s="24"/>
      <c r="EI488" s="24"/>
      <c r="EJ488" s="24"/>
      <c r="EK488" s="24"/>
      <c r="EL488" s="24"/>
      <c r="EM488" s="24"/>
      <c r="EN488" s="24"/>
      <c r="EO488" s="25"/>
      <c r="EP488" s="26"/>
      <c r="EQ488" s="24"/>
      <c r="ER488" s="24"/>
      <c r="ES488" s="24"/>
      <c r="ET488" s="24"/>
      <c r="EU488" s="24"/>
      <c r="EV488" s="24"/>
      <c r="EW488" s="24"/>
      <c r="EX488" s="24"/>
      <c r="EY488" s="24"/>
      <c r="EZ488" s="24"/>
      <c r="FA488" s="24"/>
      <c r="FB488" s="25"/>
      <c r="FC488" s="26"/>
      <c r="FD488" s="24"/>
      <c r="FE488" s="24"/>
      <c r="FF488" s="24"/>
      <c r="FG488" s="24"/>
      <c r="FH488" s="24"/>
      <c r="FI488" s="24"/>
      <c r="FJ488" s="24"/>
      <c r="FK488" s="24"/>
      <c r="FL488" s="24"/>
      <c r="FM488" s="24"/>
      <c r="FN488" s="24"/>
      <c r="FO488" s="27">
        <f t="shared" ref="FO488:FV488" si="481">IFERROR(R488*1,0)+IFERROR(AE488*1,0)+IFERROR(AR488*1,0)+IFERROR(BE488*1,0)+IFERROR(BR488*1,0)+IFERROR(CE488*1,0)+IFERROR(CR488*1,0)+IFERROR(DE488*1,0)+IFERROR(DR488*1,0)+IFERROR(EE488*1,0)+IFERROR(ER488*1,0)+IFERROR(FE488*1,0)</f>
        <v>0</v>
      </c>
      <c r="FP488" s="27">
        <f t="shared" si="481"/>
        <v>0</v>
      </c>
      <c r="FQ488" s="27">
        <f t="shared" si="481"/>
        <v>0</v>
      </c>
      <c r="FR488" s="27">
        <f t="shared" si="481"/>
        <v>0</v>
      </c>
      <c r="FS488" s="27">
        <f t="shared" si="481"/>
        <v>0</v>
      </c>
      <c r="FT488" s="27">
        <f t="shared" si="481"/>
        <v>0</v>
      </c>
      <c r="FU488" s="27">
        <f t="shared" si="481"/>
        <v>0</v>
      </c>
      <c r="FV488" s="27">
        <f t="shared" si="481"/>
        <v>0</v>
      </c>
      <c r="FW488" s="28"/>
      <c r="FX488" s="29">
        <f t="shared" si="3"/>
        <v>0</v>
      </c>
    </row>
    <row r="489" spans="1:180" ht="18" customHeight="1" x14ac:dyDescent="0.25">
      <c r="A489" s="3" t="str">
        <f>IF(C489&lt;&gt;"","DRG-"&amp;TEXT(484,"000"),"")</f>
        <v/>
      </c>
      <c r="B489" s="33"/>
      <c r="C489" s="33"/>
      <c r="D489" s="33"/>
      <c r="E489" s="33"/>
      <c r="F489" s="33"/>
      <c r="G489" s="33"/>
      <c r="H489" s="33"/>
      <c r="I489" s="33"/>
      <c r="J489" s="33"/>
      <c r="K489" s="33"/>
      <c r="L489" s="37">
        <v>4</v>
      </c>
      <c r="M489" s="30" t="str">
        <f t="shared" si="0"/>
        <v>✘ Pending</v>
      </c>
      <c r="N489" s="30">
        <f t="shared" si="1"/>
        <v>0</v>
      </c>
      <c r="O489" s="31"/>
      <c r="P489" s="32"/>
      <c r="Q489" s="33"/>
      <c r="R489" s="33"/>
      <c r="S489" s="33"/>
      <c r="T489" s="33"/>
      <c r="U489" s="33"/>
      <c r="V489" s="33"/>
      <c r="W489" s="33"/>
      <c r="X489" s="33"/>
      <c r="Y489" s="33"/>
      <c r="Z489" s="33"/>
      <c r="AA489" s="33"/>
      <c r="AB489" s="31"/>
      <c r="AC489" s="32"/>
      <c r="AD489" s="33"/>
      <c r="AE489" s="33"/>
      <c r="AF489" s="33"/>
      <c r="AG489" s="33"/>
      <c r="AH489" s="33"/>
      <c r="AI489" s="33"/>
      <c r="AJ489" s="33"/>
      <c r="AK489" s="33"/>
      <c r="AL489" s="33"/>
      <c r="AM489" s="33"/>
      <c r="AN489" s="33"/>
      <c r="AO489" s="31"/>
      <c r="AP489" s="32"/>
      <c r="AQ489" s="33"/>
      <c r="AR489" s="33"/>
      <c r="AS489" s="33"/>
      <c r="AT489" s="33"/>
      <c r="AU489" s="33"/>
      <c r="AV489" s="33"/>
      <c r="AW489" s="33"/>
      <c r="AX489" s="33"/>
      <c r="AY489" s="33"/>
      <c r="AZ489" s="33"/>
      <c r="BA489" s="33"/>
      <c r="BB489" s="31"/>
      <c r="BC489" s="32"/>
      <c r="BD489" s="33"/>
      <c r="BE489" s="33"/>
      <c r="BF489" s="33"/>
      <c r="BG489" s="33"/>
      <c r="BH489" s="33"/>
      <c r="BI489" s="33"/>
      <c r="BJ489" s="33"/>
      <c r="BK489" s="33"/>
      <c r="BL489" s="33"/>
      <c r="BM489" s="33"/>
      <c r="BN489" s="33"/>
      <c r="BO489" s="31"/>
      <c r="BP489" s="32"/>
      <c r="BQ489" s="33"/>
      <c r="BR489" s="33"/>
      <c r="BS489" s="33"/>
      <c r="BT489" s="33"/>
      <c r="BU489" s="33"/>
      <c r="BV489" s="33"/>
      <c r="BW489" s="33"/>
      <c r="BX489" s="33"/>
      <c r="BY489" s="33"/>
      <c r="BZ489" s="33"/>
      <c r="CA489" s="33"/>
      <c r="CB489" s="31"/>
      <c r="CC489" s="32"/>
      <c r="CD489" s="33"/>
      <c r="CE489" s="33"/>
      <c r="CF489" s="33"/>
      <c r="CG489" s="33"/>
      <c r="CH489" s="33"/>
      <c r="CI489" s="33"/>
      <c r="CJ489" s="33"/>
      <c r="CK489" s="33"/>
      <c r="CL489" s="33"/>
      <c r="CM489" s="33"/>
      <c r="CN489" s="33"/>
      <c r="CO489" s="31"/>
      <c r="CP489" s="32"/>
      <c r="CQ489" s="33"/>
      <c r="CR489" s="33"/>
      <c r="CS489" s="33"/>
      <c r="CT489" s="33"/>
      <c r="CU489" s="33"/>
      <c r="CV489" s="33"/>
      <c r="CW489" s="33"/>
      <c r="CX489" s="33"/>
      <c r="CY489" s="33"/>
      <c r="CZ489" s="33"/>
      <c r="DA489" s="33"/>
      <c r="DB489" s="31"/>
      <c r="DC489" s="32"/>
      <c r="DD489" s="33"/>
      <c r="DE489" s="33"/>
      <c r="DF489" s="33"/>
      <c r="DG489" s="33"/>
      <c r="DH489" s="33"/>
      <c r="DI489" s="33"/>
      <c r="DJ489" s="33"/>
      <c r="DK489" s="33"/>
      <c r="DL489" s="33"/>
      <c r="DM489" s="33"/>
      <c r="DN489" s="33"/>
      <c r="DO489" s="31"/>
      <c r="DP489" s="32"/>
      <c r="DQ489" s="33"/>
      <c r="DR489" s="33"/>
      <c r="DS489" s="33"/>
      <c r="DT489" s="33"/>
      <c r="DU489" s="33"/>
      <c r="DV489" s="33"/>
      <c r="DW489" s="33"/>
      <c r="DX489" s="33"/>
      <c r="DY489" s="33"/>
      <c r="DZ489" s="33"/>
      <c r="EA489" s="33"/>
      <c r="EB489" s="31"/>
      <c r="EC489" s="32"/>
      <c r="ED489" s="33"/>
      <c r="EE489" s="33"/>
      <c r="EF489" s="33"/>
      <c r="EG489" s="33"/>
      <c r="EH489" s="33"/>
      <c r="EI489" s="33"/>
      <c r="EJ489" s="33"/>
      <c r="EK489" s="33"/>
      <c r="EL489" s="33"/>
      <c r="EM489" s="33"/>
      <c r="EN489" s="33"/>
      <c r="EO489" s="31"/>
      <c r="EP489" s="32"/>
      <c r="EQ489" s="33"/>
      <c r="ER489" s="33"/>
      <c r="ES489" s="33"/>
      <c r="ET489" s="33"/>
      <c r="EU489" s="33"/>
      <c r="EV489" s="33"/>
      <c r="EW489" s="33"/>
      <c r="EX489" s="33"/>
      <c r="EY489" s="33"/>
      <c r="EZ489" s="33"/>
      <c r="FA489" s="33"/>
      <c r="FB489" s="31"/>
      <c r="FC489" s="32"/>
      <c r="FD489" s="33"/>
      <c r="FE489" s="33"/>
      <c r="FF489" s="33"/>
      <c r="FG489" s="33"/>
      <c r="FH489" s="33"/>
      <c r="FI489" s="33"/>
      <c r="FJ489" s="33"/>
      <c r="FK489" s="33"/>
      <c r="FL489" s="33"/>
      <c r="FM489" s="33"/>
      <c r="FN489" s="33"/>
      <c r="FO489" s="34">
        <f t="shared" ref="FO489:FV489" si="482">IFERROR(R489*1,0)+IFERROR(AE489*1,0)+IFERROR(AR489*1,0)+IFERROR(BE489*1,0)+IFERROR(BR489*1,0)+IFERROR(CE489*1,0)+IFERROR(CR489*1,0)+IFERROR(DE489*1,0)+IFERROR(DR489*1,0)+IFERROR(EE489*1,0)+IFERROR(ER489*1,0)+IFERROR(FE489*1,0)</f>
        <v>0</v>
      </c>
      <c r="FP489" s="34">
        <f t="shared" si="482"/>
        <v>0</v>
      </c>
      <c r="FQ489" s="34">
        <f t="shared" si="482"/>
        <v>0</v>
      </c>
      <c r="FR489" s="34">
        <f t="shared" si="482"/>
        <v>0</v>
      </c>
      <c r="FS489" s="34">
        <f t="shared" si="482"/>
        <v>0</v>
      </c>
      <c r="FT489" s="34">
        <f t="shared" si="482"/>
        <v>0</v>
      </c>
      <c r="FU489" s="34">
        <f t="shared" si="482"/>
        <v>0</v>
      </c>
      <c r="FV489" s="34">
        <f t="shared" si="482"/>
        <v>0</v>
      </c>
      <c r="FW489" s="28"/>
      <c r="FX489" s="29">
        <f t="shared" si="3"/>
        <v>0</v>
      </c>
    </row>
    <row r="490" spans="1:180" ht="18" customHeight="1" x14ac:dyDescent="0.25">
      <c r="A490" s="3" t="str">
        <f>IF(C490&lt;&gt;"","DRG-"&amp;TEXT(485,"000"),"")</f>
        <v/>
      </c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38">
        <v>4</v>
      </c>
      <c r="M490" s="23" t="str">
        <f t="shared" si="0"/>
        <v>✘ Pending</v>
      </c>
      <c r="N490" s="23">
        <f t="shared" si="1"/>
        <v>0</v>
      </c>
      <c r="O490" s="25"/>
      <c r="P490" s="26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  <c r="AB490" s="25"/>
      <c r="AC490" s="26"/>
      <c r="AD490" s="24"/>
      <c r="AE490" s="24"/>
      <c r="AF490" s="24"/>
      <c r="AG490" s="24"/>
      <c r="AH490" s="24"/>
      <c r="AI490" s="24"/>
      <c r="AJ490" s="24"/>
      <c r="AK490" s="24"/>
      <c r="AL490" s="24"/>
      <c r="AM490" s="24"/>
      <c r="AN490" s="24"/>
      <c r="AO490" s="25"/>
      <c r="AP490" s="26"/>
      <c r="AQ490" s="24"/>
      <c r="AR490" s="24"/>
      <c r="AS490" s="24"/>
      <c r="AT490" s="24"/>
      <c r="AU490" s="24"/>
      <c r="AV490" s="24"/>
      <c r="AW490" s="24"/>
      <c r="AX490" s="24"/>
      <c r="AY490" s="24"/>
      <c r="AZ490" s="24"/>
      <c r="BA490" s="24"/>
      <c r="BB490" s="25"/>
      <c r="BC490" s="26"/>
      <c r="BD490" s="24"/>
      <c r="BE490" s="24"/>
      <c r="BF490" s="24"/>
      <c r="BG490" s="24"/>
      <c r="BH490" s="24"/>
      <c r="BI490" s="24"/>
      <c r="BJ490" s="24"/>
      <c r="BK490" s="24"/>
      <c r="BL490" s="24"/>
      <c r="BM490" s="24"/>
      <c r="BN490" s="24"/>
      <c r="BO490" s="25"/>
      <c r="BP490" s="26"/>
      <c r="BQ490" s="24"/>
      <c r="BR490" s="24"/>
      <c r="BS490" s="24"/>
      <c r="BT490" s="24"/>
      <c r="BU490" s="24"/>
      <c r="BV490" s="24"/>
      <c r="BW490" s="24"/>
      <c r="BX490" s="24"/>
      <c r="BY490" s="24"/>
      <c r="BZ490" s="24"/>
      <c r="CA490" s="24"/>
      <c r="CB490" s="25"/>
      <c r="CC490" s="26"/>
      <c r="CD490" s="24"/>
      <c r="CE490" s="24"/>
      <c r="CF490" s="24"/>
      <c r="CG490" s="24"/>
      <c r="CH490" s="24"/>
      <c r="CI490" s="24"/>
      <c r="CJ490" s="24"/>
      <c r="CK490" s="24"/>
      <c r="CL490" s="24"/>
      <c r="CM490" s="24"/>
      <c r="CN490" s="24"/>
      <c r="CO490" s="25"/>
      <c r="CP490" s="26"/>
      <c r="CQ490" s="24"/>
      <c r="CR490" s="24"/>
      <c r="CS490" s="24"/>
      <c r="CT490" s="24"/>
      <c r="CU490" s="24"/>
      <c r="CV490" s="24"/>
      <c r="CW490" s="24"/>
      <c r="CX490" s="24"/>
      <c r="CY490" s="24"/>
      <c r="CZ490" s="24"/>
      <c r="DA490" s="24"/>
      <c r="DB490" s="25"/>
      <c r="DC490" s="26"/>
      <c r="DD490" s="24"/>
      <c r="DE490" s="24"/>
      <c r="DF490" s="24"/>
      <c r="DG490" s="24"/>
      <c r="DH490" s="24"/>
      <c r="DI490" s="24"/>
      <c r="DJ490" s="24"/>
      <c r="DK490" s="24"/>
      <c r="DL490" s="24"/>
      <c r="DM490" s="24"/>
      <c r="DN490" s="24"/>
      <c r="DO490" s="25"/>
      <c r="DP490" s="26"/>
      <c r="DQ490" s="24"/>
      <c r="DR490" s="24"/>
      <c r="DS490" s="24"/>
      <c r="DT490" s="24"/>
      <c r="DU490" s="24"/>
      <c r="DV490" s="24"/>
      <c r="DW490" s="24"/>
      <c r="DX490" s="24"/>
      <c r="DY490" s="24"/>
      <c r="DZ490" s="24"/>
      <c r="EA490" s="24"/>
      <c r="EB490" s="25"/>
      <c r="EC490" s="26"/>
      <c r="ED490" s="24"/>
      <c r="EE490" s="24"/>
      <c r="EF490" s="24"/>
      <c r="EG490" s="24"/>
      <c r="EH490" s="24"/>
      <c r="EI490" s="24"/>
      <c r="EJ490" s="24"/>
      <c r="EK490" s="24"/>
      <c r="EL490" s="24"/>
      <c r="EM490" s="24"/>
      <c r="EN490" s="24"/>
      <c r="EO490" s="25"/>
      <c r="EP490" s="26"/>
      <c r="EQ490" s="24"/>
      <c r="ER490" s="24"/>
      <c r="ES490" s="24"/>
      <c r="ET490" s="24"/>
      <c r="EU490" s="24"/>
      <c r="EV490" s="24"/>
      <c r="EW490" s="24"/>
      <c r="EX490" s="24"/>
      <c r="EY490" s="24"/>
      <c r="EZ490" s="24"/>
      <c r="FA490" s="24"/>
      <c r="FB490" s="25"/>
      <c r="FC490" s="26"/>
      <c r="FD490" s="24"/>
      <c r="FE490" s="24"/>
      <c r="FF490" s="24"/>
      <c r="FG490" s="24"/>
      <c r="FH490" s="24"/>
      <c r="FI490" s="24"/>
      <c r="FJ490" s="24"/>
      <c r="FK490" s="24"/>
      <c r="FL490" s="24"/>
      <c r="FM490" s="24"/>
      <c r="FN490" s="24"/>
      <c r="FO490" s="27">
        <f t="shared" ref="FO490:FV490" si="483">IFERROR(R490*1,0)+IFERROR(AE490*1,0)+IFERROR(AR490*1,0)+IFERROR(BE490*1,0)+IFERROR(BR490*1,0)+IFERROR(CE490*1,0)+IFERROR(CR490*1,0)+IFERROR(DE490*1,0)+IFERROR(DR490*1,0)+IFERROR(EE490*1,0)+IFERROR(ER490*1,0)+IFERROR(FE490*1,0)</f>
        <v>0</v>
      </c>
      <c r="FP490" s="27">
        <f t="shared" si="483"/>
        <v>0</v>
      </c>
      <c r="FQ490" s="27">
        <f t="shared" si="483"/>
        <v>0</v>
      </c>
      <c r="FR490" s="27">
        <f t="shared" si="483"/>
        <v>0</v>
      </c>
      <c r="FS490" s="27">
        <f t="shared" si="483"/>
        <v>0</v>
      </c>
      <c r="FT490" s="27">
        <f t="shared" si="483"/>
        <v>0</v>
      </c>
      <c r="FU490" s="27">
        <f t="shared" si="483"/>
        <v>0</v>
      </c>
      <c r="FV490" s="27">
        <f t="shared" si="483"/>
        <v>0</v>
      </c>
      <c r="FW490" s="28"/>
      <c r="FX490" s="29">
        <f t="shared" si="3"/>
        <v>0</v>
      </c>
    </row>
    <row r="491" spans="1:180" ht="18" customHeight="1" x14ac:dyDescent="0.25">
      <c r="A491" s="3" t="str">
        <f>IF(C491&lt;&gt;"","DRG-"&amp;TEXT(486,"000"),"")</f>
        <v/>
      </c>
      <c r="B491" s="33"/>
      <c r="C491" s="33"/>
      <c r="D491" s="33"/>
      <c r="E491" s="33"/>
      <c r="F491" s="33"/>
      <c r="G491" s="33"/>
      <c r="H491" s="33"/>
      <c r="I491" s="33"/>
      <c r="J491" s="33"/>
      <c r="K491" s="33"/>
      <c r="L491" s="37">
        <v>4</v>
      </c>
      <c r="M491" s="30" t="str">
        <f t="shared" si="0"/>
        <v>✘ Pending</v>
      </c>
      <c r="N491" s="30">
        <f t="shared" si="1"/>
        <v>0</v>
      </c>
      <c r="O491" s="31"/>
      <c r="P491" s="32"/>
      <c r="Q491" s="33"/>
      <c r="R491" s="33"/>
      <c r="S491" s="33"/>
      <c r="T491" s="33"/>
      <c r="U491" s="33"/>
      <c r="V491" s="33"/>
      <c r="W491" s="33"/>
      <c r="X491" s="33"/>
      <c r="Y491" s="33"/>
      <c r="Z491" s="33"/>
      <c r="AA491" s="33"/>
      <c r="AB491" s="31"/>
      <c r="AC491" s="32"/>
      <c r="AD491" s="33"/>
      <c r="AE491" s="33"/>
      <c r="AF491" s="33"/>
      <c r="AG491" s="33"/>
      <c r="AH491" s="33"/>
      <c r="AI491" s="33"/>
      <c r="AJ491" s="33"/>
      <c r="AK491" s="33"/>
      <c r="AL491" s="33"/>
      <c r="AM491" s="33"/>
      <c r="AN491" s="33"/>
      <c r="AO491" s="31"/>
      <c r="AP491" s="32"/>
      <c r="AQ491" s="33"/>
      <c r="AR491" s="33"/>
      <c r="AS491" s="33"/>
      <c r="AT491" s="33"/>
      <c r="AU491" s="33"/>
      <c r="AV491" s="33"/>
      <c r="AW491" s="33"/>
      <c r="AX491" s="33"/>
      <c r="AY491" s="33"/>
      <c r="AZ491" s="33"/>
      <c r="BA491" s="33"/>
      <c r="BB491" s="31"/>
      <c r="BC491" s="32"/>
      <c r="BD491" s="33"/>
      <c r="BE491" s="33"/>
      <c r="BF491" s="33"/>
      <c r="BG491" s="33"/>
      <c r="BH491" s="33"/>
      <c r="BI491" s="33"/>
      <c r="BJ491" s="33"/>
      <c r="BK491" s="33"/>
      <c r="BL491" s="33"/>
      <c r="BM491" s="33"/>
      <c r="BN491" s="33"/>
      <c r="BO491" s="31"/>
      <c r="BP491" s="32"/>
      <c r="BQ491" s="33"/>
      <c r="BR491" s="33"/>
      <c r="BS491" s="33"/>
      <c r="BT491" s="33"/>
      <c r="BU491" s="33"/>
      <c r="BV491" s="33"/>
      <c r="BW491" s="33"/>
      <c r="BX491" s="33"/>
      <c r="BY491" s="33"/>
      <c r="BZ491" s="33"/>
      <c r="CA491" s="33"/>
      <c r="CB491" s="31"/>
      <c r="CC491" s="32"/>
      <c r="CD491" s="33"/>
      <c r="CE491" s="33"/>
      <c r="CF491" s="33"/>
      <c r="CG491" s="33"/>
      <c r="CH491" s="33"/>
      <c r="CI491" s="33"/>
      <c r="CJ491" s="33"/>
      <c r="CK491" s="33"/>
      <c r="CL491" s="33"/>
      <c r="CM491" s="33"/>
      <c r="CN491" s="33"/>
      <c r="CO491" s="31"/>
      <c r="CP491" s="32"/>
      <c r="CQ491" s="33"/>
      <c r="CR491" s="33"/>
      <c r="CS491" s="33"/>
      <c r="CT491" s="33"/>
      <c r="CU491" s="33"/>
      <c r="CV491" s="33"/>
      <c r="CW491" s="33"/>
      <c r="CX491" s="33"/>
      <c r="CY491" s="33"/>
      <c r="CZ491" s="33"/>
      <c r="DA491" s="33"/>
      <c r="DB491" s="31"/>
      <c r="DC491" s="32"/>
      <c r="DD491" s="33"/>
      <c r="DE491" s="33"/>
      <c r="DF491" s="33"/>
      <c r="DG491" s="33"/>
      <c r="DH491" s="33"/>
      <c r="DI491" s="33"/>
      <c r="DJ491" s="33"/>
      <c r="DK491" s="33"/>
      <c r="DL491" s="33"/>
      <c r="DM491" s="33"/>
      <c r="DN491" s="33"/>
      <c r="DO491" s="31"/>
      <c r="DP491" s="32"/>
      <c r="DQ491" s="33"/>
      <c r="DR491" s="33"/>
      <c r="DS491" s="33"/>
      <c r="DT491" s="33"/>
      <c r="DU491" s="33"/>
      <c r="DV491" s="33"/>
      <c r="DW491" s="33"/>
      <c r="DX491" s="33"/>
      <c r="DY491" s="33"/>
      <c r="DZ491" s="33"/>
      <c r="EA491" s="33"/>
      <c r="EB491" s="31"/>
      <c r="EC491" s="32"/>
      <c r="ED491" s="33"/>
      <c r="EE491" s="33"/>
      <c r="EF491" s="33"/>
      <c r="EG491" s="33"/>
      <c r="EH491" s="33"/>
      <c r="EI491" s="33"/>
      <c r="EJ491" s="33"/>
      <c r="EK491" s="33"/>
      <c r="EL491" s="33"/>
      <c r="EM491" s="33"/>
      <c r="EN491" s="33"/>
      <c r="EO491" s="31"/>
      <c r="EP491" s="32"/>
      <c r="EQ491" s="33"/>
      <c r="ER491" s="33"/>
      <c r="ES491" s="33"/>
      <c r="ET491" s="33"/>
      <c r="EU491" s="33"/>
      <c r="EV491" s="33"/>
      <c r="EW491" s="33"/>
      <c r="EX491" s="33"/>
      <c r="EY491" s="33"/>
      <c r="EZ491" s="33"/>
      <c r="FA491" s="33"/>
      <c r="FB491" s="31"/>
      <c r="FC491" s="32"/>
      <c r="FD491" s="33"/>
      <c r="FE491" s="33"/>
      <c r="FF491" s="33"/>
      <c r="FG491" s="33"/>
      <c r="FH491" s="33"/>
      <c r="FI491" s="33"/>
      <c r="FJ491" s="33"/>
      <c r="FK491" s="33"/>
      <c r="FL491" s="33"/>
      <c r="FM491" s="33"/>
      <c r="FN491" s="33"/>
      <c r="FO491" s="34">
        <f t="shared" ref="FO491:FV491" si="484">IFERROR(R491*1,0)+IFERROR(AE491*1,0)+IFERROR(AR491*1,0)+IFERROR(BE491*1,0)+IFERROR(BR491*1,0)+IFERROR(CE491*1,0)+IFERROR(CR491*1,0)+IFERROR(DE491*1,0)+IFERROR(DR491*1,0)+IFERROR(EE491*1,0)+IFERROR(ER491*1,0)+IFERROR(FE491*1,0)</f>
        <v>0</v>
      </c>
      <c r="FP491" s="34">
        <f t="shared" si="484"/>
        <v>0</v>
      </c>
      <c r="FQ491" s="34">
        <f t="shared" si="484"/>
        <v>0</v>
      </c>
      <c r="FR491" s="34">
        <f t="shared" si="484"/>
        <v>0</v>
      </c>
      <c r="FS491" s="34">
        <f t="shared" si="484"/>
        <v>0</v>
      </c>
      <c r="FT491" s="34">
        <f t="shared" si="484"/>
        <v>0</v>
      </c>
      <c r="FU491" s="34">
        <f t="shared" si="484"/>
        <v>0</v>
      </c>
      <c r="FV491" s="34">
        <f t="shared" si="484"/>
        <v>0</v>
      </c>
      <c r="FW491" s="28"/>
      <c r="FX491" s="29">
        <f t="shared" si="3"/>
        <v>0</v>
      </c>
    </row>
    <row r="492" spans="1:180" ht="18" customHeight="1" x14ac:dyDescent="0.25">
      <c r="A492" s="3" t="str">
        <f>IF(C492&lt;&gt;"","DRG-"&amp;TEXT(487,"000"),"")</f>
        <v/>
      </c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38">
        <v>4</v>
      </c>
      <c r="M492" s="23" t="str">
        <f t="shared" si="0"/>
        <v>✘ Pending</v>
      </c>
      <c r="N492" s="23">
        <f t="shared" si="1"/>
        <v>0</v>
      </c>
      <c r="O492" s="25"/>
      <c r="P492" s="26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  <c r="AB492" s="25"/>
      <c r="AC492" s="26"/>
      <c r="AD492" s="24"/>
      <c r="AE492" s="24"/>
      <c r="AF492" s="24"/>
      <c r="AG492" s="24"/>
      <c r="AH492" s="24"/>
      <c r="AI492" s="24"/>
      <c r="AJ492" s="24"/>
      <c r="AK492" s="24"/>
      <c r="AL492" s="24"/>
      <c r="AM492" s="24"/>
      <c r="AN492" s="24"/>
      <c r="AO492" s="25"/>
      <c r="AP492" s="26"/>
      <c r="AQ492" s="24"/>
      <c r="AR492" s="24"/>
      <c r="AS492" s="24"/>
      <c r="AT492" s="24"/>
      <c r="AU492" s="24"/>
      <c r="AV492" s="24"/>
      <c r="AW492" s="24"/>
      <c r="AX492" s="24"/>
      <c r="AY492" s="24"/>
      <c r="AZ492" s="24"/>
      <c r="BA492" s="24"/>
      <c r="BB492" s="25"/>
      <c r="BC492" s="26"/>
      <c r="BD492" s="24"/>
      <c r="BE492" s="24"/>
      <c r="BF492" s="24"/>
      <c r="BG492" s="24"/>
      <c r="BH492" s="24"/>
      <c r="BI492" s="24"/>
      <c r="BJ492" s="24"/>
      <c r="BK492" s="24"/>
      <c r="BL492" s="24"/>
      <c r="BM492" s="24"/>
      <c r="BN492" s="24"/>
      <c r="BO492" s="25"/>
      <c r="BP492" s="26"/>
      <c r="BQ492" s="24"/>
      <c r="BR492" s="24"/>
      <c r="BS492" s="24"/>
      <c r="BT492" s="24"/>
      <c r="BU492" s="24"/>
      <c r="BV492" s="24"/>
      <c r="BW492" s="24"/>
      <c r="BX492" s="24"/>
      <c r="BY492" s="24"/>
      <c r="BZ492" s="24"/>
      <c r="CA492" s="24"/>
      <c r="CB492" s="25"/>
      <c r="CC492" s="26"/>
      <c r="CD492" s="24"/>
      <c r="CE492" s="24"/>
      <c r="CF492" s="24"/>
      <c r="CG492" s="24"/>
      <c r="CH492" s="24"/>
      <c r="CI492" s="24"/>
      <c r="CJ492" s="24"/>
      <c r="CK492" s="24"/>
      <c r="CL492" s="24"/>
      <c r="CM492" s="24"/>
      <c r="CN492" s="24"/>
      <c r="CO492" s="25"/>
      <c r="CP492" s="26"/>
      <c r="CQ492" s="24"/>
      <c r="CR492" s="24"/>
      <c r="CS492" s="24"/>
      <c r="CT492" s="24"/>
      <c r="CU492" s="24"/>
      <c r="CV492" s="24"/>
      <c r="CW492" s="24"/>
      <c r="CX492" s="24"/>
      <c r="CY492" s="24"/>
      <c r="CZ492" s="24"/>
      <c r="DA492" s="24"/>
      <c r="DB492" s="25"/>
      <c r="DC492" s="26"/>
      <c r="DD492" s="24"/>
      <c r="DE492" s="24"/>
      <c r="DF492" s="24"/>
      <c r="DG492" s="24"/>
      <c r="DH492" s="24"/>
      <c r="DI492" s="24"/>
      <c r="DJ492" s="24"/>
      <c r="DK492" s="24"/>
      <c r="DL492" s="24"/>
      <c r="DM492" s="24"/>
      <c r="DN492" s="24"/>
      <c r="DO492" s="25"/>
      <c r="DP492" s="26"/>
      <c r="DQ492" s="24"/>
      <c r="DR492" s="24"/>
      <c r="DS492" s="24"/>
      <c r="DT492" s="24"/>
      <c r="DU492" s="24"/>
      <c r="DV492" s="24"/>
      <c r="DW492" s="24"/>
      <c r="DX492" s="24"/>
      <c r="DY492" s="24"/>
      <c r="DZ492" s="24"/>
      <c r="EA492" s="24"/>
      <c r="EB492" s="25"/>
      <c r="EC492" s="26"/>
      <c r="ED492" s="24"/>
      <c r="EE492" s="24"/>
      <c r="EF492" s="24"/>
      <c r="EG492" s="24"/>
      <c r="EH492" s="24"/>
      <c r="EI492" s="24"/>
      <c r="EJ492" s="24"/>
      <c r="EK492" s="24"/>
      <c r="EL492" s="24"/>
      <c r="EM492" s="24"/>
      <c r="EN492" s="24"/>
      <c r="EO492" s="25"/>
      <c r="EP492" s="26"/>
      <c r="EQ492" s="24"/>
      <c r="ER492" s="24"/>
      <c r="ES492" s="24"/>
      <c r="ET492" s="24"/>
      <c r="EU492" s="24"/>
      <c r="EV492" s="24"/>
      <c r="EW492" s="24"/>
      <c r="EX492" s="24"/>
      <c r="EY492" s="24"/>
      <c r="EZ492" s="24"/>
      <c r="FA492" s="24"/>
      <c r="FB492" s="25"/>
      <c r="FC492" s="26"/>
      <c r="FD492" s="24"/>
      <c r="FE492" s="24"/>
      <c r="FF492" s="24"/>
      <c r="FG492" s="24"/>
      <c r="FH492" s="24"/>
      <c r="FI492" s="24"/>
      <c r="FJ492" s="24"/>
      <c r="FK492" s="24"/>
      <c r="FL492" s="24"/>
      <c r="FM492" s="24"/>
      <c r="FN492" s="24"/>
      <c r="FO492" s="27">
        <f t="shared" ref="FO492:FV492" si="485">IFERROR(R492*1,0)+IFERROR(AE492*1,0)+IFERROR(AR492*1,0)+IFERROR(BE492*1,0)+IFERROR(BR492*1,0)+IFERROR(CE492*1,0)+IFERROR(CR492*1,0)+IFERROR(DE492*1,0)+IFERROR(DR492*1,0)+IFERROR(EE492*1,0)+IFERROR(ER492*1,0)+IFERROR(FE492*1,0)</f>
        <v>0</v>
      </c>
      <c r="FP492" s="27">
        <f t="shared" si="485"/>
        <v>0</v>
      </c>
      <c r="FQ492" s="27">
        <f t="shared" si="485"/>
        <v>0</v>
      </c>
      <c r="FR492" s="27">
        <f t="shared" si="485"/>
        <v>0</v>
      </c>
      <c r="FS492" s="27">
        <f t="shared" si="485"/>
        <v>0</v>
      </c>
      <c r="FT492" s="27">
        <f t="shared" si="485"/>
        <v>0</v>
      </c>
      <c r="FU492" s="27">
        <f t="shared" si="485"/>
        <v>0</v>
      </c>
      <c r="FV492" s="27">
        <f t="shared" si="485"/>
        <v>0</v>
      </c>
      <c r="FW492" s="28"/>
      <c r="FX492" s="29">
        <f t="shared" si="3"/>
        <v>0</v>
      </c>
    </row>
    <row r="493" spans="1:180" ht="18" customHeight="1" x14ac:dyDescent="0.25">
      <c r="A493" s="3" t="str">
        <f>IF(C493&lt;&gt;"","DRG-"&amp;TEXT(488,"000"),"")</f>
        <v/>
      </c>
      <c r="B493" s="33"/>
      <c r="C493" s="33"/>
      <c r="D493" s="33"/>
      <c r="E493" s="33"/>
      <c r="F493" s="33"/>
      <c r="G493" s="33"/>
      <c r="H493" s="33"/>
      <c r="I493" s="33"/>
      <c r="J493" s="33"/>
      <c r="K493" s="33"/>
      <c r="L493" s="37">
        <v>4</v>
      </c>
      <c r="M493" s="30" t="str">
        <f t="shared" si="0"/>
        <v>✘ Pending</v>
      </c>
      <c r="N493" s="30">
        <f t="shared" si="1"/>
        <v>0</v>
      </c>
      <c r="O493" s="31"/>
      <c r="P493" s="32"/>
      <c r="Q493" s="33"/>
      <c r="R493" s="33"/>
      <c r="S493" s="33"/>
      <c r="T493" s="33"/>
      <c r="U493" s="33"/>
      <c r="V493" s="33"/>
      <c r="W493" s="33"/>
      <c r="X493" s="33"/>
      <c r="Y493" s="33"/>
      <c r="Z493" s="33"/>
      <c r="AA493" s="33"/>
      <c r="AB493" s="31"/>
      <c r="AC493" s="32"/>
      <c r="AD493" s="33"/>
      <c r="AE493" s="33"/>
      <c r="AF493" s="33"/>
      <c r="AG493" s="33"/>
      <c r="AH493" s="33"/>
      <c r="AI493" s="33"/>
      <c r="AJ493" s="33"/>
      <c r="AK493" s="33"/>
      <c r="AL493" s="33"/>
      <c r="AM493" s="33"/>
      <c r="AN493" s="33"/>
      <c r="AO493" s="31"/>
      <c r="AP493" s="32"/>
      <c r="AQ493" s="33"/>
      <c r="AR493" s="33"/>
      <c r="AS493" s="33"/>
      <c r="AT493" s="33"/>
      <c r="AU493" s="33"/>
      <c r="AV493" s="33"/>
      <c r="AW493" s="33"/>
      <c r="AX493" s="33"/>
      <c r="AY493" s="33"/>
      <c r="AZ493" s="33"/>
      <c r="BA493" s="33"/>
      <c r="BB493" s="31"/>
      <c r="BC493" s="32"/>
      <c r="BD493" s="33"/>
      <c r="BE493" s="33"/>
      <c r="BF493" s="33"/>
      <c r="BG493" s="33"/>
      <c r="BH493" s="33"/>
      <c r="BI493" s="33"/>
      <c r="BJ493" s="33"/>
      <c r="BK493" s="33"/>
      <c r="BL493" s="33"/>
      <c r="BM493" s="33"/>
      <c r="BN493" s="33"/>
      <c r="BO493" s="31"/>
      <c r="BP493" s="32"/>
      <c r="BQ493" s="33"/>
      <c r="BR493" s="33"/>
      <c r="BS493" s="33"/>
      <c r="BT493" s="33"/>
      <c r="BU493" s="33"/>
      <c r="BV493" s="33"/>
      <c r="BW493" s="33"/>
      <c r="BX493" s="33"/>
      <c r="BY493" s="33"/>
      <c r="BZ493" s="33"/>
      <c r="CA493" s="33"/>
      <c r="CB493" s="31"/>
      <c r="CC493" s="32"/>
      <c r="CD493" s="33"/>
      <c r="CE493" s="33"/>
      <c r="CF493" s="33"/>
      <c r="CG493" s="33"/>
      <c r="CH493" s="33"/>
      <c r="CI493" s="33"/>
      <c r="CJ493" s="33"/>
      <c r="CK493" s="33"/>
      <c r="CL493" s="33"/>
      <c r="CM493" s="33"/>
      <c r="CN493" s="33"/>
      <c r="CO493" s="31"/>
      <c r="CP493" s="32"/>
      <c r="CQ493" s="33"/>
      <c r="CR493" s="33"/>
      <c r="CS493" s="33"/>
      <c r="CT493" s="33"/>
      <c r="CU493" s="33"/>
      <c r="CV493" s="33"/>
      <c r="CW493" s="33"/>
      <c r="CX493" s="33"/>
      <c r="CY493" s="33"/>
      <c r="CZ493" s="33"/>
      <c r="DA493" s="33"/>
      <c r="DB493" s="31"/>
      <c r="DC493" s="32"/>
      <c r="DD493" s="33"/>
      <c r="DE493" s="33"/>
      <c r="DF493" s="33"/>
      <c r="DG493" s="33"/>
      <c r="DH493" s="33"/>
      <c r="DI493" s="33"/>
      <c r="DJ493" s="33"/>
      <c r="DK493" s="33"/>
      <c r="DL493" s="33"/>
      <c r="DM493" s="33"/>
      <c r="DN493" s="33"/>
      <c r="DO493" s="31"/>
      <c r="DP493" s="32"/>
      <c r="DQ493" s="33"/>
      <c r="DR493" s="33"/>
      <c r="DS493" s="33"/>
      <c r="DT493" s="33"/>
      <c r="DU493" s="33"/>
      <c r="DV493" s="33"/>
      <c r="DW493" s="33"/>
      <c r="DX493" s="33"/>
      <c r="DY493" s="33"/>
      <c r="DZ493" s="33"/>
      <c r="EA493" s="33"/>
      <c r="EB493" s="31"/>
      <c r="EC493" s="32"/>
      <c r="ED493" s="33"/>
      <c r="EE493" s="33"/>
      <c r="EF493" s="33"/>
      <c r="EG493" s="33"/>
      <c r="EH493" s="33"/>
      <c r="EI493" s="33"/>
      <c r="EJ493" s="33"/>
      <c r="EK493" s="33"/>
      <c r="EL493" s="33"/>
      <c r="EM493" s="33"/>
      <c r="EN493" s="33"/>
      <c r="EO493" s="31"/>
      <c r="EP493" s="32"/>
      <c r="EQ493" s="33"/>
      <c r="ER493" s="33"/>
      <c r="ES493" s="33"/>
      <c r="ET493" s="33"/>
      <c r="EU493" s="33"/>
      <c r="EV493" s="33"/>
      <c r="EW493" s="33"/>
      <c r="EX493" s="33"/>
      <c r="EY493" s="33"/>
      <c r="EZ493" s="33"/>
      <c r="FA493" s="33"/>
      <c r="FB493" s="31"/>
      <c r="FC493" s="32"/>
      <c r="FD493" s="33"/>
      <c r="FE493" s="33"/>
      <c r="FF493" s="33"/>
      <c r="FG493" s="33"/>
      <c r="FH493" s="33"/>
      <c r="FI493" s="33"/>
      <c r="FJ493" s="33"/>
      <c r="FK493" s="33"/>
      <c r="FL493" s="33"/>
      <c r="FM493" s="33"/>
      <c r="FN493" s="33"/>
      <c r="FO493" s="34">
        <f t="shared" ref="FO493:FV493" si="486">IFERROR(R493*1,0)+IFERROR(AE493*1,0)+IFERROR(AR493*1,0)+IFERROR(BE493*1,0)+IFERROR(BR493*1,0)+IFERROR(CE493*1,0)+IFERROR(CR493*1,0)+IFERROR(DE493*1,0)+IFERROR(DR493*1,0)+IFERROR(EE493*1,0)+IFERROR(ER493*1,0)+IFERROR(FE493*1,0)</f>
        <v>0</v>
      </c>
      <c r="FP493" s="34">
        <f t="shared" si="486"/>
        <v>0</v>
      </c>
      <c r="FQ493" s="34">
        <f t="shared" si="486"/>
        <v>0</v>
      </c>
      <c r="FR493" s="34">
        <f t="shared" si="486"/>
        <v>0</v>
      </c>
      <c r="FS493" s="34">
        <f t="shared" si="486"/>
        <v>0</v>
      </c>
      <c r="FT493" s="34">
        <f t="shared" si="486"/>
        <v>0</v>
      </c>
      <c r="FU493" s="34">
        <f t="shared" si="486"/>
        <v>0</v>
      </c>
      <c r="FV493" s="34">
        <f t="shared" si="486"/>
        <v>0</v>
      </c>
      <c r="FW493" s="28"/>
      <c r="FX493" s="29">
        <f t="shared" si="3"/>
        <v>0</v>
      </c>
    </row>
    <row r="494" spans="1:180" ht="18" customHeight="1" x14ac:dyDescent="0.25">
      <c r="A494" s="3" t="str">
        <f>IF(C494&lt;&gt;"","DRG-"&amp;TEXT(489,"000"),"")</f>
        <v/>
      </c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38">
        <v>4</v>
      </c>
      <c r="M494" s="23" t="str">
        <f t="shared" si="0"/>
        <v>✘ Pending</v>
      </c>
      <c r="N494" s="23">
        <f t="shared" si="1"/>
        <v>0</v>
      </c>
      <c r="O494" s="25"/>
      <c r="P494" s="26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  <c r="AB494" s="25"/>
      <c r="AC494" s="26"/>
      <c r="AD494" s="24"/>
      <c r="AE494" s="24"/>
      <c r="AF494" s="24"/>
      <c r="AG494" s="24"/>
      <c r="AH494" s="24"/>
      <c r="AI494" s="24"/>
      <c r="AJ494" s="24"/>
      <c r="AK494" s="24"/>
      <c r="AL494" s="24"/>
      <c r="AM494" s="24"/>
      <c r="AN494" s="24"/>
      <c r="AO494" s="25"/>
      <c r="AP494" s="26"/>
      <c r="AQ494" s="24"/>
      <c r="AR494" s="24"/>
      <c r="AS494" s="24"/>
      <c r="AT494" s="24"/>
      <c r="AU494" s="24"/>
      <c r="AV494" s="24"/>
      <c r="AW494" s="24"/>
      <c r="AX494" s="24"/>
      <c r="AY494" s="24"/>
      <c r="AZ494" s="24"/>
      <c r="BA494" s="24"/>
      <c r="BB494" s="25"/>
      <c r="BC494" s="26"/>
      <c r="BD494" s="24"/>
      <c r="BE494" s="24"/>
      <c r="BF494" s="24"/>
      <c r="BG494" s="24"/>
      <c r="BH494" s="24"/>
      <c r="BI494" s="24"/>
      <c r="BJ494" s="24"/>
      <c r="BK494" s="24"/>
      <c r="BL494" s="24"/>
      <c r="BM494" s="24"/>
      <c r="BN494" s="24"/>
      <c r="BO494" s="25"/>
      <c r="BP494" s="26"/>
      <c r="BQ494" s="24"/>
      <c r="BR494" s="24"/>
      <c r="BS494" s="24"/>
      <c r="BT494" s="24"/>
      <c r="BU494" s="24"/>
      <c r="BV494" s="24"/>
      <c r="BW494" s="24"/>
      <c r="BX494" s="24"/>
      <c r="BY494" s="24"/>
      <c r="BZ494" s="24"/>
      <c r="CA494" s="24"/>
      <c r="CB494" s="25"/>
      <c r="CC494" s="26"/>
      <c r="CD494" s="24"/>
      <c r="CE494" s="24"/>
      <c r="CF494" s="24"/>
      <c r="CG494" s="24"/>
      <c r="CH494" s="24"/>
      <c r="CI494" s="24"/>
      <c r="CJ494" s="24"/>
      <c r="CK494" s="24"/>
      <c r="CL494" s="24"/>
      <c r="CM494" s="24"/>
      <c r="CN494" s="24"/>
      <c r="CO494" s="25"/>
      <c r="CP494" s="26"/>
      <c r="CQ494" s="24"/>
      <c r="CR494" s="24"/>
      <c r="CS494" s="24"/>
      <c r="CT494" s="24"/>
      <c r="CU494" s="24"/>
      <c r="CV494" s="24"/>
      <c r="CW494" s="24"/>
      <c r="CX494" s="24"/>
      <c r="CY494" s="24"/>
      <c r="CZ494" s="24"/>
      <c r="DA494" s="24"/>
      <c r="DB494" s="25"/>
      <c r="DC494" s="26"/>
      <c r="DD494" s="24"/>
      <c r="DE494" s="24"/>
      <c r="DF494" s="24"/>
      <c r="DG494" s="24"/>
      <c r="DH494" s="24"/>
      <c r="DI494" s="24"/>
      <c r="DJ494" s="24"/>
      <c r="DK494" s="24"/>
      <c r="DL494" s="24"/>
      <c r="DM494" s="24"/>
      <c r="DN494" s="24"/>
      <c r="DO494" s="25"/>
      <c r="DP494" s="26"/>
      <c r="DQ494" s="24"/>
      <c r="DR494" s="24"/>
      <c r="DS494" s="24"/>
      <c r="DT494" s="24"/>
      <c r="DU494" s="24"/>
      <c r="DV494" s="24"/>
      <c r="DW494" s="24"/>
      <c r="DX494" s="24"/>
      <c r="DY494" s="24"/>
      <c r="DZ494" s="24"/>
      <c r="EA494" s="24"/>
      <c r="EB494" s="25"/>
      <c r="EC494" s="26"/>
      <c r="ED494" s="24"/>
      <c r="EE494" s="24"/>
      <c r="EF494" s="24"/>
      <c r="EG494" s="24"/>
      <c r="EH494" s="24"/>
      <c r="EI494" s="24"/>
      <c r="EJ494" s="24"/>
      <c r="EK494" s="24"/>
      <c r="EL494" s="24"/>
      <c r="EM494" s="24"/>
      <c r="EN494" s="24"/>
      <c r="EO494" s="25"/>
      <c r="EP494" s="26"/>
      <c r="EQ494" s="24"/>
      <c r="ER494" s="24"/>
      <c r="ES494" s="24"/>
      <c r="ET494" s="24"/>
      <c r="EU494" s="24"/>
      <c r="EV494" s="24"/>
      <c r="EW494" s="24"/>
      <c r="EX494" s="24"/>
      <c r="EY494" s="24"/>
      <c r="EZ494" s="24"/>
      <c r="FA494" s="24"/>
      <c r="FB494" s="25"/>
      <c r="FC494" s="26"/>
      <c r="FD494" s="24"/>
      <c r="FE494" s="24"/>
      <c r="FF494" s="24"/>
      <c r="FG494" s="24"/>
      <c r="FH494" s="24"/>
      <c r="FI494" s="24"/>
      <c r="FJ494" s="24"/>
      <c r="FK494" s="24"/>
      <c r="FL494" s="24"/>
      <c r="FM494" s="24"/>
      <c r="FN494" s="24"/>
      <c r="FO494" s="27">
        <f t="shared" ref="FO494:FV494" si="487">IFERROR(R494*1,0)+IFERROR(AE494*1,0)+IFERROR(AR494*1,0)+IFERROR(BE494*1,0)+IFERROR(BR494*1,0)+IFERROR(CE494*1,0)+IFERROR(CR494*1,0)+IFERROR(DE494*1,0)+IFERROR(DR494*1,0)+IFERROR(EE494*1,0)+IFERROR(ER494*1,0)+IFERROR(FE494*1,0)</f>
        <v>0</v>
      </c>
      <c r="FP494" s="27">
        <f t="shared" si="487"/>
        <v>0</v>
      </c>
      <c r="FQ494" s="27">
        <f t="shared" si="487"/>
        <v>0</v>
      </c>
      <c r="FR494" s="27">
        <f t="shared" si="487"/>
        <v>0</v>
      </c>
      <c r="FS494" s="27">
        <f t="shared" si="487"/>
        <v>0</v>
      </c>
      <c r="FT494" s="27">
        <f t="shared" si="487"/>
        <v>0</v>
      </c>
      <c r="FU494" s="27">
        <f t="shared" si="487"/>
        <v>0</v>
      </c>
      <c r="FV494" s="27">
        <f t="shared" si="487"/>
        <v>0</v>
      </c>
      <c r="FW494" s="28"/>
      <c r="FX494" s="29">
        <f t="shared" si="3"/>
        <v>0</v>
      </c>
    </row>
    <row r="495" spans="1:180" ht="18" customHeight="1" x14ac:dyDescent="0.25">
      <c r="A495" s="3" t="str">
        <f>IF(C495&lt;&gt;"","DRG-"&amp;TEXT(490,"000"),"")</f>
        <v/>
      </c>
      <c r="B495" s="33"/>
      <c r="C495" s="33"/>
      <c r="D495" s="33"/>
      <c r="E495" s="33"/>
      <c r="F495" s="33"/>
      <c r="G495" s="33"/>
      <c r="H495" s="33"/>
      <c r="I495" s="33"/>
      <c r="J495" s="33"/>
      <c r="K495" s="33"/>
      <c r="L495" s="37">
        <v>4</v>
      </c>
      <c r="M495" s="30" t="str">
        <f t="shared" si="0"/>
        <v>✘ Pending</v>
      </c>
      <c r="N495" s="30">
        <f t="shared" si="1"/>
        <v>0</v>
      </c>
      <c r="O495" s="31"/>
      <c r="P495" s="32"/>
      <c r="Q495" s="33"/>
      <c r="R495" s="33"/>
      <c r="S495" s="33"/>
      <c r="T495" s="33"/>
      <c r="U495" s="33"/>
      <c r="V495" s="33"/>
      <c r="W495" s="33"/>
      <c r="X495" s="33"/>
      <c r="Y495" s="33"/>
      <c r="Z495" s="33"/>
      <c r="AA495" s="33"/>
      <c r="AB495" s="31"/>
      <c r="AC495" s="32"/>
      <c r="AD495" s="33"/>
      <c r="AE495" s="33"/>
      <c r="AF495" s="33"/>
      <c r="AG495" s="33"/>
      <c r="AH495" s="33"/>
      <c r="AI495" s="33"/>
      <c r="AJ495" s="33"/>
      <c r="AK495" s="33"/>
      <c r="AL495" s="33"/>
      <c r="AM495" s="33"/>
      <c r="AN495" s="33"/>
      <c r="AO495" s="31"/>
      <c r="AP495" s="32"/>
      <c r="AQ495" s="33"/>
      <c r="AR495" s="33"/>
      <c r="AS495" s="33"/>
      <c r="AT495" s="33"/>
      <c r="AU495" s="33"/>
      <c r="AV495" s="33"/>
      <c r="AW495" s="33"/>
      <c r="AX495" s="33"/>
      <c r="AY495" s="33"/>
      <c r="AZ495" s="33"/>
      <c r="BA495" s="33"/>
      <c r="BB495" s="31"/>
      <c r="BC495" s="32"/>
      <c r="BD495" s="33"/>
      <c r="BE495" s="33"/>
      <c r="BF495" s="33"/>
      <c r="BG495" s="33"/>
      <c r="BH495" s="33"/>
      <c r="BI495" s="33"/>
      <c r="BJ495" s="33"/>
      <c r="BK495" s="33"/>
      <c r="BL495" s="33"/>
      <c r="BM495" s="33"/>
      <c r="BN495" s="33"/>
      <c r="BO495" s="31"/>
      <c r="BP495" s="32"/>
      <c r="BQ495" s="33"/>
      <c r="BR495" s="33"/>
      <c r="BS495" s="33"/>
      <c r="BT495" s="33"/>
      <c r="BU495" s="33"/>
      <c r="BV495" s="33"/>
      <c r="BW495" s="33"/>
      <c r="BX495" s="33"/>
      <c r="BY495" s="33"/>
      <c r="BZ495" s="33"/>
      <c r="CA495" s="33"/>
      <c r="CB495" s="31"/>
      <c r="CC495" s="32"/>
      <c r="CD495" s="33"/>
      <c r="CE495" s="33"/>
      <c r="CF495" s="33"/>
      <c r="CG495" s="33"/>
      <c r="CH495" s="33"/>
      <c r="CI495" s="33"/>
      <c r="CJ495" s="33"/>
      <c r="CK495" s="33"/>
      <c r="CL495" s="33"/>
      <c r="CM495" s="33"/>
      <c r="CN495" s="33"/>
      <c r="CO495" s="31"/>
      <c r="CP495" s="32"/>
      <c r="CQ495" s="33"/>
      <c r="CR495" s="33"/>
      <c r="CS495" s="33"/>
      <c r="CT495" s="33"/>
      <c r="CU495" s="33"/>
      <c r="CV495" s="33"/>
      <c r="CW495" s="33"/>
      <c r="CX495" s="33"/>
      <c r="CY495" s="33"/>
      <c r="CZ495" s="33"/>
      <c r="DA495" s="33"/>
      <c r="DB495" s="31"/>
      <c r="DC495" s="32"/>
      <c r="DD495" s="33"/>
      <c r="DE495" s="33"/>
      <c r="DF495" s="33"/>
      <c r="DG495" s="33"/>
      <c r="DH495" s="33"/>
      <c r="DI495" s="33"/>
      <c r="DJ495" s="33"/>
      <c r="DK495" s="33"/>
      <c r="DL495" s="33"/>
      <c r="DM495" s="33"/>
      <c r="DN495" s="33"/>
      <c r="DO495" s="31"/>
      <c r="DP495" s="32"/>
      <c r="DQ495" s="33"/>
      <c r="DR495" s="33"/>
      <c r="DS495" s="33"/>
      <c r="DT495" s="33"/>
      <c r="DU495" s="33"/>
      <c r="DV495" s="33"/>
      <c r="DW495" s="33"/>
      <c r="DX495" s="33"/>
      <c r="DY495" s="33"/>
      <c r="DZ495" s="33"/>
      <c r="EA495" s="33"/>
      <c r="EB495" s="31"/>
      <c r="EC495" s="32"/>
      <c r="ED495" s="33"/>
      <c r="EE495" s="33"/>
      <c r="EF495" s="33"/>
      <c r="EG495" s="33"/>
      <c r="EH495" s="33"/>
      <c r="EI495" s="33"/>
      <c r="EJ495" s="33"/>
      <c r="EK495" s="33"/>
      <c r="EL495" s="33"/>
      <c r="EM495" s="33"/>
      <c r="EN495" s="33"/>
      <c r="EO495" s="31"/>
      <c r="EP495" s="32"/>
      <c r="EQ495" s="33"/>
      <c r="ER495" s="33"/>
      <c r="ES495" s="33"/>
      <c r="ET495" s="33"/>
      <c r="EU495" s="33"/>
      <c r="EV495" s="33"/>
      <c r="EW495" s="33"/>
      <c r="EX495" s="33"/>
      <c r="EY495" s="33"/>
      <c r="EZ495" s="33"/>
      <c r="FA495" s="33"/>
      <c r="FB495" s="31"/>
      <c r="FC495" s="32"/>
      <c r="FD495" s="33"/>
      <c r="FE495" s="33"/>
      <c r="FF495" s="33"/>
      <c r="FG495" s="33"/>
      <c r="FH495" s="33"/>
      <c r="FI495" s="33"/>
      <c r="FJ495" s="33"/>
      <c r="FK495" s="33"/>
      <c r="FL495" s="33"/>
      <c r="FM495" s="33"/>
      <c r="FN495" s="33"/>
      <c r="FO495" s="34">
        <f t="shared" ref="FO495:FV495" si="488">IFERROR(R495*1,0)+IFERROR(AE495*1,0)+IFERROR(AR495*1,0)+IFERROR(BE495*1,0)+IFERROR(BR495*1,0)+IFERROR(CE495*1,0)+IFERROR(CR495*1,0)+IFERROR(DE495*1,0)+IFERROR(DR495*1,0)+IFERROR(EE495*1,0)+IFERROR(ER495*1,0)+IFERROR(FE495*1,0)</f>
        <v>0</v>
      </c>
      <c r="FP495" s="34">
        <f t="shared" si="488"/>
        <v>0</v>
      </c>
      <c r="FQ495" s="34">
        <f t="shared" si="488"/>
        <v>0</v>
      </c>
      <c r="FR495" s="34">
        <f t="shared" si="488"/>
        <v>0</v>
      </c>
      <c r="FS495" s="34">
        <f t="shared" si="488"/>
        <v>0</v>
      </c>
      <c r="FT495" s="34">
        <f t="shared" si="488"/>
        <v>0</v>
      </c>
      <c r="FU495" s="34">
        <f t="shared" si="488"/>
        <v>0</v>
      </c>
      <c r="FV495" s="34">
        <f t="shared" si="488"/>
        <v>0</v>
      </c>
      <c r="FW495" s="28"/>
      <c r="FX495" s="29">
        <f t="shared" si="3"/>
        <v>0</v>
      </c>
    </row>
    <row r="496" spans="1:180" ht="18" customHeight="1" x14ac:dyDescent="0.25">
      <c r="A496" s="3" t="str">
        <f>IF(C496&lt;&gt;"","DRG-"&amp;TEXT(491,"000"),"")</f>
        <v/>
      </c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38">
        <v>4</v>
      </c>
      <c r="M496" s="23" t="str">
        <f t="shared" si="0"/>
        <v>✘ Pending</v>
      </c>
      <c r="N496" s="23">
        <f t="shared" si="1"/>
        <v>0</v>
      </c>
      <c r="O496" s="25"/>
      <c r="P496" s="26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  <c r="AB496" s="25"/>
      <c r="AC496" s="26"/>
      <c r="AD496" s="24"/>
      <c r="AE496" s="24"/>
      <c r="AF496" s="24"/>
      <c r="AG496" s="24"/>
      <c r="AH496" s="24"/>
      <c r="AI496" s="24"/>
      <c r="AJ496" s="24"/>
      <c r="AK496" s="24"/>
      <c r="AL496" s="24"/>
      <c r="AM496" s="24"/>
      <c r="AN496" s="24"/>
      <c r="AO496" s="25"/>
      <c r="AP496" s="26"/>
      <c r="AQ496" s="24"/>
      <c r="AR496" s="24"/>
      <c r="AS496" s="24"/>
      <c r="AT496" s="24"/>
      <c r="AU496" s="24"/>
      <c r="AV496" s="24"/>
      <c r="AW496" s="24"/>
      <c r="AX496" s="24"/>
      <c r="AY496" s="24"/>
      <c r="AZ496" s="24"/>
      <c r="BA496" s="24"/>
      <c r="BB496" s="25"/>
      <c r="BC496" s="26"/>
      <c r="BD496" s="24"/>
      <c r="BE496" s="24"/>
      <c r="BF496" s="24"/>
      <c r="BG496" s="24"/>
      <c r="BH496" s="24"/>
      <c r="BI496" s="24"/>
      <c r="BJ496" s="24"/>
      <c r="BK496" s="24"/>
      <c r="BL496" s="24"/>
      <c r="BM496" s="24"/>
      <c r="BN496" s="24"/>
      <c r="BO496" s="25"/>
      <c r="BP496" s="26"/>
      <c r="BQ496" s="24"/>
      <c r="BR496" s="24"/>
      <c r="BS496" s="24"/>
      <c r="BT496" s="24"/>
      <c r="BU496" s="24"/>
      <c r="BV496" s="24"/>
      <c r="BW496" s="24"/>
      <c r="BX496" s="24"/>
      <c r="BY496" s="24"/>
      <c r="BZ496" s="24"/>
      <c r="CA496" s="24"/>
      <c r="CB496" s="25"/>
      <c r="CC496" s="26"/>
      <c r="CD496" s="24"/>
      <c r="CE496" s="24"/>
      <c r="CF496" s="24"/>
      <c r="CG496" s="24"/>
      <c r="CH496" s="24"/>
      <c r="CI496" s="24"/>
      <c r="CJ496" s="24"/>
      <c r="CK496" s="24"/>
      <c r="CL496" s="24"/>
      <c r="CM496" s="24"/>
      <c r="CN496" s="24"/>
      <c r="CO496" s="25"/>
      <c r="CP496" s="26"/>
      <c r="CQ496" s="24"/>
      <c r="CR496" s="24"/>
      <c r="CS496" s="24"/>
      <c r="CT496" s="24"/>
      <c r="CU496" s="24"/>
      <c r="CV496" s="24"/>
      <c r="CW496" s="24"/>
      <c r="CX496" s="24"/>
      <c r="CY496" s="24"/>
      <c r="CZ496" s="24"/>
      <c r="DA496" s="24"/>
      <c r="DB496" s="25"/>
      <c r="DC496" s="26"/>
      <c r="DD496" s="24"/>
      <c r="DE496" s="24"/>
      <c r="DF496" s="24"/>
      <c r="DG496" s="24"/>
      <c r="DH496" s="24"/>
      <c r="DI496" s="24"/>
      <c r="DJ496" s="24"/>
      <c r="DK496" s="24"/>
      <c r="DL496" s="24"/>
      <c r="DM496" s="24"/>
      <c r="DN496" s="24"/>
      <c r="DO496" s="25"/>
      <c r="DP496" s="26"/>
      <c r="DQ496" s="24"/>
      <c r="DR496" s="24"/>
      <c r="DS496" s="24"/>
      <c r="DT496" s="24"/>
      <c r="DU496" s="24"/>
      <c r="DV496" s="24"/>
      <c r="DW496" s="24"/>
      <c r="DX496" s="24"/>
      <c r="DY496" s="24"/>
      <c r="DZ496" s="24"/>
      <c r="EA496" s="24"/>
      <c r="EB496" s="25"/>
      <c r="EC496" s="26"/>
      <c r="ED496" s="24"/>
      <c r="EE496" s="24"/>
      <c r="EF496" s="24"/>
      <c r="EG496" s="24"/>
      <c r="EH496" s="24"/>
      <c r="EI496" s="24"/>
      <c r="EJ496" s="24"/>
      <c r="EK496" s="24"/>
      <c r="EL496" s="24"/>
      <c r="EM496" s="24"/>
      <c r="EN496" s="24"/>
      <c r="EO496" s="25"/>
      <c r="EP496" s="26"/>
      <c r="EQ496" s="24"/>
      <c r="ER496" s="24"/>
      <c r="ES496" s="24"/>
      <c r="ET496" s="24"/>
      <c r="EU496" s="24"/>
      <c r="EV496" s="24"/>
      <c r="EW496" s="24"/>
      <c r="EX496" s="24"/>
      <c r="EY496" s="24"/>
      <c r="EZ496" s="24"/>
      <c r="FA496" s="24"/>
      <c r="FB496" s="25"/>
      <c r="FC496" s="26"/>
      <c r="FD496" s="24"/>
      <c r="FE496" s="24"/>
      <c r="FF496" s="24"/>
      <c r="FG496" s="24"/>
      <c r="FH496" s="24"/>
      <c r="FI496" s="24"/>
      <c r="FJ496" s="24"/>
      <c r="FK496" s="24"/>
      <c r="FL496" s="24"/>
      <c r="FM496" s="24"/>
      <c r="FN496" s="24"/>
      <c r="FO496" s="27">
        <f t="shared" ref="FO496:FV496" si="489">IFERROR(R496*1,0)+IFERROR(AE496*1,0)+IFERROR(AR496*1,0)+IFERROR(BE496*1,0)+IFERROR(BR496*1,0)+IFERROR(CE496*1,0)+IFERROR(CR496*1,0)+IFERROR(DE496*1,0)+IFERROR(DR496*1,0)+IFERROR(EE496*1,0)+IFERROR(ER496*1,0)+IFERROR(FE496*1,0)</f>
        <v>0</v>
      </c>
      <c r="FP496" s="27">
        <f t="shared" si="489"/>
        <v>0</v>
      </c>
      <c r="FQ496" s="27">
        <f t="shared" si="489"/>
        <v>0</v>
      </c>
      <c r="FR496" s="27">
        <f t="shared" si="489"/>
        <v>0</v>
      </c>
      <c r="FS496" s="27">
        <f t="shared" si="489"/>
        <v>0</v>
      </c>
      <c r="FT496" s="27">
        <f t="shared" si="489"/>
        <v>0</v>
      </c>
      <c r="FU496" s="27">
        <f t="shared" si="489"/>
        <v>0</v>
      </c>
      <c r="FV496" s="27">
        <f t="shared" si="489"/>
        <v>0</v>
      </c>
      <c r="FW496" s="28"/>
      <c r="FX496" s="29">
        <f t="shared" si="3"/>
        <v>0</v>
      </c>
    </row>
    <row r="497" spans="1:180" ht="18" customHeight="1" x14ac:dyDescent="0.25">
      <c r="A497" s="3" t="str">
        <f>IF(C497&lt;&gt;"","DRG-"&amp;TEXT(492,"000"),"")</f>
        <v/>
      </c>
      <c r="B497" s="33"/>
      <c r="C497" s="33"/>
      <c r="D497" s="33"/>
      <c r="E497" s="33"/>
      <c r="F497" s="33"/>
      <c r="G497" s="33"/>
      <c r="H497" s="33"/>
      <c r="I497" s="33"/>
      <c r="J497" s="33"/>
      <c r="K497" s="33"/>
      <c r="L497" s="37">
        <v>4</v>
      </c>
      <c r="M497" s="30" t="str">
        <f t="shared" si="0"/>
        <v>✘ Pending</v>
      </c>
      <c r="N497" s="30">
        <f t="shared" si="1"/>
        <v>0</v>
      </c>
      <c r="O497" s="31"/>
      <c r="P497" s="32"/>
      <c r="Q497" s="33"/>
      <c r="R497" s="33"/>
      <c r="S497" s="33"/>
      <c r="T497" s="33"/>
      <c r="U497" s="33"/>
      <c r="V497" s="33"/>
      <c r="W497" s="33"/>
      <c r="X497" s="33"/>
      <c r="Y497" s="33"/>
      <c r="Z497" s="33"/>
      <c r="AA497" s="33"/>
      <c r="AB497" s="31"/>
      <c r="AC497" s="32"/>
      <c r="AD497" s="33"/>
      <c r="AE497" s="33"/>
      <c r="AF497" s="33"/>
      <c r="AG497" s="33"/>
      <c r="AH497" s="33"/>
      <c r="AI497" s="33"/>
      <c r="AJ497" s="33"/>
      <c r="AK497" s="33"/>
      <c r="AL497" s="33"/>
      <c r="AM497" s="33"/>
      <c r="AN497" s="33"/>
      <c r="AO497" s="31"/>
      <c r="AP497" s="32"/>
      <c r="AQ497" s="33"/>
      <c r="AR497" s="33"/>
      <c r="AS497" s="33"/>
      <c r="AT497" s="33"/>
      <c r="AU497" s="33"/>
      <c r="AV497" s="33"/>
      <c r="AW497" s="33"/>
      <c r="AX497" s="33"/>
      <c r="AY497" s="33"/>
      <c r="AZ497" s="33"/>
      <c r="BA497" s="33"/>
      <c r="BB497" s="31"/>
      <c r="BC497" s="32"/>
      <c r="BD497" s="33"/>
      <c r="BE497" s="33"/>
      <c r="BF497" s="33"/>
      <c r="BG497" s="33"/>
      <c r="BH497" s="33"/>
      <c r="BI497" s="33"/>
      <c r="BJ497" s="33"/>
      <c r="BK497" s="33"/>
      <c r="BL497" s="33"/>
      <c r="BM497" s="33"/>
      <c r="BN497" s="33"/>
      <c r="BO497" s="31"/>
      <c r="BP497" s="32"/>
      <c r="BQ497" s="33"/>
      <c r="BR497" s="33"/>
      <c r="BS497" s="33"/>
      <c r="BT497" s="33"/>
      <c r="BU497" s="33"/>
      <c r="BV497" s="33"/>
      <c r="BW497" s="33"/>
      <c r="BX497" s="33"/>
      <c r="BY497" s="33"/>
      <c r="BZ497" s="33"/>
      <c r="CA497" s="33"/>
      <c r="CB497" s="31"/>
      <c r="CC497" s="32"/>
      <c r="CD497" s="33"/>
      <c r="CE497" s="33"/>
      <c r="CF497" s="33"/>
      <c r="CG497" s="33"/>
      <c r="CH497" s="33"/>
      <c r="CI497" s="33"/>
      <c r="CJ497" s="33"/>
      <c r="CK497" s="33"/>
      <c r="CL497" s="33"/>
      <c r="CM497" s="33"/>
      <c r="CN497" s="33"/>
      <c r="CO497" s="31"/>
      <c r="CP497" s="32"/>
      <c r="CQ497" s="33"/>
      <c r="CR497" s="33"/>
      <c r="CS497" s="33"/>
      <c r="CT497" s="33"/>
      <c r="CU497" s="33"/>
      <c r="CV497" s="33"/>
      <c r="CW497" s="33"/>
      <c r="CX497" s="33"/>
      <c r="CY497" s="33"/>
      <c r="CZ497" s="33"/>
      <c r="DA497" s="33"/>
      <c r="DB497" s="31"/>
      <c r="DC497" s="32"/>
      <c r="DD497" s="33"/>
      <c r="DE497" s="33"/>
      <c r="DF497" s="33"/>
      <c r="DG497" s="33"/>
      <c r="DH497" s="33"/>
      <c r="DI497" s="33"/>
      <c r="DJ497" s="33"/>
      <c r="DK497" s="33"/>
      <c r="DL497" s="33"/>
      <c r="DM497" s="33"/>
      <c r="DN497" s="33"/>
      <c r="DO497" s="31"/>
      <c r="DP497" s="32"/>
      <c r="DQ497" s="33"/>
      <c r="DR497" s="33"/>
      <c r="DS497" s="33"/>
      <c r="DT497" s="33"/>
      <c r="DU497" s="33"/>
      <c r="DV497" s="33"/>
      <c r="DW497" s="33"/>
      <c r="DX497" s="33"/>
      <c r="DY497" s="33"/>
      <c r="DZ497" s="33"/>
      <c r="EA497" s="33"/>
      <c r="EB497" s="31"/>
      <c r="EC497" s="32"/>
      <c r="ED497" s="33"/>
      <c r="EE497" s="33"/>
      <c r="EF497" s="33"/>
      <c r="EG497" s="33"/>
      <c r="EH497" s="33"/>
      <c r="EI497" s="33"/>
      <c r="EJ497" s="33"/>
      <c r="EK497" s="33"/>
      <c r="EL497" s="33"/>
      <c r="EM497" s="33"/>
      <c r="EN497" s="33"/>
      <c r="EO497" s="31"/>
      <c r="EP497" s="32"/>
      <c r="EQ497" s="33"/>
      <c r="ER497" s="33"/>
      <c r="ES497" s="33"/>
      <c r="ET497" s="33"/>
      <c r="EU497" s="33"/>
      <c r="EV497" s="33"/>
      <c r="EW497" s="33"/>
      <c r="EX497" s="33"/>
      <c r="EY497" s="33"/>
      <c r="EZ497" s="33"/>
      <c r="FA497" s="33"/>
      <c r="FB497" s="31"/>
      <c r="FC497" s="32"/>
      <c r="FD497" s="33"/>
      <c r="FE497" s="33"/>
      <c r="FF497" s="33"/>
      <c r="FG497" s="33"/>
      <c r="FH497" s="33"/>
      <c r="FI497" s="33"/>
      <c r="FJ497" s="33"/>
      <c r="FK497" s="33"/>
      <c r="FL497" s="33"/>
      <c r="FM497" s="33"/>
      <c r="FN497" s="33"/>
      <c r="FO497" s="34">
        <f t="shared" ref="FO497:FV497" si="490">IFERROR(R497*1,0)+IFERROR(AE497*1,0)+IFERROR(AR497*1,0)+IFERROR(BE497*1,0)+IFERROR(BR497*1,0)+IFERROR(CE497*1,0)+IFERROR(CR497*1,0)+IFERROR(DE497*1,0)+IFERROR(DR497*1,0)+IFERROR(EE497*1,0)+IFERROR(ER497*1,0)+IFERROR(FE497*1,0)</f>
        <v>0</v>
      </c>
      <c r="FP497" s="34">
        <f t="shared" si="490"/>
        <v>0</v>
      </c>
      <c r="FQ497" s="34">
        <f t="shared" si="490"/>
        <v>0</v>
      </c>
      <c r="FR497" s="34">
        <f t="shared" si="490"/>
        <v>0</v>
      </c>
      <c r="FS497" s="34">
        <f t="shared" si="490"/>
        <v>0</v>
      </c>
      <c r="FT497" s="34">
        <f t="shared" si="490"/>
        <v>0</v>
      </c>
      <c r="FU497" s="34">
        <f t="shared" si="490"/>
        <v>0</v>
      </c>
      <c r="FV497" s="34">
        <f t="shared" si="490"/>
        <v>0</v>
      </c>
      <c r="FW497" s="28"/>
      <c r="FX497" s="29">
        <f t="shared" si="3"/>
        <v>0</v>
      </c>
    </row>
    <row r="498" spans="1:180" ht="18" customHeight="1" x14ac:dyDescent="0.25">
      <c r="A498" s="3" t="str">
        <f>IF(C498&lt;&gt;"","DRG-"&amp;TEXT(493,"000"),"")</f>
        <v/>
      </c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38">
        <v>4</v>
      </c>
      <c r="M498" s="23" t="str">
        <f t="shared" si="0"/>
        <v>✘ Pending</v>
      </c>
      <c r="N498" s="23">
        <f t="shared" si="1"/>
        <v>0</v>
      </c>
      <c r="O498" s="25"/>
      <c r="P498" s="26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  <c r="AB498" s="25"/>
      <c r="AC498" s="26"/>
      <c r="AD498" s="24"/>
      <c r="AE498" s="24"/>
      <c r="AF498" s="24"/>
      <c r="AG498" s="24"/>
      <c r="AH498" s="24"/>
      <c r="AI498" s="24"/>
      <c r="AJ498" s="24"/>
      <c r="AK498" s="24"/>
      <c r="AL498" s="24"/>
      <c r="AM498" s="24"/>
      <c r="AN498" s="24"/>
      <c r="AO498" s="25"/>
      <c r="AP498" s="26"/>
      <c r="AQ498" s="24"/>
      <c r="AR498" s="24"/>
      <c r="AS498" s="24"/>
      <c r="AT498" s="24"/>
      <c r="AU498" s="24"/>
      <c r="AV498" s="24"/>
      <c r="AW498" s="24"/>
      <c r="AX498" s="24"/>
      <c r="AY498" s="24"/>
      <c r="AZ498" s="24"/>
      <c r="BA498" s="24"/>
      <c r="BB498" s="25"/>
      <c r="BC498" s="26"/>
      <c r="BD498" s="24"/>
      <c r="BE498" s="24"/>
      <c r="BF498" s="24"/>
      <c r="BG498" s="24"/>
      <c r="BH498" s="24"/>
      <c r="BI498" s="24"/>
      <c r="BJ498" s="24"/>
      <c r="BK498" s="24"/>
      <c r="BL498" s="24"/>
      <c r="BM498" s="24"/>
      <c r="BN498" s="24"/>
      <c r="BO498" s="25"/>
      <c r="BP498" s="26"/>
      <c r="BQ498" s="24"/>
      <c r="BR498" s="24"/>
      <c r="BS498" s="24"/>
      <c r="BT498" s="24"/>
      <c r="BU498" s="24"/>
      <c r="BV498" s="24"/>
      <c r="BW498" s="24"/>
      <c r="BX498" s="24"/>
      <c r="BY498" s="24"/>
      <c r="BZ498" s="24"/>
      <c r="CA498" s="24"/>
      <c r="CB498" s="25"/>
      <c r="CC498" s="26"/>
      <c r="CD498" s="24"/>
      <c r="CE498" s="24"/>
      <c r="CF498" s="24"/>
      <c r="CG498" s="24"/>
      <c r="CH498" s="24"/>
      <c r="CI498" s="24"/>
      <c r="CJ498" s="24"/>
      <c r="CK498" s="24"/>
      <c r="CL498" s="24"/>
      <c r="CM498" s="24"/>
      <c r="CN498" s="24"/>
      <c r="CO498" s="25"/>
      <c r="CP498" s="26"/>
      <c r="CQ498" s="24"/>
      <c r="CR498" s="24"/>
      <c r="CS498" s="24"/>
      <c r="CT498" s="24"/>
      <c r="CU498" s="24"/>
      <c r="CV498" s="24"/>
      <c r="CW498" s="24"/>
      <c r="CX498" s="24"/>
      <c r="CY498" s="24"/>
      <c r="CZ498" s="24"/>
      <c r="DA498" s="24"/>
      <c r="DB498" s="25"/>
      <c r="DC498" s="26"/>
      <c r="DD498" s="24"/>
      <c r="DE498" s="24"/>
      <c r="DF498" s="24"/>
      <c r="DG498" s="24"/>
      <c r="DH498" s="24"/>
      <c r="DI498" s="24"/>
      <c r="DJ498" s="24"/>
      <c r="DK498" s="24"/>
      <c r="DL498" s="24"/>
      <c r="DM498" s="24"/>
      <c r="DN498" s="24"/>
      <c r="DO498" s="25"/>
      <c r="DP498" s="26"/>
      <c r="DQ498" s="24"/>
      <c r="DR498" s="24"/>
      <c r="DS498" s="24"/>
      <c r="DT498" s="24"/>
      <c r="DU498" s="24"/>
      <c r="DV498" s="24"/>
      <c r="DW498" s="24"/>
      <c r="DX498" s="24"/>
      <c r="DY498" s="24"/>
      <c r="DZ498" s="24"/>
      <c r="EA498" s="24"/>
      <c r="EB498" s="25"/>
      <c r="EC498" s="26"/>
      <c r="ED498" s="24"/>
      <c r="EE498" s="24"/>
      <c r="EF498" s="24"/>
      <c r="EG498" s="24"/>
      <c r="EH498" s="24"/>
      <c r="EI498" s="24"/>
      <c r="EJ498" s="24"/>
      <c r="EK498" s="24"/>
      <c r="EL498" s="24"/>
      <c r="EM498" s="24"/>
      <c r="EN498" s="24"/>
      <c r="EO498" s="25"/>
      <c r="EP498" s="26"/>
      <c r="EQ498" s="24"/>
      <c r="ER498" s="24"/>
      <c r="ES498" s="24"/>
      <c r="ET498" s="24"/>
      <c r="EU498" s="24"/>
      <c r="EV498" s="24"/>
      <c r="EW498" s="24"/>
      <c r="EX498" s="24"/>
      <c r="EY498" s="24"/>
      <c r="EZ498" s="24"/>
      <c r="FA498" s="24"/>
      <c r="FB498" s="25"/>
      <c r="FC498" s="26"/>
      <c r="FD498" s="24"/>
      <c r="FE498" s="24"/>
      <c r="FF498" s="24"/>
      <c r="FG498" s="24"/>
      <c r="FH498" s="24"/>
      <c r="FI498" s="24"/>
      <c r="FJ498" s="24"/>
      <c r="FK498" s="24"/>
      <c r="FL498" s="24"/>
      <c r="FM498" s="24"/>
      <c r="FN498" s="24"/>
      <c r="FO498" s="27">
        <f t="shared" ref="FO498:FV498" si="491">IFERROR(R498*1,0)+IFERROR(AE498*1,0)+IFERROR(AR498*1,0)+IFERROR(BE498*1,0)+IFERROR(BR498*1,0)+IFERROR(CE498*1,0)+IFERROR(CR498*1,0)+IFERROR(DE498*1,0)+IFERROR(DR498*1,0)+IFERROR(EE498*1,0)+IFERROR(ER498*1,0)+IFERROR(FE498*1,0)</f>
        <v>0</v>
      </c>
      <c r="FP498" s="27">
        <f t="shared" si="491"/>
        <v>0</v>
      </c>
      <c r="FQ498" s="27">
        <f t="shared" si="491"/>
        <v>0</v>
      </c>
      <c r="FR498" s="27">
        <f t="shared" si="491"/>
        <v>0</v>
      </c>
      <c r="FS498" s="27">
        <f t="shared" si="491"/>
        <v>0</v>
      </c>
      <c r="FT498" s="27">
        <f t="shared" si="491"/>
        <v>0</v>
      </c>
      <c r="FU498" s="27">
        <f t="shared" si="491"/>
        <v>0</v>
      </c>
      <c r="FV498" s="27">
        <f t="shared" si="491"/>
        <v>0</v>
      </c>
      <c r="FW498" s="28"/>
      <c r="FX498" s="29">
        <f t="shared" si="3"/>
        <v>0</v>
      </c>
    </row>
    <row r="499" spans="1:180" ht="18" customHeight="1" x14ac:dyDescent="0.25">
      <c r="A499" s="3" t="str">
        <f>IF(C499&lt;&gt;"","DRG-"&amp;TEXT(494,"000"),"")</f>
        <v/>
      </c>
      <c r="B499" s="33"/>
      <c r="C499" s="33"/>
      <c r="D499" s="33"/>
      <c r="E499" s="33"/>
      <c r="F499" s="33"/>
      <c r="G499" s="33"/>
      <c r="H499" s="33"/>
      <c r="I499" s="33"/>
      <c r="J499" s="33"/>
      <c r="K499" s="33"/>
      <c r="L499" s="37">
        <v>4</v>
      </c>
      <c r="M499" s="30" t="str">
        <f t="shared" si="0"/>
        <v>✘ Pending</v>
      </c>
      <c r="N499" s="30">
        <f t="shared" si="1"/>
        <v>0</v>
      </c>
      <c r="O499" s="31"/>
      <c r="P499" s="32"/>
      <c r="Q499" s="33"/>
      <c r="R499" s="33"/>
      <c r="S499" s="33"/>
      <c r="T499" s="33"/>
      <c r="U499" s="33"/>
      <c r="V499" s="33"/>
      <c r="W499" s="33"/>
      <c r="X499" s="33"/>
      <c r="Y499" s="33"/>
      <c r="Z499" s="33"/>
      <c r="AA499" s="33"/>
      <c r="AB499" s="31"/>
      <c r="AC499" s="32"/>
      <c r="AD499" s="33"/>
      <c r="AE499" s="33"/>
      <c r="AF499" s="33"/>
      <c r="AG499" s="33"/>
      <c r="AH499" s="33"/>
      <c r="AI499" s="33"/>
      <c r="AJ499" s="33"/>
      <c r="AK499" s="33"/>
      <c r="AL499" s="33"/>
      <c r="AM499" s="33"/>
      <c r="AN499" s="33"/>
      <c r="AO499" s="31"/>
      <c r="AP499" s="32"/>
      <c r="AQ499" s="33"/>
      <c r="AR499" s="33"/>
      <c r="AS499" s="33"/>
      <c r="AT499" s="33"/>
      <c r="AU499" s="33"/>
      <c r="AV499" s="33"/>
      <c r="AW499" s="33"/>
      <c r="AX499" s="33"/>
      <c r="AY499" s="33"/>
      <c r="AZ499" s="33"/>
      <c r="BA499" s="33"/>
      <c r="BB499" s="31"/>
      <c r="BC499" s="32"/>
      <c r="BD499" s="33"/>
      <c r="BE499" s="33"/>
      <c r="BF499" s="33"/>
      <c r="BG499" s="33"/>
      <c r="BH499" s="33"/>
      <c r="BI499" s="33"/>
      <c r="BJ499" s="33"/>
      <c r="BK499" s="33"/>
      <c r="BL499" s="33"/>
      <c r="BM499" s="33"/>
      <c r="BN499" s="33"/>
      <c r="BO499" s="31"/>
      <c r="BP499" s="32"/>
      <c r="BQ499" s="33"/>
      <c r="BR499" s="33"/>
      <c r="BS499" s="33"/>
      <c r="BT499" s="33"/>
      <c r="BU499" s="33"/>
      <c r="BV499" s="33"/>
      <c r="BW499" s="33"/>
      <c r="BX499" s="33"/>
      <c r="BY499" s="33"/>
      <c r="BZ499" s="33"/>
      <c r="CA499" s="33"/>
      <c r="CB499" s="31"/>
      <c r="CC499" s="32"/>
      <c r="CD499" s="33"/>
      <c r="CE499" s="33"/>
      <c r="CF499" s="33"/>
      <c r="CG499" s="33"/>
      <c r="CH499" s="33"/>
      <c r="CI499" s="33"/>
      <c r="CJ499" s="33"/>
      <c r="CK499" s="33"/>
      <c r="CL499" s="33"/>
      <c r="CM499" s="33"/>
      <c r="CN499" s="33"/>
      <c r="CO499" s="31"/>
      <c r="CP499" s="32"/>
      <c r="CQ499" s="33"/>
      <c r="CR499" s="33"/>
      <c r="CS499" s="33"/>
      <c r="CT499" s="33"/>
      <c r="CU499" s="33"/>
      <c r="CV499" s="33"/>
      <c r="CW499" s="33"/>
      <c r="CX499" s="33"/>
      <c r="CY499" s="33"/>
      <c r="CZ499" s="33"/>
      <c r="DA499" s="33"/>
      <c r="DB499" s="31"/>
      <c r="DC499" s="32"/>
      <c r="DD499" s="33"/>
      <c r="DE499" s="33"/>
      <c r="DF499" s="33"/>
      <c r="DG499" s="33"/>
      <c r="DH499" s="33"/>
      <c r="DI499" s="33"/>
      <c r="DJ499" s="33"/>
      <c r="DK499" s="33"/>
      <c r="DL499" s="33"/>
      <c r="DM499" s="33"/>
      <c r="DN499" s="33"/>
      <c r="DO499" s="31"/>
      <c r="DP499" s="32"/>
      <c r="DQ499" s="33"/>
      <c r="DR499" s="33"/>
      <c r="DS499" s="33"/>
      <c r="DT499" s="33"/>
      <c r="DU499" s="33"/>
      <c r="DV499" s="33"/>
      <c r="DW499" s="33"/>
      <c r="DX499" s="33"/>
      <c r="DY499" s="33"/>
      <c r="DZ499" s="33"/>
      <c r="EA499" s="33"/>
      <c r="EB499" s="31"/>
      <c r="EC499" s="32"/>
      <c r="ED499" s="33"/>
      <c r="EE499" s="33"/>
      <c r="EF499" s="33"/>
      <c r="EG499" s="33"/>
      <c r="EH499" s="33"/>
      <c r="EI499" s="33"/>
      <c r="EJ499" s="33"/>
      <c r="EK499" s="33"/>
      <c r="EL499" s="33"/>
      <c r="EM499" s="33"/>
      <c r="EN499" s="33"/>
      <c r="EO499" s="31"/>
      <c r="EP499" s="32"/>
      <c r="EQ499" s="33"/>
      <c r="ER499" s="33"/>
      <c r="ES499" s="33"/>
      <c r="ET499" s="33"/>
      <c r="EU499" s="33"/>
      <c r="EV499" s="33"/>
      <c r="EW499" s="33"/>
      <c r="EX499" s="33"/>
      <c r="EY499" s="33"/>
      <c r="EZ499" s="33"/>
      <c r="FA499" s="33"/>
      <c r="FB499" s="31"/>
      <c r="FC499" s="32"/>
      <c r="FD499" s="33"/>
      <c r="FE499" s="33"/>
      <c r="FF499" s="33"/>
      <c r="FG499" s="33"/>
      <c r="FH499" s="33"/>
      <c r="FI499" s="33"/>
      <c r="FJ499" s="33"/>
      <c r="FK499" s="33"/>
      <c r="FL499" s="33"/>
      <c r="FM499" s="33"/>
      <c r="FN499" s="33"/>
      <c r="FO499" s="34">
        <f t="shared" ref="FO499:FV499" si="492">IFERROR(R499*1,0)+IFERROR(AE499*1,0)+IFERROR(AR499*1,0)+IFERROR(BE499*1,0)+IFERROR(BR499*1,0)+IFERROR(CE499*1,0)+IFERROR(CR499*1,0)+IFERROR(DE499*1,0)+IFERROR(DR499*1,0)+IFERROR(EE499*1,0)+IFERROR(ER499*1,0)+IFERROR(FE499*1,0)</f>
        <v>0</v>
      </c>
      <c r="FP499" s="34">
        <f t="shared" si="492"/>
        <v>0</v>
      </c>
      <c r="FQ499" s="34">
        <f t="shared" si="492"/>
        <v>0</v>
      </c>
      <c r="FR499" s="34">
        <f t="shared" si="492"/>
        <v>0</v>
      </c>
      <c r="FS499" s="34">
        <f t="shared" si="492"/>
        <v>0</v>
      </c>
      <c r="FT499" s="34">
        <f t="shared" si="492"/>
        <v>0</v>
      </c>
      <c r="FU499" s="34">
        <f t="shared" si="492"/>
        <v>0</v>
      </c>
      <c r="FV499" s="34">
        <f t="shared" si="492"/>
        <v>0</v>
      </c>
      <c r="FW499" s="28"/>
      <c r="FX499" s="29">
        <f t="shared" si="3"/>
        <v>0</v>
      </c>
    </row>
    <row r="500" spans="1:180" ht="18" customHeight="1" x14ac:dyDescent="0.25">
      <c r="A500" s="3" t="str">
        <f>IF(C500&lt;&gt;"","DRG-"&amp;TEXT(495,"000"),"")</f>
        <v/>
      </c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38">
        <v>4</v>
      </c>
      <c r="M500" s="23" t="str">
        <f t="shared" si="0"/>
        <v>✘ Pending</v>
      </c>
      <c r="N500" s="23">
        <f t="shared" si="1"/>
        <v>0</v>
      </c>
      <c r="O500" s="25"/>
      <c r="P500" s="26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  <c r="AB500" s="25"/>
      <c r="AC500" s="26"/>
      <c r="AD500" s="24"/>
      <c r="AE500" s="24"/>
      <c r="AF500" s="24"/>
      <c r="AG500" s="24"/>
      <c r="AH500" s="24"/>
      <c r="AI500" s="24"/>
      <c r="AJ500" s="24"/>
      <c r="AK500" s="24"/>
      <c r="AL500" s="24"/>
      <c r="AM500" s="24"/>
      <c r="AN500" s="24"/>
      <c r="AO500" s="25"/>
      <c r="AP500" s="26"/>
      <c r="AQ500" s="24"/>
      <c r="AR500" s="24"/>
      <c r="AS500" s="24"/>
      <c r="AT500" s="24"/>
      <c r="AU500" s="24"/>
      <c r="AV500" s="24"/>
      <c r="AW500" s="24"/>
      <c r="AX500" s="24"/>
      <c r="AY500" s="24"/>
      <c r="AZ500" s="24"/>
      <c r="BA500" s="24"/>
      <c r="BB500" s="25"/>
      <c r="BC500" s="26"/>
      <c r="BD500" s="24"/>
      <c r="BE500" s="24"/>
      <c r="BF500" s="24"/>
      <c r="BG500" s="24"/>
      <c r="BH500" s="24"/>
      <c r="BI500" s="24"/>
      <c r="BJ500" s="24"/>
      <c r="BK500" s="24"/>
      <c r="BL500" s="24"/>
      <c r="BM500" s="24"/>
      <c r="BN500" s="24"/>
      <c r="BO500" s="25"/>
      <c r="BP500" s="26"/>
      <c r="BQ500" s="24"/>
      <c r="BR500" s="24"/>
      <c r="BS500" s="24"/>
      <c r="BT500" s="24"/>
      <c r="BU500" s="24"/>
      <c r="BV500" s="24"/>
      <c r="BW500" s="24"/>
      <c r="BX500" s="24"/>
      <c r="BY500" s="24"/>
      <c r="BZ500" s="24"/>
      <c r="CA500" s="24"/>
      <c r="CB500" s="25"/>
      <c r="CC500" s="26"/>
      <c r="CD500" s="24"/>
      <c r="CE500" s="24"/>
      <c r="CF500" s="24"/>
      <c r="CG500" s="24"/>
      <c r="CH500" s="24"/>
      <c r="CI500" s="24"/>
      <c r="CJ500" s="24"/>
      <c r="CK500" s="24"/>
      <c r="CL500" s="24"/>
      <c r="CM500" s="24"/>
      <c r="CN500" s="24"/>
      <c r="CO500" s="25"/>
      <c r="CP500" s="26"/>
      <c r="CQ500" s="24"/>
      <c r="CR500" s="24"/>
      <c r="CS500" s="24"/>
      <c r="CT500" s="24"/>
      <c r="CU500" s="24"/>
      <c r="CV500" s="24"/>
      <c r="CW500" s="24"/>
      <c r="CX500" s="24"/>
      <c r="CY500" s="24"/>
      <c r="CZ500" s="24"/>
      <c r="DA500" s="24"/>
      <c r="DB500" s="25"/>
      <c r="DC500" s="26"/>
      <c r="DD500" s="24"/>
      <c r="DE500" s="24"/>
      <c r="DF500" s="24"/>
      <c r="DG500" s="24"/>
      <c r="DH500" s="24"/>
      <c r="DI500" s="24"/>
      <c r="DJ500" s="24"/>
      <c r="DK500" s="24"/>
      <c r="DL500" s="24"/>
      <c r="DM500" s="24"/>
      <c r="DN500" s="24"/>
      <c r="DO500" s="25"/>
      <c r="DP500" s="26"/>
      <c r="DQ500" s="24"/>
      <c r="DR500" s="24"/>
      <c r="DS500" s="24"/>
      <c r="DT500" s="24"/>
      <c r="DU500" s="24"/>
      <c r="DV500" s="24"/>
      <c r="DW500" s="24"/>
      <c r="DX500" s="24"/>
      <c r="DY500" s="24"/>
      <c r="DZ500" s="24"/>
      <c r="EA500" s="24"/>
      <c r="EB500" s="25"/>
      <c r="EC500" s="26"/>
      <c r="ED500" s="24"/>
      <c r="EE500" s="24"/>
      <c r="EF500" s="24"/>
      <c r="EG500" s="24"/>
      <c r="EH500" s="24"/>
      <c r="EI500" s="24"/>
      <c r="EJ500" s="24"/>
      <c r="EK500" s="24"/>
      <c r="EL500" s="24"/>
      <c r="EM500" s="24"/>
      <c r="EN500" s="24"/>
      <c r="EO500" s="25"/>
      <c r="EP500" s="26"/>
      <c r="EQ500" s="24"/>
      <c r="ER500" s="24"/>
      <c r="ES500" s="24"/>
      <c r="ET500" s="24"/>
      <c r="EU500" s="24"/>
      <c r="EV500" s="24"/>
      <c r="EW500" s="24"/>
      <c r="EX500" s="24"/>
      <c r="EY500" s="24"/>
      <c r="EZ500" s="24"/>
      <c r="FA500" s="24"/>
      <c r="FB500" s="25"/>
      <c r="FC500" s="26"/>
      <c r="FD500" s="24"/>
      <c r="FE500" s="24"/>
      <c r="FF500" s="24"/>
      <c r="FG500" s="24"/>
      <c r="FH500" s="24"/>
      <c r="FI500" s="24"/>
      <c r="FJ500" s="24"/>
      <c r="FK500" s="24"/>
      <c r="FL500" s="24"/>
      <c r="FM500" s="24"/>
      <c r="FN500" s="24"/>
      <c r="FO500" s="27">
        <f t="shared" ref="FO500:FV500" si="493">IFERROR(R500*1,0)+IFERROR(AE500*1,0)+IFERROR(AR500*1,0)+IFERROR(BE500*1,0)+IFERROR(BR500*1,0)+IFERROR(CE500*1,0)+IFERROR(CR500*1,0)+IFERROR(DE500*1,0)+IFERROR(DR500*1,0)+IFERROR(EE500*1,0)+IFERROR(ER500*1,0)+IFERROR(FE500*1,0)</f>
        <v>0</v>
      </c>
      <c r="FP500" s="27">
        <f t="shared" si="493"/>
        <v>0</v>
      </c>
      <c r="FQ500" s="27">
        <f t="shared" si="493"/>
        <v>0</v>
      </c>
      <c r="FR500" s="27">
        <f t="shared" si="493"/>
        <v>0</v>
      </c>
      <c r="FS500" s="27">
        <f t="shared" si="493"/>
        <v>0</v>
      </c>
      <c r="FT500" s="27">
        <f t="shared" si="493"/>
        <v>0</v>
      </c>
      <c r="FU500" s="27">
        <f t="shared" si="493"/>
        <v>0</v>
      </c>
      <c r="FV500" s="27">
        <f t="shared" si="493"/>
        <v>0</v>
      </c>
      <c r="FW500" s="28"/>
      <c r="FX500" s="29">
        <f t="shared" si="3"/>
        <v>0</v>
      </c>
    </row>
    <row r="501" spans="1:180" ht="18" customHeight="1" x14ac:dyDescent="0.25">
      <c r="A501" s="3" t="str">
        <f>IF(C501&lt;&gt;"","DRG-"&amp;TEXT(496,"000"),"")</f>
        <v/>
      </c>
      <c r="B501" s="33"/>
      <c r="C501" s="33"/>
      <c r="D501" s="33"/>
      <c r="E501" s="33"/>
      <c r="F501" s="33"/>
      <c r="G501" s="33"/>
      <c r="H501" s="33"/>
      <c r="I501" s="33"/>
      <c r="J501" s="33"/>
      <c r="K501" s="33"/>
      <c r="L501" s="37">
        <v>4</v>
      </c>
      <c r="M501" s="30" t="str">
        <f t="shared" si="0"/>
        <v>✘ Pending</v>
      </c>
      <c r="N501" s="30">
        <f t="shared" si="1"/>
        <v>0</v>
      </c>
      <c r="O501" s="31"/>
      <c r="P501" s="32"/>
      <c r="Q501" s="33"/>
      <c r="R501" s="33"/>
      <c r="S501" s="33"/>
      <c r="T501" s="33"/>
      <c r="U501" s="33"/>
      <c r="V501" s="33"/>
      <c r="W501" s="33"/>
      <c r="X501" s="33"/>
      <c r="Y501" s="33"/>
      <c r="Z501" s="33"/>
      <c r="AA501" s="33"/>
      <c r="AB501" s="31"/>
      <c r="AC501" s="32"/>
      <c r="AD501" s="33"/>
      <c r="AE501" s="33"/>
      <c r="AF501" s="33"/>
      <c r="AG501" s="33"/>
      <c r="AH501" s="33"/>
      <c r="AI501" s="33"/>
      <c r="AJ501" s="33"/>
      <c r="AK501" s="33"/>
      <c r="AL501" s="33"/>
      <c r="AM501" s="33"/>
      <c r="AN501" s="33"/>
      <c r="AO501" s="31"/>
      <c r="AP501" s="32"/>
      <c r="AQ501" s="33"/>
      <c r="AR501" s="33"/>
      <c r="AS501" s="33"/>
      <c r="AT501" s="33"/>
      <c r="AU501" s="33"/>
      <c r="AV501" s="33"/>
      <c r="AW501" s="33"/>
      <c r="AX501" s="33"/>
      <c r="AY501" s="33"/>
      <c r="AZ501" s="33"/>
      <c r="BA501" s="33"/>
      <c r="BB501" s="31"/>
      <c r="BC501" s="32"/>
      <c r="BD501" s="33"/>
      <c r="BE501" s="33"/>
      <c r="BF501" s="33"/>
      <c r="BG501" s="33"/>
      <c r="BH501" s="33"/>
      <c r="BI501" s="33"/>
      <c r="BJ501" s="33"/>
      <c r="BK501" s="33"/>
      <c r="BL501" s="33"/>
      <c r="BM501" s="33"/>
      <c r="BN501" s="33"/>
      <c r="BO501" s="31"/>
      <c r="BP501" s="32"/>
      <c r="BQ501" s="33"/>
      <c r="BR501" s="33"/>
      <c r="BS501" s="33"/>
      <c r="BT501" s="33"/>
      <c r="BU501" s="33"/>
      <c r="BV501" s="33"/>
      <c r="BW501" s="33"/>
      <c r="BX501" s="33"/>
      <c r="BY501" s="33"/>
      <c r="BZ501" s="33"/>
      <c r="CA501" s="33"/>
      <c r="CB501" s="31"/>
      <c r="CC501" s="32"/>
      <c r="CD501" s="33"/>
      <c r="CE501" s="33"/>
      <c r="CF501" s="33"/>
      <c r="CG501" s="33"/>
      <c r="CH501" s="33"/>
      <c r="CI501" s="33"/>
      <c r="CJ501" s="33"/>
      <c r="CK501" s="33"/>
      <c r="CL501" s="33"/>
      <c r="CM501" s="33"/>
      <c r="CN501" s="33"/>
      <c r="CO501" s="31"/>
      <c r="CP501" s="32"/>
      <c r="CQ501" s="33"/>
      <c r="CR501" s="33"/>
      <c r="CS501" s="33"/>
      <c r="CT501" s="33"/>
      <c r="CU501" s="33"/>
      <c r="CV501" s="33"/>
      <c r="CW501" s="33"/>
      <c r="CX501" s="33"/>
      <c r="CY501" s="33"/>
      <c r="CZ501" s="33"/>
      <c r="DA501" s="33"/>
      <c r="DB501" s="31"/>
      <c r="DC501" s="32"/>
      <c r="DD501" s="33"/>
      <c r="DE501" s="33"/>
      <c r="DF501" s="33"/>
      <c r="DG501" s="33"/>
      <c r="DH501" s="33"/>
      <c r="DI501" s="33"/>
      <c r="DJ501" s="33"/>
      <c r="DK501" s="33"/>
      <c r="DL501" s="33"/>
      <c r="DM501" s="33"/>
      <c r="DN501" s="33"/>
      <c r="DO501" s="31"/>
      <c r="DP501" s="32"/>
      <c r="DQ501" s="33"/>
      <c r="DR501" s="33"/>
      <c r="DS501" s="33"/>
      <c r="DT501" s="33"/>
      <c r="DU501" s="33"/>
      <c r="DV501" s="33"/>
      <c r="DW501" s="33"/>
      <c r="DX501" s="33"/>
      <c r="DY501" s="33"/>
      <c r="DZ501" s="33"/>
      <c r="EA501" s="33"/>
      <c r="EB501" s="31"/>
      <c r="EC501" s="32"/>
      <c r="ED501" s="33"/>
      <c r="EE501" s="33"/>
      <c r="EF501" s="33"/>
      <c r="EG501" s="33"/>
      <c r="EH501" s="33"/>
      <c r="EI501" s="33"/>
      <c r="EJ501" s="33"/>
      <c r="EK501" s="33"/>
      <c r="EL501" s="33"/>
      <c r="EM501" s="33"/>
      <c r="EN501" s="33"/>
      <c r="EO501" s="31"/>
      <c r="EP501" s="32"/>
      <c r="EQ501" s="33"/>
      <c r="ER501" s="33"/>
      <c r="ES501" s="33"/>
      <c r="ET501" s="33"/>
      <c r="EU501" s="33"/>
      <c r="EV501" s="33"/>
      <c r="EW501" s="33"/>
      <c r="EX501" s="33"/>
      <c r="EY501" s="33"/>
      <c r="EZ501" s="33"/>
      <c r="FA501" s="33"/>
      <c r="FB501" s="31"/>
      <c r="FC501" s="32"/>
      <c r="FD501" s="33"/>
      <c r="FE501" s="33"/>
      <c r="FF501" s="33"/>
      <c r="FG501" s="33"/>
      <c r="FH501" s="33"/>
      <c r="FI501" s="33"/>
      <c r="FJ501" s="33"/>
      <c r="FK501" s="33"/>
      <c r="FL501" s="33"/>
      <c r="FM501" s="33"/>
      <c r="FN501" s="33"/>
      <c r="FO501" s="34">
        <f t="shared" ref="FO501:FV501" si="494">IFERROR(R501*1,0)+IFERROR(AE501*1,0)+IFERROR(AR501*1,0)+IFERROR(BE501*1,0)+IFERROR(BR501*1,0)+IFERROR(CE501*1,0)+IFERROR(CR501*1,0)+IFERROR(DE501*1,0)+IFERROR(DR501*1,0)+IFERROR(EE501*1,0)+IFERROR(ER501*1,0)+IFERROR(FE501*1,0)</f>
        <v>0</v>
      </c>
      <c r="FP501" s="34">
        <f t="shared" si="494"/>
        <v>0</v>
      </c>
      <c r="FQ501" s="34">
        <f t="shared" si="494"/>
        <v>0</v>
      </c>
      <c r="FR501" s="34">
        <f t="shared" si="494"/>
        <v>0</v>
      </c>
      <c r="FS501" s="34">
        <f t="shared" si="494"/>
        <v>0</v>
      </c>
      <c r="FT501" s="34">
        <f t="shared" si="494"/>
        <v>0</v>
      </c>
      <c r="FU501" s="34">
        <f t="shared" si="494"/>
        <v>0</v>
      </c>
      <c r="FV501" s="34">
        <f t="shared" si="494"/>
        <v>0</v>
      </c>
      <c r="FW501" s="28"/>
      <c r="FX501" s="29">
        <f t="shared" si="3"/>
        <v>0</v>
      </c>
    </row>
    <row r="502" spans="1:180" ht="18" customHeight="1" x14ac:dyDescent="0.25">
      <c r="A502" s="3" t="str">
        <f>IF(C502&lt;&gt;"","DRG-"&amp;TEXT(497,"000"),"")</f>
        <v/>
      </c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38">
        <v>4</v>
      </c>
      <c r="M502" s="23" t="str">
        <f t="shared" si="0"/>
        <v>✘ Pending</v>
      </c>
      <c r="N502" s="23">
        <f t="shared" si="1"/>
        <v>0</v>
      </c>
      <c r="O502" s="25"/>
      <c r="P502" s="26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  <c r="AB502" s="25"/>
      <c r="AC502" s="26"/>
      <c r="AD502" s="24"/>
      <c r="AE502" s="24"/>
      <c r="AF502" s="24"/>
      <c r="AG502" s="24"/>
      <c r="AH502" s="24"/>
      <c r="AI502" s="24"/>
      <c r="AJ502" s="24"/>
      <c r="AK502" s="24"/>
      <c r="AL502" s="24"/>
      <c r="AM502" s="24"/>
      <c r="AN502" s="24"/>
      <c r="AO502" s="25"/>
      <c r="AP502" s="26"/>
      <c r="AQ502" s="24"/>
      <c r="AR502" s="24"/>
      <c r="AS502" s="24"/>
      <c r="AT502" s="24"/>
      <c r="AU502" s="24"/>
      <c r="AV502" s="24"/>
      <c r="AW502" s="24"/>
      <c r="AX502" s="24"/>
      <c r="AY502" s="24"/>
      <c r="AZ502" s="24"/>
      <c r="BA502" s="24"/>
      <c r="BB502" s="25"/>
      <c r="BC502" s="26"/>
      <c r="BD502" s="24"/>
      <c r="BE502" s="24"/>
      <c r="BF502" s="24"/>
      <c r="BG502" s="24"/>
      <c r="BH502" s="24"/>
      <c r="BI502" s="24"/>
      <c r="BJ502" s="24"/>
      <c r="BK502" s="24"/>
      <c r="BL502" s="24"/>
      <c r="BM502" s="24"/>
      <c r="BN502" s="24"/>
      <c r="BO502" s="25"/>
      <c r="BP502" s="26"/>
      <c r="BQ502" s="24"/>
      <c r="BR502" s="24"/>
      <c r="BS502" s="24"/>
      <c r="BT502" s="24"/>
      <c r="BU502" s="24"/>
      <c r="BV502" s="24"/>
      <c r="BW502" s="24"/>
      <c r="BX502" s="24"/>
      <c r="BY502" s="24"/>
      <c r="BZ502" s="24"/>
      <c r="CA502" s="24"/>
      <c r="CB502" s="25"/>
      <c r="CC502" s="26"/>
      <c r="CD502" s="24"/>
      <c r="CE502" s="24"/>
      <c r="CF502" s="24"/>
      <c r="CG502" s="24"/>
      <c r="CH502" s="24"/>
      <c r="CI502" s="24"/>
      <c r="CJ502" s="24"/>
      <c r="CK502" s="24"/>
      <c r="CL502" s="24"/>
      <c r="CM502" s="24"/>
      <c r="CN502" s="24"/>
      <c r="CO502" s="25"/>
      <c r="CP502" s="26"/>
      <c r="CQ502" s="24"/>
      <c r="CR502" s="24"/>
      <c r="CS502" s="24"/>
      <c r="CT502" s="24"/>
      <c r="CU502" s="24"/>
      <c r="CV502" s="24"/>
      <c r="CW502" s="24"/>
      <c r="CX502" s="24"/>
      <c r="CY502" s="24"/>
      <c r="CZ502" s="24"/>
      <c r="DA502" s="24"/>
      <c r="DB502" s="25"/>
      <c r="DC502" s="26"/>
      <c r="DD502" s="24"/>
      <c r="DE502" s="24"/>
      <c r="DF502" s="24"/>
      <c r="DG502" s="24"/>
      <c r="DH502" s="24"/>
      <c r="DI502" s="24"/>
      <c r="DJ502" s="24"/>
      <c r="DK502" s="24"/>
      <c r="DL502" s="24"/>
      <c r="DM502" s="24"/>
      <c r="DN502" s="24"/>
      <c r="DO502" s="25"/>
      <c r="DP502" s="26"/>
      <c r="DQ502" s="24"/>
      <c r="DR502" s="24"/>
      <c r="DS502" s="24"/>
      <c r="DT502" s="24"/>
      <c r="DU502" s="24"/>
      <c r="DV502" s="24"/>
      <c r="DW502" s="24"/>
      <c r="DX502" s="24"/>
      <c r="DY502" s="24"/>
      <c r="DZ502" s="24"/>
      <c r="EA502" s="24"/>
      <c r="EB502" s="25"/>
      <c r="EC502" s="26"/>
      <c r="ED502" s="24"/>
      <c r="EE502" s="24"/>
      <c r="EF502" s="24"/>
      <c r="EG502" s="24"/>
      <c r="EH502" s="24"/>
      <c r="EI502" s="24"/>
      <c r="EJ502" s="24"/>
      <c r="EK502" s="24"/>
      <c r="EL502" s="24"/>
      <c r="EM502" s="24"/>
      <c r="EN502" s="24"/>
      <c r="EO502" s="25"/>
      <c r="EP502" s="26"/>
      <c r="EQ502" s="24"/>
      <c r="ER502" s="24"/>
      <c r="ES502" s="24"/>
      <c r="ET502" s="24"/>
      <c r="EU502" s="24"/>
      <c r="EV502" s="24"/>
      <c r="EW502" s="24"/>
      <c r="EX502" s="24"/>
      <c r="EY502" s="24"/>
      <c r="EZ502" s="24"/>
      <c r="FA502" s="24"/>
      <c r="FB502" s="25"/>
      <c r="FC502" s="26"/>
      <c r="FD502" s="24"/>
      <c r="FE502" s="24"/>
      <c r="FF502" s="24"/>
      <c r="FG502" s="24"/>
      <c r="FH502" s="24"/>
      <c r="FI502" s="24"/>
      <c r="FJ502" s="24"/>
      <c r="FK502" s="24"/>
      <c r="FL502" s="24"/>
      <c r="FM502" s="24"/>
      <c r="FN502" s="24"/>
      <c r="FO502" s="27">
        <f t="shared" ref="FO502:FV502" si="495">IFERROR(R502*1,0)+IFERROR(AE502*1,0)+IFERROR(AR502*1,0)+IFERROR(BE502*1,0)+IFERROR(BR502*1,0)+IFERROR(CE502*1,0)+IFERROR(CR502*1,0)+IFERROR(DE502*1,0)+IFERROR(DR502*1,0)+IFERROR(EE502*1,0)+IFERROR(ER502*1,0)+IFERROR(FE502*1,0)</f>
        <v>0</v>
      </c>
      <c r="FP502" s="27">
        <f t="shared" si="495"/>
        <v>0</v>
      </c>
      <c r="FQ502" s="27">
        <f t="shared" si="495"/>
        <v>0</v>
      </c>
      <c r="FR502" s="27">
        <f t="shared" si="495"/>
        <v>0</v>
      </c>
      <c r="FS502" s="27">
        <f t="shared" si="495"/>
        <v>0</v>
      </c>
      <c r="FT502" s="27">
        <f t="shared" si="495"/>
        <v>0</v>
      </c>
      <c r="FU502" s="27">
        <f t="shared" si="495"/>
        <v>0</v>
      </c>
      <c r="FV502" s="27">
        <f t="shared" si="495"/>
        <v>0</v>
      </c>
      <c r="FW502" s="28"/>
      <c r="FX502" s="29">
        <f t="shared" si="3"/>
        <v>0</v>
      </c>
    </row>
    <row r="503" spans="1:180" ht="18" customHeight="1" x14ac:dyDescent="0.25">
      <c r="A503" s="3" t="str">
        <f>IF(C503&lt;&gt;"","DRG-"&amp;TEXT(498,"000"),"")</f>
        <v/>
      </c>
      <c r="B503" s="33"/>
      <c r="C503" s="33"/>
      <c r="D503" s="33"/>
      <c r="E503" s="33"/>
      <c r="F503" s="33"/>
      <c r="G503" s="33"/>
      <c r="H503" s="33"/>
      <c r="I503" s="33"/>
      <c r="J503" s="33"/>
      <c r="K503" s="33"/>
      <c r="L503" s="37">
        <v>4</v>
      </c>
      <c r="M503" s="30" t="str">
        <f t="shared" si="0"/>
        <v>✘ Pending</v>
      </c>
      <c r="N503" s="30">
        <f t="shared" si="1"/>
        <v>0</v>
      </c>
      <c r="O503" s="31"/>
      <c r="P503" s="32"/>
      <c r="Q503" s="33"/>
      <c r="R503" s="33"/>
      <c r="S503" s="33"/>
      <c r="T503" s="33"/>
      <c r="U503" s="33"/>
      <c r="V503" s="33"/>
      <c r="W503" s="33"/>
      <c r="X503" s="33"/>
      <c r="Y503" s="33"/>
      <c r="Z503" s="33"/>
      <c r="AA503" s="33"/>
      <c r="AB503" s="31"/>
      <c r="AC503" s="32"/>
      <c r="AD503" s="33"/>
      <c r="AE503" s="33"/>
      <c r="AF503" s="33"/>
      <c r="AG503" s="33"/>
      <c r="AH503" s="33"/>
      <c r="AI503" s="33"/>
      <c r="AJ503" s="33"/>
      <c r="AK503" s="33"/>
      <c r="AL503" s="33"/>
      <c r="AM503" s="33"/>
      <c r="AN503" s="33"/>
      <c r="AO503" s="31"/>
      <c r="AP503" s="32"/>
      <c r="AQ503" s="33"/>
      <c r="AR503" s="33"/>
      <c r="AS503" s="33"/>
      <c r="AT503" s="33"/>
      <c r="AU503" s="33"/>
      <c r="AV503" s="33"/>
      <c r="AW503" s="33"/>
      <c r="AX503" s="33"/>
      <c r="AY503" s="33"/>
      <c r="AZ503" s="33"/>
      <c r="BA503" s="33"/>
      <c r="BB503" s="31"/>
      <c r="BC503" s="32"/>
      <c r="BD503" s="33"/>
      <c r="BE503" s="33"/>
      <c r="BF503" s="33"/>
      <c r="BG503" s="33"/>
      <c r="BH503" s="33"/>
      <c r="BI503" s="33"/>
      <c r="BJ503" s="33"/>
      <c r="BK503" s="33"/>
      <c r="BL503" s="33"/>
      <c r="BM503" s="33"/>
      <c r="BN503" s="33"/>
      <c r="BO503" s="31"/>
      <c r="BP503" s="32"/>
      <c r="BQ503" s="33"/>
      <c r="BR503" s="33"/>
      <c r="BS503" s="33"/>
      <c r="BT503" s="33"/>
      <c r="BU503" s="33"/>
      <c r="BV503" s="33"/>
      <c r="BW503" s="33"/>
      <c r="BX503" s="33"/>
      <c r="BY503" s="33"/>
      <c r="BZ503" s="33"/>
      <c r="CA503" s="33"/>
      <c r="CB503" s="31"/>
      <c r="CC503" s="32"/>
      <c r="CD503" s="33"/>
      <c r="CE503" s="33"/>
      <c r="CF503" s="33"/>
      <c r="CG503" s="33"/>
      <c r="CH503" s="33"/>
      <c r="CI503" s="33"/>
      <c r="CJ503" s="33"/>
      <c r="CK503" s="33"/>
      <c r="CL503" s="33"/>
      <c r="CM503" s="33"/>
      <c r="CN503" s="33"/>
      <c r="CO503" s="31"/>
      <c r="CP503" s="32"/>
      <c r="CQ503" s="33"/>
      <c r="CR503" s="33"/>
      <c r="CS503" s="33"/>
      <c r="CT503" s="33"/>
      <c r="CU503" s="33"/>
      <c r="CV503" s="33"/>
      <c r="CW503" s="33"/>
      <c r="CX503" s="33"/>
      <c r="CY503" s="33"/>
      <c r="CZ503" s="33"/>
      <c r="DA503" s="33"/>
      <c r="DB503" s="31"/>
      <c r="DC503" s="32"/>
      <c r="DD503" s="33"/>
      <c r="DE503" s="33"/>
      <c r="DF503" s="33"/>
      <c r="DG503" s="33"/>
      <c r="DH503" s="33"/>
      <c r="DI503" s="33"/>
      <c r="DJ503" s="33"/>
      <c r="DK503" s="33"/>
      <c r="DL503" s="33"/>
      <c r="DM503" s="33"/>
      <c r="DN503" s="33"/>
      <c r="DO503" s="31"/>
      <c r="DP503" s="32"/>
      <c r="DQ503" s="33"/>
      <c r="DR503" s="33"/>
      <c r="DS503" s="33"/>
      <c r="DT503" s="33"/>
      <c r="DU503" s="33"/>
      <c r="DV503" s="33"/>
      <c r="DW503" s="33"/>
      <c r="DX503" s="33"/>
      <c r="DY503" s="33"/>
      <c r="DZ503" s="33"/>
      <c r="EA503" s="33"/>
      <c r="EB503" s="31"/>
      <c r="EC503" s="32"/>
      <c r="ED503" s="33"/>
      <c r="EE503" s="33"/>
      <c r="EF503" s="33"/>
      <c r="EG503" s="33"/>
      <c r="EH503" s="33"/>
      <c r="EI503" s="33"/>
      <c r="EJ503" s="33"/>
      <c r="EK503" s="33"/>
      <c r="EL503" s="33"/>
      <c r="EM503" s="33"/>
      <c r="EN503" s="33"/>
      <c r="EO503" s="31"/>
      <c r="EP503" s="32"/>
      <c r="EQ503" s="33"/>
      <c r="ER503" s="33"/>
      <c r="ES503" s="33"/>
      <c r="ET503" s="33"/>
      <c r="EU503" s="33"/>
      <c r="EV503" s="33"/>
      <c r="EW503" s="33"/>
      <c r="EX503" s="33"/>
      <c r="EY503" s="33"/>
      <c r="EZ503" s="33"/>
      <c r="FA503" s="33"/>
      <c r="FB503" s="31"/>
      <c r="FC503" s="32"/>
      <c r="FD503" s="33"/>
      <c r="FE503" s="33"/>
      <c r="FF503" s="33"/>
      <c r="FG503" s="33"/>
      <c r="FH503" s="33"/>
      <c r="FI503" s="33"/>
      <c r="FJ503" s="33"/>
      <c r="FK503" s="33"/>
      <c r="FL503" s="33"/>
      <c r="FM503" s="33"/>
      <c r="FN503" s="33"/>
      <c r="FO503" s="34">
        <f t="shared" ref="FO503:FV503" si="496">IFERROR(R503*1,0)+IFERROR(AE503*1,0)+IFERROR(AR503*1,0)+IFERROR(BE503*1,0)+IFERROR(BR503*1,0)+IFERROR(CE503*1,0)+IFERROR(CR503*1,0)+IFERROR(DE503*1,0)+IFERROR(DR503*1,0)+IFERROR(EE503*1,0)+IFERROR(ER503*1,0)+IFERROR(FE503*1,0)</f>
        <v>0</v>
      </c>
      <c r="FP503" s="34">
        <f t="shared" si="496"/>
        <v>0</v>
      </c>
      <c r="FQ503" s="34">
        <f t="shared" si="496"/>
        <v>0</v>
      </c>
      <c r="FR503" s="34">
        <f t="shared" si="496"/>
        <v>0</v>
      </c>
      <c r="FS503" s="34">
        <f t="shared" si="496"/>
        <v>0</v>
      </c>
      <c r="FT503" s="34">
        <f t="shared" si="496"/>
        <v>0</v>
      </c>
      <c r="FU503" s="34">
        <f t="shared" si="496"/>
        <v>0</v>
      </c>
      <c r="FV503" s="34">
        <f t="shared" si="496"/>
        <v>0</v>
      </c>
      <c r="FW503" s="28"/>
      <c r="FX503" s="29">
        <f t="shared" si="3"/>
        <v>0</v>
      </c>
    </row>
    <row r="504" spans="1:180" ht="18" customHeight="1" x14ac:dyDescent="0.25">
      <c r="A504" s="3" t="str">
        <f>IF(C504&lt;&gt;"","DRG-"&amp;TEXT(499,"000"),"")</f>
        <v/>
      </c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38">
        <v>4</v>
      </c>
      <c r="M504" s="23" t="str">
        <f t="shared" si="0"/>
        <v>✘ Pending</v>
      </c>
      <c r="N504" s="23">
        <f t="shared" si="1"/>
        <v>0</v>
      </c>
      <c r="O504" s="25"/>
      <c r="P504" s="26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  <c r="AB504" s="25"/>
      <c r="AC504" s="26"/>
      <c r="AD504" s="24"/>
      <c r="AE504" s="24"/>
      <c r="AF504" s="24"/>
      <c r="AG504" s="24"/>
      <c r="AH504" s="24"/>
      <c r="AI504" s="24"/>
      <c r="AJ504" s="24"/>
      <c r="AK504" s="24"/>
      <c r="AL504" s="24"/>
      <c r="AM504" s="24"/>
      <c r="AN504" s="24"/>
      <c r="AO504" s="25"/>
      <c r="AP504" s="26"/>
      <c r="AQ504" s="24"/>
      <c r="AR504" s="24"/>
      <c r="AS504" s="24"/>
      <c r="AT504" s="24"/>
      <c r="AU504" s="24"/>
      <c r="AV504" s="24"/>
      <c r="AW504" s="24"/>
      <c r="AX504" s="24"/>
      <c r="AY504" s="24"/>
      <c r="AZ504" s="24"/>
      <c r="BA504" s="24"/>
      <c r="BB504" s="25"/>
      <c r="BC504" s="26"/>
      <c r="BD504" s="24"/>
      <c r="BE504" s="24"/>
      <c r="BF504" s="24"/>
      <c r="BG504" s="24"/>
      <c r="BH504" s="24"/>
      <c r="BI504" s="24"/>
      <c r="BJ504" s="24"/>
      <c r="BK504" s="24"/>
      <c r="BL504" s="24"/>
      <c r="BM504" s="24"/>
      <c r="BN504" s="24"/>
      <c r="BO504" s="25"/>
      <c r="BP504" s="26"/>
      <c r="BQ504" s="24"/>
      <c r="BR504" s="24"/>
      <c r="BS504" s="24"/>
      <c r="BT504" s="24"/>
      <c r="BU504" s="24"/>
      <c r="BV504" s="24"/>
      <c r="BW504" s="24"/>
      <c r="BX504" s="24"/>
      <c r="BY504" s="24"/>
      <c r="BZ504" s="24"/>
      <c r="CA504" s="24"/>
      <c r="CB504" s="25"/>
      <c r="CC504" s="26"/>
      <c r="CD504" s="24"/>
      <c r="CE504" s="24"/>
      <c r="CF504" s="24"/>
      <c r="CG504" s="24"/>
      <c r="CH504" s="24"/>
      <c r="CI504" s="24"/>
      <c r="CJ504" s="24"/>
      <c r="CK504" s="24"/>
      <c r="CL504" s="24"/>
      <c r="CM504" s="24"/>
      <c r="CN504" s="24"/>
      <c r="CO504" s="25"/>
      <c r="CP504" s="26"/>
      <c r="CQ504" s="24"/>
      <c r="CR504" s="24"/>
      <c r="CS504" s="24"/>
      <c r="CT504" s="24"/>
      <c r="CU504" s="24"/>
      <c r="CV504" s="24"/>
      <c r="CW504" s="24"/>
      <c r="CX504" s="24"/>
      <c r="CY504" s="24"/>
      <c r="CZ504" s="24"/>
      <c r="DA504" s="24"/>
      <c r="DB504" s="25"/>
      <c r="DC504" s="26"/>
      <c r="DD504" s="24"/>
      <c r="DE504" s="24"/>
      <c r="DF504" s="24"/>
      <c r="DG504" s="24"/>
      <c r="DH504" s="24"/>
      <c r="DI504" s="24"/>
      <c r="DJ504" s="24"/>
      <c r="DK504" s="24"/>
      <c r="DL504" s="24"/>
      <c r="DM504" s="24"/>
      <c r="DN504" s="24"/>
      <c r="DO504" s="25"/>
      <c r="DP504" s="26"/>
      <c r="DQ504" s="24"/>
      <c r="DR504" s="24"/>
      <c r="DS504" s="24"/>
      <c r="DT504" s="24"/>
      <c r="DU504" s="24"/>
      <c r="DV504" s="24"/>
      <c r="DW504" s="24"/>
      <c r="DX504" s="24"/>
      <c r="DY504" s="24"/>
      <c r="DZ504" s="24"/>
      <c r="EA504" s="24"/>
      <c r="EB504" s="25"/>
      <c r="EC504" s="26"/>
      <c r="ED504" s="24"/>
      <c r="EE504" s="24"/>
      <c r="EF504" s="24"/>
      <c r="EG504" s="24"/>
      <c r="EH504" s="24"/>
      <c r="EI504" s="24"/>
      <c r="EJ504" s="24"/>
      <c r="EK504" s="24"/>
      <c r="EL504" s="24"/>
      <c r="EM504" s="24"/>
      <c r="EN504" s="24"/>
      <c r="EO504" s="25"/>
      <c r="EP504" s="26"/>
      <c r="EQ504" s="24"/>
      <c r="ER504" s="24"/>
      <c r="ES504" s="24"/>
      <c r="ET504" s="24"/>
      <c r="EU504" s="24"/>
      <c r="EV504" s="24"/>
      <c r="EW504" s="24"/>
      <c r="EX504" s="24"/>
      <c r="EY504" s="24"/>
      <c r="EZ504" s="24"/>
      <c r="FA504" s="24"/>
      <c r="FB504" s="25"/>
      <c r="FC504" s="26"/>
      <c r="FD504" s="24"/>
      <c r="FE504" s="24"/>
      <c r="FF504" s="24"/>
      <c r="FG504" s="24"/>
      <c r="FH504" s="24"/>
      <c r="FI504" s="24"/>
      <c r="FJ504" s="24"/>
      <c r="FK504" s="24"/>
      <c r="FL504" s="24"/>
      <c r="FM504" s="24"/>
      <c r="FN504" s="24"/>
      <c r="FO504" s="27">
        <f t="shared" ref="FO504:FV504" si="497">IFERROR(R504*1,0)+IFERROR(AE504*1,0)+IFERROR(AR504*1,0)+IFERROR(BE504*1,0)+IFERROR(BR504*1,0)+IFERROR(CE504*1,0)+IFERROR(CR504*1,0)+IFERROR(DE504*1,0)+IFERROR(DR504*1,0)+IFERROR(EE504*1,0)+IFERROR(ER504*1,0)+IFERROR(FE504*1,0)</f>
        <v>0</v>
      </c>
      <c r="FP504" s="27">
        <f t="shared" si="497"/>
        <v>0</v>
      </c>
      <c r="FQ504" s="27">
        <f t="shared" si="497"/>
        <v>0</v>
      </c>
      <c r="FR504" s="27">
        <f t="shared" si="497"/>
        <v>0</v>
      </c>
      <c r="FS504" s="27">
        <f t="shared" si="497"/>
        <v>0</v>
      </c>
      <c r="FT504" s="27">
        <f t="shared" si="497"/>
        <v>0</v>
      </c>
      <c r="FU504" s="27">
        <f t="shared" si="497"/>
        <v>0</v>
      </c>
      <c r="FV504" s="27">
        <f t="shared" si="497"/>
        <v>0</v>
      </c>
      <c r="FW504" s="28"/>
      <c r="FX504" s="29">
        <f t="shared" si="3"/>
        <v>0</v>
      </c>
    </row>
    <row r="505" spans="1:180" ht="18" customHeight="1" x14ac:dyDescent="0.25">
      <c r="A505" s="3" t="str">
        <f>IF(C505&lt;&gt;"","DRG-"&amp;TEXT(500,"000"),"")</f>
        <v/>
      </c>
      <c r="B505" s="33"/>
      <c r="C505" s="33"/>
      <c r="D505" s="33"/>
      <c r="E505" s="33"/>
      <c r="F505" s="33"/>
      <c r="G505" s="33"/>
      <c r="H505" s="33"/>
      <c r="I505" s="33"/>
      <c r="J505" s="33"/>
      <c r="K505" s="33"/>
      <c r="L505" s="37">
        <v>4</v>
      </c>
      <c r="M505" s="30" t="str">
        <f t="shared" si="0"/>
        <v>✘ Pending</v>
      </c>
      <c r="N505" s="30">
        <f t="shared" si="1"/>
        <v>0</v>
      </c>
      <c r="O505" s="31"/>
      <c r="P505" s="32"/>
      <c r="Q505" s="33"/>
      <c r="R505" s="33"/>
      <c r="S505" s="33"/>
      <c r="T505" s="33"/>
      <c r="U505" s="33"/>
      <c r="V505" s="33"/>
      <c r="W505" s="33"/>
      <c r="X505" s="33"/>
      <c r="Y505" s="33"/>
      <c r="Z505" s="33"/>
      <c r="AA505" s="33"/>
      <c r="AB505" s="31"/>
      <c r="AC505" s="32"/>
      <c r="AD505" s="33"/>
      <c r="AE505" s="33"/>
      <c r="AF505" s="33"/>
      <c r="AG505" s="33"/>
      <c r="AH505" s="33"/>
      <c r="AI505" s="33"/>
      <c r="AJ505" s="33"/>
      <c r="AK505" s="33"/>
      <c r="AL505" s="33"/>
      <c r="AM505" s="33"/>
      <c r="AN505" s="33"/>
      <c r="AO505" s="31"/>
      <c r="AP505" s="32"/>
      <c r="AQ505" s="33"/>
      <c r="AR505" s="33"/>
      <c r="AS505" s="33"/>
      <c r="AT505" s="33"/>
      <c r="AU505" s="33"/>
      <c r="AV505" s="33"/>
      <c r="AW505" s="33"/>
      <c r="AX505" s="33"/>
      <c r="AY505" s="33"/>
      <c r="AZ505" s="33"/>
      <c r="BA505" s="33"/>
      <c r="BB505" s="31"/>
      <c r="BC505" s="32"/>
      <c r="BD505" s="33"/>
      <c r="BE505" s="33"/>
      <c r="BF505" s="33"/>
      <c r="BG505" s="33"/>
      <c r="BH505" s="33"/>
      <c r="BI505" s="33"/>
      <c r="BJ505" s="33"/>
      <c r="BK505" s="33"/>
      <c r="BL505" s="33"/>
      <c r="BM505" s="33"/>
      <c r="BN505" s="33"/>
      <c r="BO505" s="31"/>
      <c r="BP505" s="32"/>
      <c r="BQ505" s="33"/>
      <c r="BR505" s="33"/>
      <c r="BS505" s="33"/>
      <c r="BT505" s="33"/>
      <c r="BU505" s="33"/>
      <c r="BV505" s="33"/>
      <c r="BW505" s="33"/>
      <c r="BX505" s="33"/>
      <c r="BY505" s="33"/>
      <c r="BZ505" s="33"/>
      <c r="CA505" s="33"/>
      <c r="CB505" s="31"/>
      <c r="CC505" s="32"/>
      <c r="CD505" s="33"/>
      <c r="CE505" s="33"/>
      <c r="CF505" s="33"/>
      <c r="CG505" s="33"/>
      <c r="CH505" s="33"/>
      <c r="CI505" s="33"/>
      <c r="CJ505" s="33"/>
      <c r="CK505" s="33"/>
      <c r="CL505" s="33"/>
      <c r="CM505" s="33"/>
      <c r="CN505" s="33"/>
      <c r="CO505" s="31"/>
      <c r="CP505" s="32"/>
      <c r="CQ505" s="33"/>
      <c r="CR505" s="33"/>
      <c r="CS505" s="33"/>
      <c r="CT505" s="33"/>
      <c r="CU505" s="33"/>
      <c r="CV505" s="33"/>
      <c r="CW505" s="33"/>
      <c r="CX505" s="33"/>
      <c r="CY505" s="33"/>
      <c r="CZ505" s="33"/>
      <c r="DA505" s="33"/>
      <c r="DB505" s="31"/>
      <c r="DC505" s="32"/>
      <c r="DD505" s="33"/>
      <c r="DE505" s="33"/>
      <c r="DF505" s="33"/>
      <c r="DG505" s="33"/>
      <c r="DH505" s="33"/>
      <c r="DI505" s="33"/>
      <c r="DJ505" s="33"/>
      <c r="DK505" s="33"/>
      <c r="DL505" s="33"/>
      <c r="DM505" s="33"/>
      <c r="DN505" s="33"/>
      <c r="DO505" s="31"/>
      <c r="DP505" s="32"/>
      <c r="DQ505" s="33"/>
      <c r="DR505" s="33"/>
      <c r="DS505" s="33"/>
      <c r="DT505" s="33"/>
      <c r="DU505" s="33"/>
      <c r="DV505" s="33"/>
      <c r="DW505" s="33"/>
      <c r="DX505" s="33"/>
      <c r="DY505" s="33"/>
      <c r="DZ505" s="33"/>
      <c r="EA505" s="33"/>
      <c r="EB505" s="31"/>
      <c r="EC505" s="32"/>
      <c r="ED505" s="33"/>
      <c r="EE505" s="33"/>
      <c r="EF505" s="33"/>
      <c r="EG505" s="33"/>
      <c r="EH505" s="33"/>
      <c r="EI505" s="33"/>
      <c r="EJ505" s="33"/>
      <c r="EK505" s="33"/>
      <c r="EL505" s="33"/>
      <c r="EM505" s="33"/>
      <c r="EN505" s="33"/>
      <c r="EO505" s="31"/>
      <c r="EP505" s="32"/>
      <c r="EQ505" s="33"/>
      <c r="ER505" s="33"/>
      <c r="ES505" s="33"/>
      <c r="ET505" s="33"/>
      <c r="EU505" s="33"/>
      <c r="EV505" s="33"/>
      <c r="EW505" s="33"/>
      <c r="EX505" s="33"/>
      <c r="EY505" s="33"/>
      <c r="EZ505" s="33"/>
      <c r="FA505" s="33"/>
      <c r="FB505" s="31"/>
      <c r="FC505" s="32"/>
      <c r="FD505" s="33"/>
      <c r="FE505" s="33"/>
      <c r="FF505" s="33"/>
      <c r="FG505" s="33"/>
      <c r="FH505" s="33"/>
      <c r="FI505" s="33"/>
      <c r="FJ505" s="33"/>
      <c r="FK505" s="33"/>
      <c r="FL505" s="33"/>
      <c r="FM505" s="33"/>
      <c r="FN505" s="33"/>
      <c r="FO505" s="34">
        <f t="shared" ref="FO505:FV505" si="498">IFERROR(R505*1,0)+IFERROR(AE505*1,0)+IFERROR(AR505*1,0)+IFERROR(BE505*1,0)+IFERROR(BR505*1,0)+IFERROR(CE505*1,0)+IFERROR(CR505*1,0)+IFERROR(DE505*1,0)+IFERROR(DR505*1,0)+IFERROR(EE505*1,0)+IFERROR(ER505*1,0)+IFERROR(FE505*1,0)</f>
        <v>0</v>
      </c>
      <c r="FP505" s="34">
        <f t="shared" si="498"/>
        <v>0</v>
      </c>
      <c r="FQ505" s="34">
        <f t="shared" si="498"/>
        <v>0</v>
      </c>
      <c r="FR505" s="34">
        <f t="shared" si="498"/>
        <v>0</v>
      </c>
      <c r="FS505" s="34">
        <f t="shared" si="498"/>
        <v>0</v>
      </c>
      <c r="FT505" s="34">
        <f t="shared" si="498"/>
        <v>0</v>
      </c>
      <c r="FU505" s="34">
        <f t="shared" si="498"/>
        <v>0</v>
      </c>
      <c r="FV505" s="34">
        <f t="shared" si="498"/>
        <v>0</v>
      </c>
      <c r="FW505" s="28"/>
      <c r="FX505" s="29">
        <f t="shared" si="3"/>
        <v>0</v>
      </c>
    </row>
    <row r="506" spans="1:180" ht="18" customHeight="1" x14ac:dyDescent="0.25">
      <c r="A506" s="3" t="str">
        <f>IF(C506&lt;&gt;"","DRG-"&amp;TEXT(501,"000"),"")</f>
        <v/>
      </c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38">
        <v>4</v>
      </c>
      <c r="M506" s="23" t="str">
        <f t="shared" si="0"/>
        <v>✘ Pending</v>
      </c>
      <c r="N506" s="23">
        <f t="shared" si="1"/>
        <v>0</v>
      </c>
      <c r="O506" s="25"/>
      <c r="P506" s="26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  <c r="AB506" s="25"/>
      <c r="AC506" s="26"/>
      <c r="AD506" s="24"/>
      <c r="AE506" s="24"/>
      <c r="AF506" s="24"/>
      <c r="AG506" s="24"/>
      <c r="AH506" s="24"/>
      <c r="AI506" s="24"/>
      <c r="AJ506" s="24"/>
      <c r="AK506" s="24"/>
      <c r="AL506" s="24"/>
      <c r="AM506" s="24"/>
      <c r="AN506" s="24"/>
      <c r="AO506" s="25"/>
      <c r="AP506" s="26"/>
      <c r="AQ506" s="24"/>
      <c r="AR506" s="24"/>
      <c r="AS506" s="24"/>
      <c r="AT506" s="24"/>
      <c r="AU506" s="24"/>
      <c r="AV506" s="24"/>
      <c r="AW506" s="24"/>
      <c r="AX506" s="24"/>
      <c r="AY506" s="24"/>
      <c r="AZ506" s="24"/>
      <c r="BA506" s="24"/>
      <c r="BB506" s="25"/>
      <c r="BC506" s="26"/>
      <c r="BD506" s="24"/>
      <c r="BE506" s="24"/>
      <c r="BF506" s="24"/>
      <c r="BG506" s="24"/>
      <c r="BH506" s="24"/>
      <c r="BI506" s="24"/>
      <c r="BJ506" s="24"/>
      <c r="BK506" s="24"/>
      <c r="BL506" s="24"/>
      <c r="BM506" s="24"/>
      <c r="BN506" s="24"/>
      <c r="BO506" s="25"/>
      <c r="BP506" s="26"/>
      <c r="BQ506" s="24"/>
      <c r="BR506" s="24"/>
      <c r="BS506" s="24"/>
      <c r="BT506" s="24"/>
      <c r="BU506" s="24"/>
      <c r="BV506" s="24"/>
      <c r="BW506" s="24"/>
      <c r="BX506" s="24"/>
      <c r="BY506" s="24"/>
      <c r="BZ506" s="24"/>
      <c r="CA506" s="24"/>
      <c r="CB506" s="25"/>
      <c r="CC506" s="26"/>
      <c r="CD506" s="24"/>
      <c r="CE506" s="24"/>
      <c r="CF506" s="24"/>
      <c r="CG506" s="24"/>
      <c r="CH506" s="24"/>
      <c r="CI506" s="24"/>
      <c r="CJ506" s="24"/>
      <c r="CK506" s="24"/>
      <c r="CL506" s="24"/>
      <c r="CM506" s="24"/>
      <c r="CN506" s="24"/>
      <c r="CO506" s="25"/>
      <c r="CP506" s="26"/>
      <c r="CQ506" s="24"/>
      <c r="CR506" s="24"/>
      <c r="CS506" s="24"/>
      <c r="CT506" s="24"/>
      <c r="CU506" s="24"/>
      <c r="CV506" s="24"/>
      <c r="CW506" s="24"/>
      <c r="CX506" s="24"/>
      <c r="CY506" s="24"/>
      <c r="CZ506" s="24"/>
      <c r="DA506" s="24"/>
      <c r="DB506" s="25"/>
      <c r="DC506" s="26"/>
      <c r="DD506" s="24"/>
      <c r="DE506" s="24"/>
      <c r="DF506" s="24"/>
      <c r="DG506" s="24"/>
      <c r="DH506" s="24"/>
      <c r="DI506" s="24"/>
      <c r="DJ506" s="24"/>
      <c r="DK506" s="24"/>
      <c r="DL506" s="24"/>
      <c r="DM506" s="24"/>
      <c r="DN506" s="24"/>
      <c r="DO506" s="25"/>
      <c r="DP506" s="26"/>
      <c r="DQ506" s="24"/>
      <c r="DR506" s="24"/>
      <c r="DS506" s="24"/>
      <c r="DT506" s="24"/>
      <c r="DU506" s="24"/>
      <c r="DV506" s="24"/>
      <c r="DW506" s="24"/>
      <c r="DX506" s="24"/>
      <c r="DY506" s="24"/>
      <c r="DZ506" s="24"/>
      <c r="EA506" s="24"/>
      <c r="EB506" s="25"/>
      <c r="EC506" s="26"/>
      <c r="ED506" s="24"/>
      <c r="EE506" s="24"/>
      <c r="EF506" s="24"/>
      <c r="EG506" s="24"/>
      <c r="EH506" s="24"/>
      <c r="EI506" s="24"/>
      <c r="EJ506" s="24"/>
      <c r="EK506" s="24"/>
      <c r="EL506" s="24"/>
      <c r="EM506" s="24"/>
      <c r="EN506" s="24"/>
      <c r="EO506" s="25"/>
      <c r="EP506" s="26"/>
      <c r="EQ506" s="24"/>
      <c r="ER506" s="24"/>
      <c r="ES506" s="24"/>
      <c r="ET506" s="24"/>
      <c r="EU506" s="24"/>
      <c r="EV506" s="24"/>
      <c r="EW506" s="24"/>
      <c r="EX506" s="24"/>
      <c r="EY506" s="24"/>
      <c r="EZ506" s="24"/>
      <c r="FA506" s="24"/>
      <c r="FB506" s="25"/>
      <c r="FC506" s="26"/>
      <c r="FD506" s="24"/>
      <c r="FE506" s="24"/>
      <c r="FF506" s="24"/>
      <c r="FG506" s="24"/>
      <c r="FH506" s="24"/>
      <c r="FI506" s="24"/>
      <c r="FJ506" s="24"/>
      <c r="FK506" s="24"/>
      <c r="FL506" s="24"/>
      <c r="FM506" s="24"/>
      <c r="FN506" s="24"/>
      <c r="FO506" s="27">
        <f t="shared" ref="FO506:FV506" si="499">IFERROR(R506*1,0)+IFERROR(AE506*1,0)+IFERROR(AR506*1,0)+IFERROR(BE506*1,0)+IFERROR(BR506*1,0)+IFERROR(CE506*1,0)+IFERROR(CR506*1,0)+IFERROR(DE506*1,0)+IFERROR(DR506*1,0)+IFERROR(EE506*1,0)+IFERROR(ER506*1,0)+IFERROR(FE506*1,0)</f>
        <v>0</v>
      </c>
      <c r="FP506" s="27">
        <f t="shared" si="499"/>
        <v>0</v>
      </c>
      <c r="FQ506" s="27">
        <f t="shared" si="499"/>
        <v>0</v>
      </c>
      <c r="FR506" s="27">
        <f t="shared" si="499"/>
        <v>0</v>
      </c>
      <c r="FS506" s="27">
        <f t="shared" si="499"/>
        <v>0</v>
      </c>
      <c r="FT506" s="27">
        <f t="shared" si="499"/>
        <v>0</v>
      </c>
      <c r="FU506" s="27">
        <f t="shared" si="499"/>
        <v>0</v>
      </c>
      <c r="FV506" s="27">
        <f t="shared" si="499"/>
        <v>0</v>
      </c>
      <c r="FW506" s="28"/>
      <c r="FX506" s="29">
        <f t="shared" si="3"/>
        <v>0</v>
      </c>
    </row>
    <row r="507" spans="1:180" ht="18" customHeight="1" x14ac:dyDescent="0.25">
      <c r="A507" s="3" t="str">
        <f>IF(C507&lt;&gt;"","DRG-"&amp;TEXT(502,"000"),"")</f>
        <v/>
      </c>
      <c r="B507" s="33"/>
      <c r="C507" s="33"/>
      <c r="D507" s="33"/>
      <c r="E507" s="33"/>
      <c r="F507" s="33"/>
      <c r="G507" s="33"/>
      <c r="H507" s="33"/>
      <c r="I507" s="33"/>
      <c r="J507" s="33"/>
      <c r="K507" s="33"/>
      <c r="L507" s="37">
        <v>4</v>
      </c>
      <c r="M507" s="30" t="str">
        <f t="shared" si="0"/>
        <v>✘ Pending</v>
      </c>
      <c r="N507" s="30">
        <f t="shared" si="1"/>
        <v>0</v>
      </c>
      <c r="O507" s="31"/>
      <c r="P507" s="32"/>
      <c r="Q507" s="33"/>
      <c r="R507" s="33"/>
      <c r="S507" s="33"/>
      <c r="T507" s="33"/>
      <c r="U507" s="33"/>
      <c r="V507" s="33"/>
      <c r="W507" s="33"/>
      <c r="X507" s="33"/>
      <c r="Y507" s="33"/>
      <c r="Z507" s="33"/>
      <c r="AA507" s="33"/>
      <c r="AB507" s="31"/>
      <c r="AC507" s="32"/>
      <c r="AD507" s="33"/>
      <c r="AE507" s="33"/>
      <c r="AF507" s="33"/>
      <c r="AG507" s="33"/>
      <c r="AH507" s="33"/>
      <c r="AI507" s="33"/>
      <c r="AJ507" s="33"/>
      <c r="AK507" s="33"/>
      <c r="AL507" s="33"/>
      <c r="AM507" s="33"/>
      <c r="AN507" s="33"/>
      <c r="AO507" s="31"/>
      <c r="AP507" s="32"/>
      <c r="AQ507" s="33"/>
      <c r="AR507" s="33"/>
      <c r="AS507" s="33"/>
      <c r="AT507" s="33"/>
      <c r="AU507" s="33"/>
      <c r="AV507" s="33"/>
      <c r="AW507" s="33"/>
      <c r="AX507" s="33"/>
      <c r="AY507" s="33"/>
      <c r="AZ507" s="33"/>
      <c r="BA507" s="33"/>
      <c r="BB507" s="31"/>
      <c r="BC507" s="32"/>
      <c r="BD507" s="33"/>
      <c r="BE507" s="33"/>
      <c r="BF507" s="33"/>
      <c r="BG507" s="33"/>
      <c r="BH507" s="33"/>
      <c r="BI507" s="33"/>
      <c r="BJ507" s="33"/>
      <c r="BK507" s="33"/>
      <c r="BL507" s="33"/>
      <c r="BM507" s="33"/>
      <c r="BN507" s="33"/>
      <c r="BO507" s="31"/>
      <c r="BP507" s="32"/>
      <c r="BQ507" s="33"/>
      <c r="BR507" s="33"/>
      <c r="BS507" s="33"/>
      <c r="BT507" s="33"/>
      <c r="BU507" s="33"/>
      <c r="BV507" s="33"/>
      <c r="BW507" s="33"/>
      <c r="BX507" s="33"/>
      <c r="BY507" s="33"/>
      <c r="BZ507" s="33"/>
      <c r="CA507" s="33"/>
      <c r="CB507" s="31"/>
      <c r="CC507" s="32"/>
      <c r="CD507" s="33"/>
      <c r="CE507" s="33"/>
      <c r="CF507" s="33"/>
      <c r="CG507" s="33"/>
      <c r="CH507" s="33"/>
      <c r="CI507" s="33"/>
      <c r="CJ507" s="33"/>
      <c r="CK507" s="33"/>
      <c r="CL507" s="33"/>
      <c r="CM507" s="33"/>
      <c r="CN507" s="33"/>
      <c r="CO507" s="31"/>
      <c r="CP507" s="32"/>
      <c r="CQ507" s="33"/>
      <c r="CR507" s="33"/>
      <c r="CS507" s="33"/>
      <c r="CT507" s="33"/>
      <c r="CU507" s="33"/>
      <c r="CV507" s="33"/>
      <c r="CW507" s="33"/>
      <c r="CX507" s="33"/>
      <c r="CY507" s="33"/>
      <c r="CZ507" s="33"/>
      <c r="DA507" s="33"/>
      <c r="DB507" s="31"/>
      <c r="DC507" s="32"/>
      <c r="DD507" s="33"/>
      <c r="DE507" s="33"/>
      <c r="DF507" s="33"/>
      <c r="DG507" s="33"/>
      <c r="DH507" s="33"/>
      <c r="DI507" s="33"/>
      <c r="DJ507" s="33"/>
      <c r="DK507" s="33"/>
      <c r="DL507" s="33"/>
      <c r="DM507" s="33"/>
      <c r="DN507" s="33"/>
      <c r="DO507" s="31"/>
      <c r="DP507" s="32"/>
      <c r="DQ507" s="33"/>
      <c r="DR507" s="33"/>
      <c r="DS507" s="33"/>
      <c r="DT507" s="33"/>
      <c r="DU507" s="33"/>
      <c r="DV507" s="33"/>
      <c r="DW507" s="33"/>
      <c r="DX507" s="33"/>
      <c r="DY507" s="33"/>
      <c r="DZ507" s="33"/>
      <c r="EA507" s="33"/>
      <c r="EB507" s="31"/>
      <c r="EC507" s="32"/>
      <c r="ED507" s="33"/>
      <c r="EE507" s="33"/>
      <c r="EF507" s="33"/>
      <c r="EG507" s="33"/>
      <c r="EH507" s="33"/>
      <c r="EI507" s="33"/>
      <c r="EJ507" s="33"/>
      <c r="EK507" s="33"/>
      <c r="EL507" s="33"/>
      <c r="EM507" s="33"/>
      <c r="EN507" s="33"/>
      <c r="EO507" s="31"/>
      <c r="EP507" s="32"/>
      <c r="EQ507" s="33"/>
      <c r="ER507" s="33"/>
      <c r="ES507" s="33"/>
      <c r="ET507" s="33"/>
      <c r="EU507" s="33"/>
      <c r="EV507" s="33"/>
      <c r="EW507" s="33"/>
      <c r="EX507" s="33"/>
      <c r="EY507" s="33"/>
      <c r="EZ507" s="33"/>
      <c r="FA507" s="33"/>
      <c r="FB507" s="31"/>
      <c r="FC507" s="32"/>
      <c r="FD507" s="33"/>
      <c r="FE507" s="33"/>
      <c r="FF507" s="33"/>
      <c r="FG507" s="33"/>
      <c r="FH507" s="33"/>
      <c r="FI507" s="33"/>
      <c r="FJ507" s="33"/>
      <c r="FK507" s="33"/>
      <c r="FL507" s="33"/>
      <c r="FM507" s="33"/>
      <c r="FN507" s="33"/>
      <c r="FO507" s="34">
        <f t="shared" ref="FO507:FV507" si="500">IFERROR(R507*1,0)+IFERROR(AE507*1,0)+IFERROR(AR507*1,0)+IFERROR(BE507*1,0)+IFERROR(BR507*1,0)+IFERROR(CE507*1,0)+IFERROR(CR507*1,0)+IFERROR(DE507*1,0)+IFERROR(DR507*1,0)+IFERROR(EE507*1,0)+IFERROR(ER507*1,0)+IFERROR(FE507*1,0)</f>
        <v>0</v>
      </c>
      <c r="FP507" s="34">
        <f t="shared" si="500"/>
        <v>0</v>
      </c>
      <c r="FQ507" s="34">
        <f t="shared" si="500"/>
        <v>0</v>
      </c>
      <c r="FR507" s="34">
        <f t="shared" si="500"/>
        <v>0</v>
      </c>
      <c r="FS507" s="34">
        <f t="shared" si="500"/>
        <v>0</v>
      </c>
      <c r="FT507" s="34">
        <f t="shared" si="500"/>
        <v>0</v>
      </c>
      <c r="FU507" s="34">
        <f t="shared" si="500"/>
        <v>0</v>
      </c>
      <c r="FV507" s="34">
        <f t="shared" si="500"/>
        <v>0</v>
      </c>
      <c r="FW507" s="28"/>
      <c r="FX507" s="29">
        <f t="shared" si="3"/>
        <v>0</v>
      </c>
    </row>
    <row r="508" spans="1:180" ht="18" customHeight="1" x14ac:dyDescent="0.25">
      <c r="A508" s="3" t="str">
        <f>IF(C508&lt;&gt;"","DRG-"&amp;TEXT(503,"000"),"")</f>
        <v/>
      </c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38">
        <v>4</v>
      </c>
      <c r="M508" s="23" t="str">
        <f t="shared" si="0"/>
        <v>✘ Pending</v>
      </c>
      <c r="N508" s="23">
        <f t="shared" si="1"/>
        <v>0</v>
      </c>
      <c r="O508" s="25"/>
      <c r="P508" s="26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  <c r="AB508" s="25"/>
      <c r="AC508" s="26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5"/>
      <c r="AP508" s="26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5"/>
      <c r="BC508" s="26"/>
      <c r="BD508" s="24"/>
      <c r="BE508" s="24"/>
      <c r="BF508" s="24"/>
      <c r="BG508" s="24"/>
      <c r="BH508" s="24"/>
      <c r="BI508" s="24"/>
      <c r="BJ508" s="24"/>
      <c r="BK508" s="24"/>
      <c r="BL508" s="24"/>
      <c r="BM508" s="24"/>
      <c r="BN508" s="24"/>
      <c r="BO508" s="25"/>
      <c r="BP508" s="26"/>
      <c r="BQ508" s="24"/>
      <c r="BR508" s="24"/>
      <c r="BS508" s="24"/>
      <c r="BT508" s="24"/>
      <c r="BU508" s="24"/>
      <c r="BV508" s="24"/>
      <c r="BW508" s="24"/>
      <c r="BX508" s="24"/>
      <c r="BY508" s="24"/>
      <c r="BZ508" s="24"/>
      <c r="CA508" s="24"/>
      <c r="CB508" s="25"/>
      <c r="CC508" s="26"/>
      <c r="CD508" s="24"/>
      <c r="CE508" s="24"/>
      <c r="CF508" s="24"/>
      <c r="CG508" s="24"/>
      <c r="CH508" s="24"/>
      <c r="CI508" s="24"/>
      <c r="CJ508" s="24"/>
      <c r="CK508" s="24"/>
      <c r="CL508" s="24"/>
      <c r="CM508" s="24"/>
      <c r="CN508" s="24"/>
      <c r="CO508" s="25"/>
      <c r="CP508" s="26"/>
      <c r="CQ508" s="24"/>
      <c r="CR508" s="24"/>
      <c r="CS508" s="24"/>
      <c r="CT508" s="24"/>
      <c r="CU508" s="24"/>
      <c r="CV508" s="24"/>
      <c r="CW508" s="24"/>
      <c r="CX508" s="24"/>
      <c r="CY508" s="24"/>
      <c r="CZ508" s="24"/>
      <c r="DA508" s="24"/>
      <c r="DB508" s="25"/>
      <c r="DC508" s="26"/>
      <c r="DD508" s="24"/>
      <c r="DE508" s="24"/>
      <c r="DF508" s="24"/>
      <c r="DG508" s="24"/>
      <c r="DH508" s="24"/>
      <c r="DI508" s="24"/>
      <c r="DJ508" s="24"/>
      <c r="DK508" s="24"/>
      <c r="DL508" s="24"/>
      <c r="DM508" s="24"/>
      <c r="DN508" s="24"/>
      <c r="DO508" s="25"/>
      <c r="DP508" s="26"/>
      <c r="DQ508" s="24"/>
      <c r="DR508" s="24"/>
      <c r="DS508" s="24"/>
      <c r="DT508" s="24"/>
      <c r="DU508" s="24"/>
      <c r="DV508" s="24"/>
      <c r="DW508" s="24"/>
      <c r="DX508" s="24"/>
      <c r="DY508" s="24"/>
      <c r="DZ508" s="24"/>
      <c r="EA508" s="24"/>
      <c r="EB508" s="25"/>
      <c r="EC508" s="26"/>
      <c r="ED508" s="24"/>
      <c r="EE508" s="24"/>
      <c r="EF508" s="24"/>
      <c r="EG508" s="24"/>
      <c r="EH508" s="24"/>
      <c r="EI508" s="24"/>
      <c r="EJ508" s="24"/>
      <c r="EK508" s="24"/>
      <c r="EL508" s="24"/>
      <c r="EM508" s="24"/>
      <c r="EN508" s="24"/>
      <c r="EO508" s="25"/>
      <c r="EP508" s="26"/>
      <c r="EQ508" s="24"/>
      <c r="ER508" s="24"/>
      <c r="ES508" s="24"/>
      <c r="ET508" s="24"/>
      <c r="EU508" s="24"/>
      <c r="EV508" s="24"/>
      <c r="EW508" s="24"/>
      <c r="EX508" s="24"/>
      <c r="EY508" s="24"/>
      <c r="EZ508" s="24"/>
      <c r="FA508" s="24"/>
      <c r="FB508" s="25"/>
      <c r="FC508" s="26"/>
      <c r="FD508" s="24"/>
      <c r="FE508" s="24"/>
      <c r="FF508" s="24"/>
      <c r="FG508" s="24"/>
      <c r="FH508" s="24"/>
      <c r="FI508" s="24"/>
      <c r="FJ508" s="24"/>
      <c r="FK508" s="24"/>
      <c r="FL508" s="24"/>
      <c r="FM508" s="24"/>
      <c r="FN508" s="24"/>
      <c r="FO508" s="27">
        <f t="shared" ref="FO508:FV508" si="501">IFERROR(R508*1,0)+IFERROR(AE508*1,0)+IFERROR(AR508*1,0)+IFERROR(BE508*1,0)+IFERROR(BR508*1,0)+IFERROR(CE508*1,0)+IFERROR(CR508*1,0)+IFERROR(DE508*1,0)+IFERROR(DR508*1,0)+IFERROR(EE508*1,0)+IFERROR(ER508*1,0)+IFERROR(FE508*1,0)</f>
        <v>0</v>
      </c>
      <c r="FP508" s="27">
        <f t="shared" si="501"/>
        <v>0</v>
      </c>
      <c r="FQ508" s="27">
        <f t="shared" si="501"/>
        <v>0</v>
      </c>
      <c r="FR508" s="27">
        <f t="shared" si="501"/>
        <v>0</v>
      </c>
      <c r="FS508" s="27">
        <f t="shared" si="501"/>
        <v>0</v>
      </c>
      <c r="FT508" s="27">
        <f t="shared" si="501"/>
        <v>0</v>
      </c>
      <c r="FU508" s="27">
        <f t="shared" si="501"/>
        <v>0</v>
      </c>
      <c r="FV508" s="27">
        <f t="shared" si="501"/>
        <v>0</v>
      </c>
      <c r="FW508" s="28"/>
      <c r="FX508" s="29">
        <f t="shared" si="3"/>
        <v>0</v>
      </c>
    </row>
    <row r="509" spans="1:180" ht="18" customHeight="1" x14ac:dyDescent="0.25">
      <c r="A509" s="3" t="str">
        <f>IF(C509&lt;&gt;"","DRG-"&amp;TEXT(504,"000"),"")</f>
        <v/>
      </c>
      <c r="B509" s="33"/>
      <c r="C509" s="33"/>
      <c r="D509" s="33"/>
      <c r="E509" s="33"/>
      <c r="F509" s="33"/>
      <c r="G509" s="33"/>
      <c r="H509" s="33"/>
      <c r="I509" s="33"/>
      <c r="J509" s="33"/>
      <c r="K509" s="33"/>
      <c r="L509" s="37">
        <v>4</v>
      </c>
      <c r="M509" s="30" t="str">
        <f t="shared" si="0"/>
        <v>✘ Pending</v>
      </c>
      <c r="N509" s="30">
        <f t="shared" si="1"/>
        <v>0</v>
      </c>
      <c r="O509" s="31"/>
      <c r="P509" s="32"/>
      <c r="Q509" s="33"/>
      <c r="R509" s="33"/>
      <c r="S509" s="33"/>
      <c r="T509" s="33"/>
      <c r="U509" s="33"/>
      <c r="V509" s="33"/>
      <c r="W509" s="33"/>
      <c r="X509" s="33"/>
      <c r="Y509" s="33"/>
      <c r="Z509" s="33"/>
      <c r="AA509" s="33"/>
      <c r="AB509" s="31"/>
      <c r="AC509" s="32"/>
      <c r="AD509" s="33"/>
      <c r="AE509" s="33"/>
      <c r="AF509" s="33"/>
      <c r="AG509" s="33"/>
      <c r="AH509" s="33"/>
      <c r="AI509" s="33"/>
      <c r="AJ509" s="33"/>
      <c r="AK509" s="33"/>
      <c r="AL509" s="33"/>
      <c r="AM509" s="33"/>
      <c r="AN509" s="33"/>
      <c r="AO509" s="31"/>
      <c r="AP509" s="32"/>
      <c r="AQ509" s="33"/>
      <c r="AR509" s="33"/>
      <c r="AS509" s="33"/>
      <c r="AT509" s="33"/>
      <c r="AU509" s="33"/>
      <c r="AV509" s="33"/>
      <c r="AW509" s="33"/>
      <c r="AX509" s="33"/>
      <c r="AY509" s="33"/>
      <c r="AZ509" s="33"/>
      <c r="BA509" s="33"/>
      <c r="BB509" s="31"/>
      <c r="BC509" s="32"/>
      <c r="BD509" s="33"/>
      <c r="BE509" s="33"/>
      <c r="BF509" s="33"/>
      <c r="BG509" s="33"/>
      <c r="BH509" s="33"/>
      <c r="BI509" s="33"/>
      <c r="BJ509" s="33"/>
      <c r="BK509" s="33"/>
      <c r="BL509" s="33"/>
      <c r="BM509" s="33"/>
      <c r="BN509" s="33"/>
      <c r="BO509" s="31"/>
      <c r="BP509" s="32"/>
      <c r="BQ509" s="33"/>
      <c r="BR509" s="33"/>
      <c r="BS509" s="33"/>
      <c r="BT509" s="33"/>
      <c r="BU509" s="33"/>
      <c r="BV509" s="33"/>
      <c r="BW509" s="33"/>
      <c r="BX509" s="33"/>
      <c r="BY509" s="33"/>
      <c r="BZ509" s="33"/>
      <c r="CA509" s="33"/>
      <c r="CB509" s="31"/>
      <c r="CC509" s="32"/>
      <c r="CD509" s="33"/>
      <c r="CE509" s="33"/>
      <c r="CF509" s="33"/>
      <c r="CG509" s="33"/>
      <c r="CH509" s="33"/>
      <c r="CI509" s="33"/>
      <c r="CJ509" s="33"/>
      <c r="CK509" s="33"/>
      <c r="CL509" s="33"/>
      <c r="CM509" s="33"/>
      <c r="CN509" s="33"/>
      <c r="CO509" s="31"/>
      <c r="CP509" s="32"/>
      <c r="CQ509" s="33"/>
      <c r="CR509" s="33"/>
      <c r="CS509" s="33"/>
      <c r="CT509" s="33"/>
      <c r="CU509" s="33"/>
      <c r="CV509" s="33"/>
      <c r="CW509" s="33"/>
      <c r="CX509" s="33"/>
      <c r="CY509" s="33"/>
      <c r="CZ509" s="33"/>
      <c r="DA509" s="33"/>
      <c r="DB509" s="31"/>
      <c r="DC509" s="32"/>
      <c r="DD509" s="33"/>
      <c r="DE509" s="33"/>
      <c r="DF509" s="33"/>
      <c r="DG509" s="33"/>
      <c r="DH509" s="33"/>
      <c r="DI509" s="33"/>
      <c r="DJ509" s="33"/>
      <c r="DK509" s="33"/>
      <c r="DL509" s="33"/>
      <c r="DM509" s="33"/>
      <c r="DN509" s="33"/>
      <c r="DO509" s="31"/>
      <c r="DP509" s="32"/>
      <c r="DQ509" s="33"/>
      <c r="DR509" s="33"/>
      <c r="DS509" s="33"/>
      <c r="DT509" s="33"/>
      <c r="DU509" s="33"/>
      <c r="DV509" s="33"/>
      <c r="DW509" s="33"/>
      <c r="DX509" s="33"/>
      <c r="DY509" s="33"/>
      <c r="DZ509" s="33"/>
      <c r="EA509" s="33"/>
      <c r="EB509" s="31"/>
      <c r="EC509" s="32"/>
      <c r="ED509" s="33"/>
      <c r="EE509" s="33"/>
      <c r="EF509" s="33"/>
      <c r="EG509" s="33"/>
      <c r="EH509" s="33"/>
      <c r="EI509" s="33"/>
      <c r="EJ509" s="33"/>
      <c r="EK509" s="33"/>
      <c r="EL509" s="33"/>
      <c r="EM509" s="33"/>
      <c r="EN509" s="33"/>
      <c r="EO509" s="31"/>
      <c r="EP509" s="32"/>
      <c r="EQ509" s="33"/>
      <c r="ER509" s="33"/>
      <c r="ES509" s="33"/>
      <c r="ET509" s="33"/>
      <c r="EU509" s="33"/>
      <c r="EV509" s="33"/>
      <c r="EW509" s="33"/>
      <c r="EX509" s="33"/>
      <c r="EY509" s="33"/>
      <c r="EZ509" s="33"/>
      <c r="FA509" s="33"/>
      <c r="FB509" s="31"/>
      <c r="FC509" s="32"/>
      <c r="FD509" s="33"/>
      <c r="FE509" s="33"/>
      <c r="FF509" s="33"/>
      <c r="FG509" s="33"/>
      <c r="FH509" s="33"/>
      <c r="FI509" s="33"/>
      <c r="FJ509" s="33"/>
      <c r="FK509" s="33"/>
      <c r="FL509" s="33"/>
      <c r="FM509" s="33"/>
      <c r="FN509" s="33"/>
      <c r="FO509" s="34">
        <f t="shared" ref="FO509:FV509" si="502">IFERROR(R509*1,0)+IFERROR(AE509*1,0)+IFERROR(AR509*1,0)+IFERROR(BE509*1,0)+IFERROR(BR509*1,0)+IFERROR(CE509*1,0)+IFERROR(CR509*1,0)+IFERROR(DE509*1,0)+IFERROR(DR509*1,0)+IFERROR(EE509*1,0)+IFERROR(ER509*1,0)+IFERROR(FE509*1,0)</f>
        <v>0</v>
      </c>
      <c r="FP509" s="34">
        <f t="shared" si="502"/>
        <v>0</v>
      </c>
      <c r="FQ509" s="34">
        <f t="shared" si="502"/>
        <v>0</v>
      </c>
      <c r="FR509" s="34">
        <f t="shared" si="502"/>
        <v>0</v>
      </c>
      <c r="FS509" s="34">
        <f t="shared" si="502"/>
        <v>0</v>
      </c>
      <c r="FT509" s="34">
        <f t="shared" si="502"/>
        <v>0</v>
      </c>
      <c r="FU509" s="34">
        <f t="shared" si="502"/>
        <v>0</v>
      </c>
      <c r="FV509" s="34">
        <f t="shared" si="502"/>
        <v>0</v>
      </c>
      <c r="FW509" s="28"/>
      <c r="FX509" s="29">
        <f t="shared" si="3"/>
        <v>0</v>
      </c>
    </row>
    <row r="510" spans="1:180" ht="18" customHeight="1" x14ac:dyDescent="0.25">
      <c r="A510" s="3" t="str">
        <f>IF(C510&lt;&gt;"","DRG-"&amp;TEXT(505,"000"),"")</f>
        <v/>
      </c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38">
        <v>4</v>
      </c>
      <c r="M510" s="23" t="str">
        <f t="shared" si="0"/>
        <v>✘ Pending</v>
      </c>
      <c r="N510" s="23">
        <f t="shared" si="1"/>
        <v>0</v>
      </c>
      <c r="O510" s="25"/>
      <c r="P510" s="26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  <c r="AB510" s="25"/>
      <c r="AC510" s="26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5"/>
      <c r="AP510" s="26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5"/>
      <c r="BC510" s="26"/>
      <c r="BD510" s="24"/>
      <c r="BE510" s="24"/>
      <c r="BF510" s="24"/>
      <c r="BG510" s="24"/>
      <c r="BH510" s="24"/>
      <c r="BI510" s="24"/>
      <c r="BJ510" s="24"/>
      <c r="BK510" s="24"/>
      <c r="BL510" s="24"/>
      <c r="BM510" s="24"/>
      <c r="BN510" s="24"/>
      <c r="BO510" s="25"/>
      <c r="BP510" s="26"/>
      <c r="BQ510" s="24"/>
      <c r="BR510" s="24"/>
      <c r="BS510" s="24"/>
      <c r="BT510" s="24"/>
      <c r="BU510" s="24"/>
      <c r="BV510" s="24"/>
      <c r="BW510" s="24"/>
      <c r="BX510" s="24"/>
      <c r="BY510" s="24"/>
      <c r="BZ510" s="24"/>
      <c r="CA510" s="24"/>
      <c r="CB510" s="25"/>
      <c r="CC510" s="26"/>
      <c r="CD510" s="24"/>
      <c r="CE510" s="24"/>
      <c r="CF510" s="24"/>
      <c r="CG510" s="24"/>
      <c r="CH510" s="24"/>
      <c r="CI510" s="24"/>
      <c r="CJ510" s="24"/>
      <c r="CK510" s="24"/>
      <c r="CL510" s="24"/>
      <c r="CM510" s="24"/>
      <c r="CN510" s="24"/>
      <c r="CO510" s="25"/>
      <c r="CP510" s="26"/>
      <c r="CQ510" s="24"/>
      <c r="CR510" s="24"/>
      <c r="CS510" s="24"/>
      <c r="CT510" s="24"/>
      <c r="CU510" s="24"/>
      <c r="CV510" s="24"/>
      <c r="CW510" s="24"/>
      <c r="CX510" s="24"/>
      <c r="CY510" s="24"/>
      <c r="CZ510" s="24"/>
      <c r="DA510" s="24"/>
      <c r="DB510" s="25"/>
      <c r="DC510" s="26"/>
      <c r="DD510" s="24"/>
      <c r="DE510" s="24"/>
      <c r="DF510" s="24"/>
      <c r="DG510" s="24"/>
      <c r="DH510" s="24"/>
      <c r="DI510" s="24"/>
      <c r="DJ510" s="24"/>
      <c r="DK510" s="24"/>
      <c r="DL510" s="24"/>
      <c r="DM510" s="24"/>
      <c r="DN510" s="24"/>
      <c r="DO510" s="25"/>
      <c r="DP510" s="26"/>
      <c r="DQ510" s="24"/>
      <c r="DR510" s="24"/>
      <c r="DS510" s="24"/>
      <c r="DT510" s="24"/>
      <c r="DU510" s="24"/>
      <c r="DV510" s="24"/>
      <c r="DW510" s="24"/>
      <c r="DX510" s="24"/>
      <c r="DY510" s="24"/>
      <c r="DZ510" s="24"/>
      <c r="EA510" s="24"/>
      <c r="EB510" s="25"/>
      <c r="EC510" s="26"/>
      <c r="ED510" s="24"/>
      <c r="EE510" s="24"/>
      <c r="EF510" s="24"/>
      <c r="EG510" s="24"/>
      <c r="EH510" s="24"/>
      <c r="EI510" s="24"/>
      <c r="EJ510" s="24"/>
      <c r="EK510" s="24"/>
      <c r="EL510" s="24"/>
      <c r="EM510" s="24"/>
      <c r="EN510" s="24"/>
      <c r="EO510" s="25"/>
      <c r="EP510" s="26"/>
      <c r="EQ510" s="24"/>
      <c r="ER510" s="24"/>
      <c r="ES510" s="24"/>
      <c r="ET510" s="24"/>
      <c r="EU510" s="24"/>
      <c r="EV510" s="24"/>
      <c r="EW510" s="24"/>
      <c r="EX510" s="24"/>
      <c r="EY510" s="24"/>
      <c r="EZ510" s="24"/>
      <c r="FA510" s="24"/>
      <c r="FB510" s="25"/>
      <c r="FC510" s="26"/>
      <c r="FD510" s="24"/>
      <c r="FE510" s="24"/>
      <c r="FF510" s="24"/>
      <c r="FG510" s="24"/>
      <c r="FH510" s="24"/>
      <c r="FI510" s="24"/>
      <c r="FJ510" s="24"/>
      <c r="FK510" s="24"/>
      <c r="FL510" s="24"/>
      <c r="FM510" s="24"/>
      <c r="FN510" s="24"/>
      <c r="FO510" s="27">
        <f t="shared" ref="FO510:FV510" si="503">IFERROR(R510*1,0)+IFERROR(AE510*1,0)+IFERROR(AR510*1,0)+IFERROR(BE510*1,0)+IFERROR(BR510*1,0)+IFERROR(CE510*1,0)+IFERROR(CR510*1,0)+IFERROR(DE510*1,0)+IFERROR(DR510*1,0)+IFERROR(EE510*1,0)+IFERROR(ER510*1,0)+IFERROR(FE510*1,0)</f>
        <v>0</v>
      </c>
      <c r="FP510" s="27">
        <f t="shared" si="503"/>
        <v>0</v>
      </c>
      <c r="FQ510" s="27">
        <f t="shared" si="503"/>
        <v>0</v>
      </c>
      <c r="FR510" s="27">
        <f t="shared" si="503"/>
        <v>0</v>
      </c>
      <c r="FS510" s="27">
        <f t="shared" si="503"/>
        <v>0</v>
      </c>
      <c r="FT510" s="27">
        <f t="shared" si="503"/>
        <v>0</v>
      </c>
      <c r="FU510" s="27">
        <f t="shared" si="503"/>
        <v>0</v>
      </c>
      <c r="FV510" s="27">
        <f t="shared" si="503"/>
        <v>0</v>
      </c>
      <c r="FW510" s="28"/>
      <c r="FX510" s="29">
        <f t="shared" si="3"/>
        <v>0</v>
      </c>
    </row>
    <row r="511" spans="1:180" ht="18" customHeight="1" x14ac:dyDescent="0.25">
      <c r="A511" s="3" t="str">
        <f>IF(C511&lt;&gt;"","DRG-"&amp;TEXT(506,"000"),"")</f>
        <v/>
      </c>
      <c r="B511" s="33"/>
      <c r="C511" s="33"/>
      <c r="D511" s="33"/>
      <c r="E511" s="33"/>
      <c r="F511" s="33"/>
      <c r="G511" s="33"/>
      <c r="H511" s="33"/>
      <c r="I511" s="33"/>
      <c r="J511" s="33"/>
      <c r="K511" s="33"/>
      <c r="L511" s="37">
        <v>4</v>
      </c>
      <c r="M511" s="30" t="str">
        <f t="shared" si="0"/>
        <v>✘ Pending</v>
      </c>
      <c r="N511" s="30">
        <f t="shared" si="1"/>
        <v>0</v>
      </c>
      <c r="O511" s="31"/>
      <c r="P511" s="32"/>
      <c r="Q511" s="33"/>
      <c r="R511" s="33"/>
      <c r="S511" s="33"/>
      <c r="T511" s="33"/>
      <c r="U511" s="33"/>
      <c r="V511" s="33"/>
      <c r="W511" s="33"/>
      <c r="X511" s="33"/>
      <c r="Y511" s="33"/>
      <c r="Z511" s="33"/>
      <c r="AA511" s="33"/>
      <c r="AB511" s="31"/>
      <c r="AC511" s="32"/>
      <c r="AD511" s="33"/>
      <c r="AE511" s="33"/>
      <c r="AF511" s="33"/>
      <c r="AG511" s="33"/>
      <c r="AH511" s="33"/>
      <c r="AI511" s="33"/>
      <c r="AJ511" s="33"/>
      <c r="AK511" s="33"/>
      <c r="AL511" s="33"/>
      <c r="AM511" s="33"/>
      <c r="AN511" s="33"/>
      <c r="AO511" s="31"/>
      <c r="AP511" s="32"/>
      <c r="AQ511" s="33"/>
      <c r="AR511" s="33"/>
      <c r="AS511" s="33"/>
      <c r="AT511" s="33"/>
      <c r="AU511" s="33"/>
      <c r="AV511" s="33"/>
      <c r="AW511" s="33"/>
      <c r="AX511" s="33"/>
      <c r="AY511" s="33"/>
      <c r="AZ511" s="33"/>
      <c r="BA511" s="33"/>
      <c r="BB511" s="31"/>
      <c r="BC511" s="32"/>
      <c r="BD511" s="33"/>
      <c r="BE511" s="33"/>
      <c r="BF511" s="33"/>
      <c r="BG511" s="33"/>
      <c r="BH511" s="33"/>
      <c r="BI511" s="33"/>
      <c r="BJ511" s="33"/>
      <c r="BK511" s="33"/>
      <c r="BL511" s="33"/>
      <c r="BM511" s="33"/>
      <c r="BN511" s="33"/>
      <c r="BO511" s="31"/>
      <c r="BP511" s="32"/>
      <c r="BQ511" s="33"/>
      <c r="BR511" s="33"/>
      <c r="BS511" s="33"/>
      <c r="BT511" s="33"/>
      <c r="BU511" s="33"/>
      <c r="BV511" s="33"/>
      <c r="BW511" s="33"/>
      <c r="BX511" s="33"/>
      <c r="BY511" s="33"/>
      <c r="BZ511" s="33"/>
      <c r="CA511" s="33"/>
      <c r="CB511" s="31"/>
      <c r="CC511" s="32"/>
      <c r="CD511" s="33"/>
      <c r="CE511" s="33"/>
      <c r="CF511" s="33"/>
      <c r="CG511" s="33"/>
      <c r="CH511" s="33"/>
      <c r="CI511" s="33"/>
      <c r="CJ511" s="33"/>
      <c r="CK511" s="33"/>
      <c r="CL511" s="33"/>
      <c r="CM511" s="33"/>
      <c r="CN511" s="33"/>
      <c r="CO511" s="31"/>
      <c r="CP511" s="32"/>
      <c r="CQ511" s="33"/>
      <c r="CR511" s="33"/>
      <c r="CS511" s="33"/>
      <c r="CT511" s="33"/>
      <c r="CU511" s="33"/>
      <c r="CV511" s="33"/>
      <c r="CW511" s="33"/>
      <c r="CX511" s="33"/>
      <c r="CY511" s="33"/>
      <c r="CZ511" s="33"/>
      <c r="DA511" s="33"/>
      <c r="DB511" s="31"/>
      <c r="DC511" s="32"/>
      <c r="DD511" s="33"/>
      <c r="DE511" s="33"/>
      <c r="DF511" s="33"/>
      <c r="DG511" s="33"/>
      <c r="DH511" s="33"/>
      <c r="DI511" s="33"/>
      <c r="DJ511" s="33"/>
      <c r="DK511" s="33"/>
      <c r="DL511" s="33"/>
      <c r="DM511" s="33"/>
      <c r="DN511" s="33"/>
      <c r="DO511" s="31"/>
      <c r="DP511" s="32"/>
      <c r="DQ511" s="33"/>
      <c r="DR511" s="33"/>
      <c r="DS511" s="33"/>
      <c r="DT511" s="33"/>
      <c r="DU511" s="33"/>
      <c r="DV511" s="33"/>
      <c r="DW511" s="33"/>
      <c r="DX511" s="33"/>
      <c r="DY511" s="33"/>
      <c r="DZ511" s="33"/>
      <c r="EA511" s="33"/>
      <c r="EB511" s="31"/>
      <c r="EC511" s="32"/>
      <c r="ED511" s="33"/>
      <c r="EE511" s="33"/>
      <c r="EF511" s="33"/>
      <c r="EG511" s="33"/>
      <c r="EH511" s="33"/>
      <c r="EI511" s="33"/>
      <c r="EJ511" s="33"/>
      <c r="EK511" s="33"/>
      <c r="EL511" s="33"/>
      <c r="EM511" s="33"/>
      <c r="EN511" s="33"/>
      <c r="EO511" s="31"/>
      <c r="EP511" s="32"/>
      <c r="EQ511" s="33"/>
      <c r="ER511" s="33"/>
      <c r="ES511" s="33"/>
      <c r="ET511" s="33"/>
      <c r="EU511" s="33"/>
      <c r="EV511" s="33"/>
      <c r="EW511" s="33"/>
      <c r="EX511" s="33"/>
      <c r="EY511" s="33"/>
      <c r="EZ511" s="33"/>
      <c r="FA511" s="33"/>
      <c r="FB511" s="31"/>
      <c r="FC511" s="32"/>
      <c r="FD511" s="33"/>
      <c r="FE511" s="33"/>
      <c r="FF511" s="33"/>
      <c r="FG511" s="33"/>
      <c r="FH511" s="33"/>
      <c r="FI511" s="33"/>
      <c r="FJ511" s="33"/>
      <c r="FK511" s="33"/>
      <c r="FL511" s="33"/>
      <c r="FM511" s="33"/>
      <c r="FN511" s="33"/>
      <c r="FO511" s="34">
        <f t="shared" ref="FO511:FV511" si="504">IFERROR(R511*1,0)+IFERROR(AE511*1,0)+IFERROR(AR511*1,0)+IFERROR(BE511*1,0)+IFERROR(BR511*1,0)+IFERROR(CE511*1,0)+IFERROR(CR511*1,0)+IFERROR(DE511*1,0)+IFERROR(DR511*1,0)+IFERROR(EE511*1,0)+IFERROR(ER511*1,0)+IFERROR(FE511*1,0)</f>
        <v>0</v>
      </c>
      <c r="FP511" s="34">
        <f t="shared" si="504"/>
        <v>0</v>
      </c>
      <c r="FQ511" s="34">
        <f t="shared" si="504"/>
        <v>0</v>
      </c>
      <c r="FR511" s="34">
        <f t="shared" si="504"/>
        <v>0</v>
      </c>
      <c r="FS511" s="34">
        <f t="shared" si="504"/>
        <v>0</v>
      </c>
      <c r="FT511" s="34">
        <f t="shared" si="504"/>
        <v>0</v>
      </c>
      <c r="FU511" s="34">
        <f t="shared" si="504"/>
        <v>0</v>
      </c>
      <c r="FV511" s="34">
        <f t="shared" si="504"/>
        <v>0</v>
      </c>
      <c r="FW511" s="28"/>
      <c r="FX511" s="29">
        <f t="shared" si="3"/>
        <v>0</v>
      </c>
    </row>
    <row r="512" spans="1:180" ht="18" customHeight="1" x14ac:dyDescent="0.25">
      <c r="A512" s="3" t="str">
        <f>IF(C512&lt;&gt;"","DRG-"&amp;TEXT(507,"000"),"")</f>
        <v/>
      </c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38">
        <v>4</v>
      </c>
      <c r="M512" s="23" t="str">
        <f t="shared" si="0"/>
        <v>✘ Pending</v>
      </c>
      <c r="N512" s="23">
        <f t="shared" si="1"/>
        <v>0</v>
      </c>
      <c r="O512" s="25"/>
      <c r="P512" s="26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  <c r="AB512" s="25"/>
      <c r="AC512" s="26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5"/>
      <c r="AP512" s="26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5"/>
      <c r="BC512" s="26"/>
      <c r="BD512" s="24"/>
      <c r="BE512" s="24"/>
      <c r="BF512" s="24"/>
      <c r="BG512" s="24"/>
      <c r="BH512" s="24"/>
      <c r="BI512" s="24"/>
      <c r="BJ512" s="24"/>
      <c r="BK512" s="24"/>
      <c r="BL512" s="24"/>
      <c r="BM512" s="24"/>
      <c r="BN512" s="24"/>
      <c r="BO512" s="25"/>
      <c r="BP512" s="26"/>
      <c r="BQ512" s="24"/>
      <c r="BR512" s="24"/>
      <c r="BS512" s="24"/>
      <c r="BT512" s="24"/>
      <c r="BU512" s="24"/>
      <c r="BV512" s="24"/>
      <c r="BW512" s="24"/>
      <c r="BX512" s="24"/>
      <c r="BY512" s="24"/>
      <c r="BZ512" s="24"/>
      <c r="CA512" s="24"/>
      <c r="CB512" s="25"/>
      <c r="CC512" s="26"/>
      <c r="CD512" s="24"/>
      <c r="CE512" s="24"/>
      <c r="CF512" s="24"/>
      <c r="CG512" s="24"/>
      <c r="CH512" s="24"/>
      <c r="CI512" s="24"/>
      <c r="CJ512" s="24"/>
      <c r="CK512" s="24"/>
      <c r="CL512" s="24"/>
      <c r="CM512" s="24"/>
      <c r="CN512" s="24"/>
      <c r="CO512" s="25"/>
      <c r="CP512" s="26"/>
      <c r="CQ512" s="24"/>
      <c r="CR512" s="24"/>
      <c r="CS512" s="24"/>
      <c r="CT512" s="24"/>
      <c r="CU512" s="24"/>
      <c r="CV512" s="24"/>
      <c r="CW512" s="24"/>
      <c r="CX512" s="24"/>
      <c r="CY512" s="24"/>
      <c r="CZ512" s="24"/>
      <c r="DA512" s="24"/>
      <c r="DB512" s="25"/>
      <c r="DC512" s="26"/>
      <c r="DD512" s="24"/>
      <c r="DE512" s="24"/>
      <c r="DF512" s="24"/>
      <c r="DG512" s="24"/>
      <c r="DH512" s="24"/>
      <c r="DI512" s="24"/>
      <c r="DJ512" s="24"/>
      <c r="DK512" s="24"/>
      <c r="DL512" s="24"/>
      <c r="DM512" s="24"/>
      <c r="DN512" s="24"/>
      <c r="DO512" s="25"/>
      <c r="DP512" s="26"/>
      <c r="DQ512" s="24"/>
      <c r="DR512" s="24"/>
      <c r="DS512" s="24"/>
      <c r="DT512" s="24"/>
      <c r="DU512" s="24"/>
      <c r="DV512" s="24"/>
      <c r="DW512" s="24"/>
      <c r="DX512" s="24"/>
      <c r="DY512" s="24"/>
      <c r="DZ512" s="24"/>
      <c r="EA512" s="24"/>
      <c r="EB512" s="25"/>
      <c r="EC512" s="26"/>
      <c r="ED512" s="24"/>
      <c r="EE512" s="24"/>
      <c r="EF512" s="24"/>
      <c r="EG512" s="24"/>
      <c r="EH512" s="24"/>
      <c r="EI512" s="24"/>
      <c r="EJ512" s="24"/>
      <c r="EK512" s="24"/>
      <c r="EL512" s="24"/>
      <c r="EM512" s="24"/>
      <c r="EN512" s="24"/>
      <c r="EO512" s="25"/>
      <c r="EP512" s="26"/>
      <c r="EQ512" s="24"/>
      <c r="ER512" s="24"/>
      <c r="ES512" s="24"/>
      <c r="ET512" s="24"/>
      <c r="EU512" s="24"/>
      <c r="EV512" s="24"/>
      <c r="EW512" s="24"/>
      <c r="EX512" s="24"/>
      <c r="EY512" s="24"/>
      <c r="EZ512" s="24"/>
      <c r="FA512" s="24"/>
      <c r="FB512" s="25"/>
      <c r="FC512" s="26"/>
      <c r="FD512" s="24"/>
      <c r="FE512" s="24"/>
      <c r="FF512" s="24"/>
      <c r="FG512" s="24"/>
      <c r="FH512" s="24"/>
      <c r="FI512" s="24"/>
      <c r="FJ512" s="24"/>
      <c r="FK512" s="24"/>
      <c r="FL512" s="24"/>
      <c r="FM512" s="24"/>
      <c r="FN512" s="24"/>
      <c r="FO512" s="27">
        <f t="shared" ref="FO512:FV512" si="505">IFERROR(R512*1,0)+IFERROR(AE512*1,0)+IFERROR(AR512*1,0)+IFERROR(BE512*1,0)+IFERROR(BR512*1,0)+IFERROR(CE512*1,0)+IFERROR(CR512*1,0)+IFERROR(DE512*1,0)+IFERROR(DR512*1,0)+IFERROR(EE512*1,0)+IFERROR(ER512*1,0)+IFERROR(FE512*1,0)</f>
        <v>0</v>
      </c>
      <c r="FP512" s="27">
        <f t="shared" si="505"/>
        <v>0</v>
      </c>
      <c r="FQ512" s="27">
        <f t="shared" si="505"/>
        <v>0</v>
      </c>
      <c r="FR512" s="27">
        <f t="shared" si="505"/>
        <v>0</v>
      </c>
      <c r="FS512" s="27">
        <f t="shared" si="505"/>
        <v>0</v>
      </c>
      <c r="FT512" s="27">
        <f t="shared" si="505"/>
        <v>0</v>
      </c>
      <c r="FU512" s="27">
        <f t="shared" si="505"/>
        <v>0</v>
      </c>
      <c r="FV512" s="27">
        <f t="shared" si="505"/>
        <v>0</v>
      </c>
      <c r="FW512" s="28"/>
      <c r="FX512" s="29">
        <f t="shared" si="3"/>
        <v>0</v>
      </c>
    </row>
    <row r="513" spans="1:180" ht="18" customHeight="1" x14ac:dyDescent="0.25">
      <c r="A513" s="3" t="str">
        <f>IF(C513&lt;&gt;"","DRG-"&amp;TEXT(508,"000"),"")</f>
        <v/>
      </c>
      <c r="B513" s="33"/>
      <c r="C513" s="33"/>
      <c r="D513" s="33"/>
      <c r="E513" s="33"/>
      <c r="F513" s="33"/>
      <c r="G513" s="33"/>
      <c r="H513" s="33"/>
      <c r="I513" s="33"/>
      <c r="J513" s="33"/>
      <c r="K513" s="33"/>
      <c r="L513" s="37">
        <v>4</v>
      </c>
      <c r="M513" s="30" t="str">
        <f t="shared" si="0"/>
        <v>✘ Pending</v>
      </c>
      <c r="N513" s="30">
        <f t="shared" si="1"/>
        <v>0</v>
      </c>
      <c r="O513" s="31"/>
      <c r="P513" s="32"/>
      <c r="Q513" s="33"/>
      <c r="R513" s="33"/>
      <c r="S513" s="33"/>
      <c r="T513" s="33"/>
      <c r="U513" s="33"/>
      <c r="V513" s="33"/>
      <c r="W513" s="33"/>
      <c r="X513" s="33"/>
      <c r="Y513" s="33"/>
      <c r="Z513" s="33"/>
      <c r="AA513" s="33"/>
      <c r="AB513" s="31"/>
      <c r="AC513" s="32"/>
      <c r="AD513" s="33"/>
      <c r="AE513" s="33"/>
      <c r="AF513" s="33"/>
      <c r="AG513" s="33"/>
      <c r="AH513" s="33"/>
      <c r="AI513" s="33"/>
      <c r="AJ513" s="33"/>
      <c r="AK513" s="33"/>
      <c r="AL513" s="33"/>
      <c r="AM513" s="33"/>
      <c r="AN513" s="33"/>
      <c r="AO513" s="31"/>
      <c r="AP513" s="32"/>
      <c r="AQ513" s="33"/>
      <c r="AR513" s="33"/>
      <c r="AS513" s="33"/>
      <c r="AT513" s="33"/>
      <c r="AU513" s="33"/>
      <c r="AV513" s="33"/>
      <c r="AW513" s="33"/>
      <c r="AX513" s="33"/>
      <c r="AY513" s="33"/>
      <c r="AZ513" s="33"/>
      <c r="BA513" s="33"/>
      <c r="BB513" s="31"/>
      <c r="BC513" s="32"/>
      <c r="BD513" s="33"/>
      <c r="BE513" s="33"/>
      <c r="BF513" s="33"/>
      <c r="BG513" s="33"/>
      <c r="BH513" s="33"/>
      <c r="BI513" s="33"/>
      <c r="BJ513" s="33"/>
      <c r="BK513" s="33"/>
      <c r="BL513" s="33"/>
      <c r="BM513" s="33"/>
      <c r="BN513" s="33"/>
      <c r="BO513" s="31"/>
      <c r="BP513" s="32"/>
      <c r="BQ513" s="33"/>
      <c r="BR513" s="33"/>
      <c r="BS513" s="33"/>
      <c r="BT513" s="33"/>
      <c r="BU513" s="33"/>
      <c r="BV513" s="33"/>
      <c r="BW513" s="33"/>
      <c r="BX513" s="33"/>
      <c r="BY513" s="33"/>
      <c r="BZ513" s="33"/>
      <c r="CA513" s="33"/>
      <c r="CB513" s="31"/>
      <c r="CC513" s="32"/>
      <c r="CD513" s="33"/>
      <c r="CE513" s="33"/>
      <c r="CF513" s="33"/>
      <c r="CG513" s="33"/>
      <c r="CH513" s="33"/>
      <c r="CI513" s="33"/>
      <c r="CJ513" s="33"/>
      <c r="CK513" s="33"/>
      <c r="CL513" s="33"/>
      <c r="CM513" s="33"/>
      <c r="CN513" s="33"/>
      <c r="CO513" s="31"/>
      <c r="CP513" s="32"/>
      <c r="CQ513" s="33"/>
      <c r="CR513" s="33"/>
      <c r="CS513" s="33"/>
      <c r="CT513" s="33"/>
      <c r="CU513" s="33"/>
      <c r="CV513" s="33"/>
      <c r="CW513" s="33"/>
      <c r="CX513" s="33"/>
      <c r="CY513" s="33"/>
      <c r="CZ513" s="33"/>
      <c r="DA513" s="33"/>
      <c r="DB513" s="31"/>
      <c r="DC513" s="32"/>
      <c r="DD513" s="33"/>
      <c r="DE513" s="33"/>
      <c r="DF513" s="33"/>
      <c r="DG513" s="33"/>
      <c r="DH513" s="33"/>
      <c r="DI513" s="33"/>
      <c r="DJ513" s="33"/>
      <c r="DK513" s="33"/>
      <c r="DL513" s="33"/>
      <c r="DM513" s="33"/>
      <c r="DN513" s="33"/>
      <c r="DO513" s="31"/>
      <c r="DP513" s="32"/>
      <c r="DQ513" s="33"/>
      <c r="DR513" s="33"/>
      <c r="DS513" s="33"/>
      <c r="DT513" s="33"/>
      <c r="DU513" s="33"/>
      <c r="DV513" s="33"/>
      <c r="DW513" s="33"/>
      <c r="DX513" s="33"/>
      <c r="DY513" s="33"/>
      <c r="DZ513" s="33"/>
      <c r="EA513" s="33"/>
      <c r="EB513" s="31"/>
      <c r="EC513" s="32"/>
      <c r="ED513" s="33"/>
      <c r="EE513" s="33"/>
      <c r="EF513" s="33"/>
      <c r="EG513" s="33"/>
      <c r="EH513" s="33"/>
      <c r="EI513" s="33"/>
      <c r="EJ513" s="33"/>
      <c r="EK513" s="33"/>
      <c r="EL513" s="33"/>
      <c r="EM513" s="33"/>
      <c r="EN513" s="33"/>
      <c r="EO513" s="31"/>
      <c r="EP513" s="32"/>
      <c r="EQ513" s="33"/>
      <c r="ER513" s="33"/>
      <c r="ES513" s="33"/>
      <c r="ET513" s="33"/>
      <c r="EU513" s="33"/>
      <c r="EV513" s="33"/>
      <c r="EW513" s="33"/>
      <c r="EX513" s="33"/>
      <c r="EY513" s="33"/>
      <c r="EZ513" s="33"/>
      <c r="FA513" s="33"/>
      <c r="FB513" s="31"/>
      <c r="FC513" s="32"/>
      <c r="FD513" s="33"/>
      <c r="FE513" s="33"/>
      <c r="FF513" s="33"/>
      <c r="FG513" s="33"/>
      <c r="FH513" s="33"/>
      <c r="FI513" s="33"/>
      <c r="FJ513" s="33"/>
      <c r="FK513" s="33"/>
      <c r="FL513" s="33"/>
      <c r="FM513" s="33"/>
      <c r="FN513" s="33"/>
      <c r="FO513" s="34">
        <f t="shared" ref="FO513:FV513" si="506">IFERROR(R513*1,0)+IFERROR(AE513*1,0)+IFERROR(AR513*1,0)+IFERROR(BE513*1,0)+IFERROR(BR513*1,0)+IFERROR(CE513*1,0)+IFERROR(CR513*1,0)+IFERROR(DE513*1,0)+IFERROR(DR513*1,0)+IFERROR(EE513*1,0)+IFERROR(ER513*1,0)+IFERROR(FE513*1,0)</f>
        <v>0</v>
      </c>
      <c r="FP513" s="34">
        <f t="shared" si="506"/>
        <v>0</v>
      </c>
      <c r="FQ513" s="34">
        <f t="shared" si="506"/>
        <v>0</v>
      </c>
      <c r="FR513" s="34">
        <f t="shared" si="506"/>
        <v>0</v>
      </c>
      <c r="FS513" s="34">
        <f t="shared" si="506"/>
        <v>0</v>
      </c>
      <c r="FT513" s="34">
        <f t="shared" si="506"/>
        <v>0</v>
      </c>
      <c r="FU513" s="34">
        <f t="shared" si="506"/>
        <v>0</v>
      </c>
      <c r="FV513" s="34">
        <f t="shared" si="506"/>
        <v>0</v>
      </c>
      <c r="FW513" s="28"/>
      <c r="FX513" s="29">
        <f t="shared" si="3"/>
        <v>0</v>
      </c>
    </row>
    <row r="514" spans="1:180" ht="18" customHeight="1" x14ac:dyDescent="0.25">
      <c r="A514" s="3" t="str">
        <f>IF(C514&lt;&gt;"","DRG-"&amp;TEXT(509,"000"),"")</f>
        <v/>
      </c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38">
        <v>4</v>
      </c>
      <c r="M514" s="23" t="str">
        <f t="shared" si="0"/>
        <v>✘ Pending</v>
      </c>
      <c r="N514" s="23">
        <f t="shared" si="1"/>
        <v>0</v>
      </c>
      <c r="O514" s="25"/>
      <c r="P514" s="26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  <c r="AB514" s="25"/>
      <c r="AC514" s="26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5"/>
      <c r="AP514" s="26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5"/>
      <c r="BC514" s="26"/>
      <c r="BD514" s="24"/>
      <c r="BE514" s="24"/>
      <c r="BF514" s="24"/>
      <c r="BG514" s="24"/>
      <c r="BH514" s="24"/>
      <c r="BI514" s="24"/>
      <c r="BJ514" s="24"/>
      <c r="BK514" s="24"/>
      <c r="BL514" s="24"/>
      <c r="BM514" s="24"/>
      <c r="BN514" s="24"/>
      <c r="BO514" s="25"/>
      <c r="BP514" s="26"/>
      <c r="BQ514" s="24"/>
      <c r="BR514" s="24"/>
      <c r="BS514" s="24"/>
      <c r="BT514" s="24"/>
      <c r="BU514" s="24"/>
      <c r="BV514" s="24"/>
      <c r="BW514" s="24"/>
      <c r="BX514" s="24"/>
      <c r="BY514" s="24"/>
      <c r="BZ514" s="24"/>
      <c r="CA514" s="24"/>
      <c r="CB514" s="25"/>
      <c r="CC514" s="26"/>
      <c r="CD514" s="24"/>
      <c r="CE514" s="24"/>
      <c r="CF514" s="24"/>
      <c r="CG514" s="24"/>
      <c r="CH514" s="24"/>
      <c r="CI514" s="24"/>
      <c r="CJ514" s="24"/>
      <c r="CK514" s="24"/>
      <c r="CL514" s="24"/>
      <c r="CM514" s="24"/>
      <c r="CN514" s="24"/>
      <c r="CO514" s="25"/>
      <c r="CP514" s="26"/>
      <c r="CQ514" s="24"/>
      <c r="CR514" s="24"/>
      <c r="CS514" s="24"/>
      <c r="CT514" s="24"/>
      <c r="CU514" s="24"/>
      <c r="CV514" s="24"/>
      <c r="CW514" s="24"/>
      <c r="CX514" s="24"/>
      <c r="CY514" s="24"/>
      <c r="CZ514" s="24"/>
      <c r="DA514" s="24"/>
      <c r="DB514" s="25"/>
      <c r="DC514" s="26"/>
      <c r="DD514" s="24"/>
      <c r="DE514" s="24"/>
      <c r="DF514" s="24"/>
      <c r="DG514" s="24"/>
      <c r="DH514" s="24"/>
      <c r="DI514" s="24"/>
      <c r="DJ514" s="24"/>
      <c r="DK514" s="24"/>
      <c r="DL514" s="24"/>
      <c r="DM514" s="24"/>
      <c r="DN514" s="24"/>
      <c r="DO514" s="25"/>
      <c r="DP514" s="26"/>
      <c r="DQ514" s="24"/>
      <c r="DR514" s="24"/>
      <c r="DS514" s="24"/>
      <c r="DT514" s="24"/>
      <c r="DU514" s="24"/>
      <c r="DV514" s="24"/>
      <c r="DW514" s="24"/>
      <c r="DX514" s="24"/>
      <c r="DY514" s="24"/>
      <c r="DZ514" s="24"/>
      <c r="EA514" s="24"/>
      <c r="EB514" s="25"/>
      <c r="EC514" s="26"/>
      <c r="ED514" s="24"/>
      <c r="EE514" s="24"/>
      <c r="EF514" s="24"/>
      <c r="EG514" s="24"/>
      <c r="EH514" s="24"/>
      <c r="EI514" s="24"/>
      <c r="EJ514" s="24"/>
      <c r="EK514" s="24"/>
      <c r="EL514" s="24"/>
      <c r="EM514" s="24"/>
      <c r="EN514" s="24"/>
      <c r="EO514" s="25"/>
      <c r="EP514" s="26"/>
      <c r="EQ514" s="24"/>
      <c r="ER514" s="24"/>
      <c r="ES514" s="24"/>
      <c r="ET514" s="24"/>
      <c r="EU514" s="24"/>
      <c r="EV514" s="24"/>
      <c r="EW514" s="24"/>
      <c r="EX514" s="24"/>
      <c r="EY514" s="24"/>
      <c r="EZ514" s="24"/>
      <c r="FA514" s="24"/>
      <c r="FB514" s="25"/>
      <c r="FC514" s="26"/>
      <c r="FD514" s="24"/>
      <c r="FE514" s="24"/>
      <c r="FF514" s="24"/>
      <c r="FG514" s="24"/>
      <c r="FH514" s="24"/>
      <c r="FI514" s="24"/>
      <c r="FJ514" s="24"/>
      <c r="FK514" s="24"/>
      <c r="FL514" s="24"/>
      <c r="FM514" s="24"/>
      <c r="FN514" s="24"/>
      <c r="FO514" s="27">
        <f t="shared" ref="FO514:FV514" si="507">IFERROR(R514*1,0)+IFERROR(AE514*1,0)+IFERROR(AR514*1,0)+IFERROR(BE514*1,0)+IFERROR(BR514*1,0)+IFERROR(CE514*1,0)+IFERROR(CR514*1,0)+IFERROR(DE514*1,0)+IFERROR(DR514*1,0)+IFERROR(EE514*1,0)+IFERROR(ER514*1,0)+IFERROR(FE514*1,0)</f>
        <v>0</v>
      </c>
      <c r="FP514" s="27">
        <f t="shared" si="507"/>
        <v>0</v>
      </c>
      <c r="FQ514" s="27">
        <f t="shared" si="507"/>
        <v>0</v>
      </c>
      <c r="FR514" s="27">
        <f t="shared" si="507"/>
        <v>0</v>
      </c>
      <c r="FS514" s="27">
        <f t="shared" si="507"/>
        <v>0</v>
      </c>
      <c r="FT514" s="27">
        <f t="shared" si="507"/>
        <v>0</v>
      </c>
      <c r="FU514" s="27">
        <f t="shared" si="507"/>
        <v>0</v>
      </c>
      <c r="FV514" s="27">
        <f t="shared" si="507"/>
        <v>0</v>
      </c>
      <c r="FW514" s="28"/>
      <c r="FX514" s="29">
        <f t="shared" si="3"/>
        <v>0</v>
      </c>
    </row>
    <row r="515" spans="1:180" ht="18" customHeight="1" x14ac:dyDescent="0.25">
      <c r="A515" s="3" t="str">
        <f>IF(C515&lt;&gt;"","DRG-"&amp;TEXT(510,"000"),"")</f>
        <v/>
      </c>
      <c r="B515" s="33"/>
      <c r="C515" s="33"/>
      <c r="D515" s="33"/>
      <c r="E515" s="33"/>
      <c r="F515" s="33"/>
      <c r="G515" s="33"/>
      <c r="H515" s="33"/>
      <c r="I515" s="33"/>
      <c r="J515" s="33"/>
      <c r="K515" s="33"/>
      <c r="L515" s="37">
        <v>4</v>
      </c>
      <c r="M515" s="30" t="str">
        <f t="shared" si="0"/>
        <v>✘ Pending</v>
      </c>
      <c r="N515" s="30">
        <f t="shared" si="1"/>
        <v>0</v>
      </c>
      <c r="O515" s="31"/>
      <c r="P515" s="32"/>
      <c r="Q515" s="33"/>
      <c r="R515" s="33"/>
      <c r="S515" s="33"/>
      <c r="T515" s="33"/>
      <c r="U515" s="33"/>
      <c r="V515" s="33"/>
      <c r="W515" s="33"/>
      <c r="X515" s="33"/>
      <c r="Y515" s="33"/>
      <c r="Z515" s="33"/>
      <c r="AA515" s="33"/>
      <c r="AB515" s="31"/>
      <c r="AC515" s="32"/>
      <c r="AD515" s="33"/>
      <c r="AE515" s="33"/>
      <c r="AF515" s="33"/>
      <c r="AG515" s="33"/>
      <c r="AH515" s="33"/>
      <c r="AI515" s="33"/>
      <c r="AJ515" s="33"/>
      <c r="AK515" s="33"/>
      <c r="AL515" s="33"/>
      <c r="AM515" s="33"/>
      <c r="AN515" s="33"/>
      <c r="AO515" s="31"/>
      <c r="AP515" s="32"/>
      <c r="AQ515" s="33"/>
      <c r="AR515" s="33"/>
      <c r="AS515" s="33"/>
      <c r="AT515" s="33"/>
      <c r="AU515" s="33"/>
      <c r="AV515" s="33"/>
      <c r="AW515" s="33"/>
      <c r="AX515" s="33"/>
      <c r="AY515" s="33"/>
      <c r="AZ515" s="33"/>
      <c r="BA515" s="33"/>
      <c r="BB515" s="31"/>
      <c r="BC515" s="32"/>
      <c r="BD515" s="33"/>
      <c r="BE515" s="33"/>
      <c r="BF515" s="33"/>
      <c r="BG515" s="33"/>
      <c r="BH515" s="33"/>
      <c r="BI515" s="33"/>
      <c r="BJ515" s="33"/>
      <c r="BK515" s="33"/>
      <c r="BL515" s="33"/>
      <c r="BM515" s="33"/>
      <c r="BN515" s="33"/>
      <c r="BO515" s="31"/>
      <c r="BP515" s="32"/>
      <c r="BQ515" s="33"/>
      <c r="BR515" s="33"/>
      <c r="BS515" s="33"/>
      <c r="BT515" s="33"/>
      <c r="BU515" s="33"/>
      <c r="BV515" s="33"/>
      <c r="BW515" s="33"/>
      <c r="BX515" s="33"/>
      <c r="BY515" s="33"/>
      <c r="BZ515" s="33"/>
      <c r="CA515" s="33"/>
      <c r="CB515" s="31"/>
      <c r="CC515" s="32"/>
      <c r="CD515" s="33"/>
      <c r="CE515" s="33"/>
      <c r="CF515" s="33"/>
      <c r="CG515" s="33"/>
      <c r="CH515" s="33"/>
      <c r="CI515" s="33"/>
      <c r="CJ515" s="33"/>
      <c r="CK515" s="33"/>
      <c r="CL515" s="33"/>
      <c r="CM515" s="33"/>
      <c r="CN515" s="33"/>
      <c r="CO515" s="31"/>
      <c r="CP515" s="32"/>
      <c r="CQ515" s="33"/>
      <c r="CR515" s="33"/>
      <c r="CS515" s="33"/>
      <c r="CT515" s="33"/>
      <c r="CU515" s="33"/>
      <c r="CV515" s="33"/>
      <c r="CW515" s="33"/>
      <c r="CX515" s="33"/>
      <c r="CY515" s="33"/>
      <c r="CZ515" s="33"/>
      <c r="DA515" s="33"/>
      <c r="DB515" s="31"/>
      <c r="DC515" s="32"/>
      <c r="DD515" s="33"/>
      <c r="DE515" s="33"/>
      <c r="DF515" s="33"/>
      <c r="DG515" s="33"/>
      <c r="DH515" s="33"/>
      <c r="DI515" s="33"/>
      <c r="DJ515" s="33"/>
      <c r="DK515" s="33"/>
      <c r="DL515" s="33"/>
      <c r="DM515" s="33"/>
      <c r="DN515" s="33"/>
      <c r="DO515" s="31"/>
      <c r="DP515" s="32"/>
      <c r="DQ515" s="33"/>
      <c r="DR515" s="33"/>
      <c r="DS515" s="33"/>
      <c r="DT515" s="33"/>
      <c r="DU515" s="33"/>
      <c r="DV515" s="33"/>
      <c r="DW515" s="33"/>
      <c r="DX515" s="33"/>
      <c r="DY515" s="33"/>
      <c r="DZ515" s="33"/>
      <c r="EA515" s="33"/>
      <c r="EB515" s="31"/>
      <c r="EC515" s="32"/>
      <c r="ED515" s="33"/>
      <c r="EE515" s="33"/>
      <c r="EF515" s="33"/>
      <c r="EG515" s="33"/>
      <c r="EH515" s="33"/>
      <c r="EI515" s="33"/>
      <c r="EJ515" s="33"/>
      <c r="EK515" s="33"/>
      <c r="EL515" s="33"/>
      <c r="EM515" s="33"/>
      <c r="EN515" s="33"/>
      <c r="EO515" s="31"/>
      <c r="EP515" s="32"/>
      <c r="EQ515" s="33"/>
      <c r="ER515" s="33"/>
      <c r="ES515" s="33"/>
      <c r="ET515" s="33"/>
      <c r="EU515" s="33"/>
      <c r="EV515" s="33"/>
      <c r="EW515" s="33"/>
      <c r="EX515" s="33"/>
      <c r="EY515" s="33"/>
      <c r="EZ515" s="33"/>
      <c r="FA515" s="33"/>
      <c r="FB515" s="31"/>
      <c r="FC515" s="32"/>
      <c r="FD515" s="33"/>
      <c r="FE515" s="33"/>
      <c r="FF515" s="33"/>
      <c r="FG515" s="33"/>
      <c r="FH515" s="33"/>
      <c r="FI515" s="33"/>
      <c r="FJ515" s="33"/>
      <c r="FK515" s="33"/>
      <c r="FL515" s="33"/>
      <c r="FM515" s="33"/>
      <c r="FN515" s="33"/>
      <c r="FO515" s="34">
        <f t="shared" ref="FO515:FV515" si="508">IFERROR(R515*1,0)+IFERROR(AE515*1,0)+IFERROR(AR515*1,0)+IFERROR(BE515*1,0)+IFERROR(BR515*1,0)+IFERROR(CE515*1,0)+IFERROR(CR515*1,0)+IFERROR(DE515*1,0)+IFERROR(DR515*1,0)+IFERROR(EE515*1,0)+IFERROR(ER515*1,0)+IFERROR(FE515*1,0)</f>
        <v>0</v>
      </c>
      <c r="FP515" s="34">
        <f t="shared" si="508"/>
        <v>0</v>
      </c>
      <c r="FQ515" s="34">
        <f t="shared" si="508"/>
        <v>0</v>
      </c>
      <c r="FR515" s="34">
        <f t="shared" si="508"/>
        <v>0</v>
      </c>
      <c r="FS515" s="34">
        <f t="shared" si="508"/>
        <v>0</v>
      </c>
      <c r="FT515" s="34">
        <f t="shared" si="508"/>
        <v>0</v>
      </c>
      <c r="FU515" s="34">
        <f t="shared" si="508"/>
        <v>0</v>
      </c>
      <c r="FV515" s="34">
        <f t="shared" si="508"/>
        <v>0</v>
      </c>
      <c r="FW515" s="28"/>
      <c r="FX515" s="29">
        <f t="shared" si="3"/>
        <v>0</v>
      </c>
    </row>
    <row r="516" spans="1:180" ht="18" customHeight="1" x14ac:dyDescent="0.25">
      <c r="A516" s="3" t="str">
        <f>IF(C516&lt;&gt;"","DRG-"&amp;TEXT(511,"000"),"")</f>
        <v/>
      </c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38">
        <v>4</v>
      </c>
      <c r="M516" s="23" t="str">
        <f t="shared" si="0"/>
        <v>✘ Pending</v>
      </c>
      <c r="N516" s="23">
        <f t="shared" si="1"/>
        <v>0</v>
      </c>
      <c r="O516" s="25"/>
      <c r="P516" s="26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  <c r="AB516" s="25"/>
      <c r="AC516" s="26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5"/>
      <c r="AP516" s="26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5"/>
      <c r="BC516" s="26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5"/>
      <c r="BP516" s="26"/>
      <c r="BQ516" s="24"/>
      <c r="BR516" s="24"/>
      <c r="BS516" s="24"/>
      <c r="BT516" s="24"/>
      <c r="BU516" s="24"/>
      <c r="BV516" s="24"/>
      <c r="BW516" s="24"/>
      <c r="BX516" s="24"/>
      <c r="BY516" s="24"/>
      <c r="BZ516" s="24"/>
      <c r="CA516" s="24"/>
      <c r="CB516" s="25"/>
      <c r="CC516" s="26"/>
      <c r="CD516" s="24"/>
      <c r="CE516" s="24"/>
      <c r="CF516" s="24"/>
      <c r="CG516" s="24"/>
      <c r="CH516" s="24"/>
      <c r="CI516" s="24"/>
      <c r="CJ516" s="24"/>
      <c r="CK516" s="24"/>
      <c r="CL516" s="24"/>
      <c r="CM516" s="24"/>
      <c r="CN516" s="24"/>
      <c r="CO516" s="25"/>
      <c r="CP516" s="26"/>
      <c r="CQ516" s="24"/>
      <c r="CR516" s="24"/>
      <c r="CS516" s="24"/>
      <c r="CT516" s="24"/>
      <c r="CU516" s="24"/>
      <c r="CV516" s="24"/>
      <c r="CW516" s="24"/>
      <c r="CX516" s="24"/>
      <c r="CY516" s="24"/>
      <c r="CZ516" s="24"/>
      <c r="DA516" s="24"/>
      <c r="DB516" s="25"/>
      <c r="DC516" s="26"/>
      <c r="DD516" s="24"/>
      <c r="DE516" s="24"/>
      <c r="DF516" s="24"/>
      <c r="DG516" s="24"/>
      <c r="DH516" s="24"/>
      <c r="DI516" s="24"/>
      <c r="DJ516" s="24"/>
      <c r="DK516" s="24"/>
      <c r="DL516" s="24"/>
      <c r="DM516" s="24"/>
      <c r="DN516" s="24"/>
      <c r="DO516" s="25"/>
      <c r="DP516" s="26"/>
      <c r="DQ516" s="24"/>
      <c r="DR516" s="24"/>
      <c r="DS516" s="24"/>
      <c r="DT516" s="24"/>
      <c r="DU516" s="24"/>
      <c r="DV516" s="24"/>
      <c r="DW516" s="24"/>
      <c r="DX516" s="24"/>
      <c r="DY516" s="24"/>
      <c r="DZ516" s="24"/>
      <c r="EA516" s="24"/>
      <c r="EB516" s="25"/>
      <c r="EC516" s="26"/>
      <c r="ED516" s="24"/>
      <c r="EE516" s="24"/>
      <c r="EF516" s="24"/>
      <c r="EG516" s="24"/>
      <c r="EH516" s="24"/>
      <c r="EI516" s="24"/>
      <c r="EJ516" s="24"/>
      <c r="EK516" s="24"/>
      <c r="EL516" s="24"/>
      <c r="EM516" s="24"/>
      <c r="EN516" s="24"/>
      <c r="EO516" s="25"/>
      <c r="EP516" s="26"/>
      <c r="EQ516" s="24"/>
      <c r="ER516" s="24"/>
      <c r="ES516" s="24"/>
      <c r="ET516" s="24"/>
      <c r="EU516" s="24"/>
      <c r="EV516" s="24"/>
      <c r="EW516" s="24"/>
      <c r="EX516" s="24"/>
      <c r="EY516" s="24"/>
      <c r="EZ516" s="24"/>
      <c r="FA516" s="24"/>
      <c r="FB516" s="25"/>
      <c r="FC516" s="26"/>
      <c r="FD516" s="24"/>
      <c r="FE516" s="24"/>
      <c r="FF516" s="24"/>
      <c r="FG516" s="24"/>
      <c r="FH516" s="24"/>
      <c r="FI516" s="24"/>
      <c r="FJ516" s="24"/>
      <c r="FK516" s="24"/>
      <c r="FL516" s="24"/>
      <c r="FM516" s="24"/>
      <c r="FN516" s="24"/>
      <c r="FO516" s="27">
        <f t="shared" ref="FO516:FV516" si="509">IFERROR(R516*1,0)+IFERROR(AE516*1,0)+IFERROR(AR516*1,0)+IFERROR(BE516*1,0)+IFERROR(BR516*1,0)+IFERROR(CE516*1,0)+IFERROR(CR516*1,0)+IFERROR(DE516*1,0)+IFERROR(DR516*1,0)+IFERROR(EE516*1,0)+IFERROR(ER516*1,0)+IFERROR(FE516*1,0)</f>
        <v>0</v>
      </c>
      <c r="FP516" s="27">
        <f t="shared" si="509"/>
        <v>0</v>
      </c>
      <c r="FQ516" s="27">
        <f t="shared" si="509"/>
        <v>0</v>
      </c>
      <c r="FR516" s="27">
        <f t="shared" si="509"/>
        <v>0</v>
      </c>
      <c r="FS516" s="27">
        <f t="shared" si="509"/>
        <v>0</v>
      </c>
      <c r="FT516" s="27">
        <f t="shared" si="509"/>
        <v>0</v>
      </c>
      <c r="FU516" s="27">
        <f t="shared" si="509"/>
        <v>0</v>
      </c>
      <c r="FV516" s="27">
        <f t="shared" si="509"/>
        <v>0</v>
      </c>
      <c r="FW516" s="28"/>
      <c r="FX516" s="29">
        <f t="shared" si="3"/>
        <v>0</v>
      </c>
    </row>
    <row r="517" spans="1:180" ht="18" customHeight="1" x14ac:dyDescent="0.25">
      <c r="A517" s="3" t="str">
        <f>IF(C517&lt;&gt;"","DRG-"&amp;TEXT(512,"000"),"")</f>
        <v/>
      </c>
      <c r="B517" s="33"/>
      <c r="C517" s="33"/>
      <c r="D517" s="33"/>
      <c r="E517" s="33"/>
      <c r="F517" s="33"/>
      <c r="G517" s="33"/>
      <c r="H517" s="33"/>
      <c r="I517" s="33"/>
      <c r="J517" s="33"/>
      <c r="K517" s="33"/>
      <c r="L517" s="37">
        <v>4</v>
      </c>
      <c r="M517" s="30" t="str">
        <f t="shared" si="0"/>
        <v>✘ Pending</v>
      </c>
      <c r="N517" s="30">
        <f t="shared" si="1"/>
        <v>0</v>
      </c>
      <c r="O517" s="31"/>
      <c r="P517" s="32"/>
      <c r="Q517" s="33"/>
      <c r="R517" s="33"/>
      <c r="S517" s="33"/>
      <c r="T517" s="33"/>
      <c r="U517" s="33"/>
      <c r="V517" s="33"/>
      <c r="W517" s="33"/>
      <c r="X517" s="33"/>
      <c r="Y517" s="33"/>
      <c r="Z517" s="33"/>
      <c r="AA517" s="33"/>
      <c r="AB517" s="31"/>
      <c r="AC517" s="32"/>
      <c r="AD517" s="33"/>
      <c r="AE517" s="33"/>
      <c r="AF517" s="33"/>
      <c r="AG517" s="33"/>
      <c r="AH517" s="33"/>
      <c r="AI517" s="33"/>
      <c r="AJ517" s="33"/>
      <c r="AK517" s="33"/>
      <c r="AL517" s="33"/>
      <c r="AM517" s="33"/>
      <c r="AN517" s="33"/>
      <c r="AO517" s="31"/>
      <c r="AP517" s="32"/>
      <c r="AQ517" s="33"/>
      <c r="AR517" s="33"/>
      <c r="AS517" s="33"/>
      <c r="AT517" s="33"/>
      <c r="AU517" s="33"/>
      <c r="AV517" s="33"/>
      <c r="AW517" s="33"/>
      <c r="AX517" s="33"/>
      <c r="AY517" s="33"/>
      <c r="AZ517" s="33"/>
      <c r="BA517" s="33"/>
      <c r="BB517" s="31"/>
      <c r="BC517" s="32"/>
      <c r="BD517" s="33"/>
      <c r="BE517" s="33"/>
      <c r="BF517" s="33"/>
      <c r="BG517" s="33"/>
      <c r="BH517" s="33"/>
      <c r="BI517" s="33"/>
      <c r="BJ517" s="33"/>
      <c r="BK517" s="33"/>
      <c r="BL517" s="33"/>
      <c r="BM517" s="33"/>
      <c r="BN517" s="33"/>
      <c r="BO517" s="31"/>
      <c r="BP517" s="32"/>
      <c r="BQ517" s="33"/>
      <c r="BR517" s="33"/>
      <c r="BS517" s="33"/>
      <c r="BT517" s="33"/>
      <c r="BU517" s="33"/>
      <c r="BV517" s="33"/>
      <c r="BW517" s="33"/>
      <c r="BX517" s="33"/>
      <c r="BY517" s="33"/>
      <c r="BZ517" s="33"/>
      <c r="CA517" s="33"/>
      <c r="CB517" s="31"/>
      <c r="CC517" s="32"/>
      <c r="CD517" s="33"/>
      <c r="CE517" s="33"/>
      <c r="CF517" s="33"/>
      <c r="CG517" s="33"/>
      <c r="CH517" s="33"/>
      <c r="CI517" s="33"/>
      <c r="CJ517" s="33"/>
      <c r="CK517" s="33"/>
      <c r="CL517" s="33"/>
      <c r="CM517" s="33"/>
      <c r="CN517" s="33"/>
      <c r="CO517" s="31"/>
      <c r="CP517" s="32"/>
      <c r="CQ517" s="33"/>
      <c r="CR517" s="33"/>
      <c r="CS517" s="33"/>
      <c r="CT517" s="33"/>
      <c r="CU517" s="33"/>
      <c r="CV517" s="33"/>
      <c r="CW517" s="33"/>
      <c r="CX517" s="33"/>
      <c r="CY517" s="33"/>
      <c r="CZ517" s="33"/>
      <c r="DA517" s="33"/>
      <c r="DB517" s="31"/>
      <c r="DC517" s="32"/>
      <c r="DD517" s="33"/>
      <c r="DE517" s="33"/>
      <c r="DF517" s="33"/>
      <c r="DG517" s="33"/>
      <c r="DH517" s="33"/>
      <c r="DI517" s="33"/>
      <c r="DJ517" s="33"/>
      <c r="DK517" s="33"/>
      <c r="DL517" s="33"/>
      <c r="DM517" s="33"/>
      <c r="DN517" s="33"/>
      <c r="DO517" s="31"/>
      <c r="DP517" s="32"/>
      <c r="DQ517" s="33"/>
      <c r="DR517" s="33"/>
      <c r="DS517" s="33"/>
      <c r="DT517" s="33"/>
      <c r="DU517" s="33"/>
      <c r="DV517" s="33"/>
      <c r="DW517" s="33"/>
      <c r="DX517" s="33"/>
      <c r="DY517" s="33"/>
      <c r="DZ517" s="33"/>
      <c r="EA517" s="33"/>
      <c r="EB517" s="31"/>
      <c r="EC517" s="32"/>
      <c r="ED517" s="33"/>
      <c r="EE517" s="33"/>
      <c r="EF517" s="33"/>
      <c r="EG517" s="33"/>
      <c r="EH517" s="33"/>
      <c r="EI517" s="33"/>
      <c r="EJ517" s="33"/>
      <c r="EK517" s="33"/>
      <c r="EL517" s="33"/>
      <c r="EM517" s="33"/>
      <c r="EN517" s="33"/>
      <c r="EO517" s="31"/>
      <c r="EP517" s="32"/>
      <c r="EQ517" s="33"/>
      <c r="ER517" s="33"/>
      <c r="ES517" s="33"/>
      <c r="ET517" s="33"/>
      <c r="EU517" s="33"/>
      <c r="EV517" s="33"/>
      <c r="EW517" s="33"/>
      <c r="EX517" s="33"/>
      <c r="EY517" s="33"/>
      <c r="EZ517" s="33"/>
      <c r="FA517" s="33"/>
      <c r="FB517" s="31"/>
      <c r="FC517" s="32"/>
      <c r="FD517" s="33"/>
      <c r="FE517" s="33"/>
      <c r="FF517" s="33"/>
      <c r="FG517" s="33"/>
      <c r="FH517" s="33"/>
      <c r="FI517" s="33"/>
      <c r="FJ517" s="33"/>
      <c r="FK517" s="33"/>
      <c r="FL517" s="33"/>
      <c r="FM517" s="33"/>
      <c r="FN517" s="33"/>
      <c r="FO517" s="34">
        <f t="shared" ref="FO517:FV517" si="510">IFERROR(R517*1,0)+IFERROR(AE517*1,0)+IFERROR(AR517*1,0)+IFERROR(BE517*1,0)+IFERROR(BR517*1,0)+IFERROR(CE517*1,0)+IFERROR(CR517*1,0)+IFERROR(DE517*1,0)+IFERROR(DR517*1,0)+IFERROR(EE517*1,0)+IFERROR(ER517*1,0)+IFERROR(FE517*1,0)</f>
        <v>0</v>
      </c>
      <c r="FP517" s="34">
        <f t="shared" si="510"/>
        <v>0</v>
      </c>
      <c r="FQ517" s="34">
        <f t="shared" si="510"/>
        <v>0</v>
      </c>
      <c r="FR517" s="34">
        <f t="shared" si="510"/>
        <v>0</v>
      </c>
      <c r="FS517" s="34">
        <f t="shared" si="510"/>
        <v>0</v>
      </c>
      <c r="FT517" s="34">
        <f t="shared" si="510"/>
        <v>0</v>
      </c>
      <c r="FU517" s="34">
        <f t="shared" si="510"/>
        <v>0</v>
      </c>
      <c r="FV517" s="34">
        <f t="shared" si="510"/>
        <v>0</v>
      </c>
      <c r="FW517" s="28"/>
      <c r="FX517" s="29">
        <f t="shared" si="3"/>
        <v>0</v>
      </c>
    </row>
    <row r="518" spans="1:180" ht="18" customHeight="1" x14ac:dyDescent="0.25">
      <c r="A518" s="3" t="str">
        <f>IF(C518&lt;&gt;"","DRG-"&amp;TEXT(513,"000"),"")</f>
        <v/>
      </c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38">
        <v>4</v>
      </c>
      <c r="M518" s="23" t="str">
        <f t="shared" si="0"/>
        <v>✘ Pending</v>
      </c>
      <c r="N518" s="23">
        <f t="shared" si="1"/>
        <v>0</v>
      </c>
      <c r="O518" s="25"/>
      <c r="P518" s="26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  <c r="AB518" s="25"/>
      <c r="AC518" s="26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5"/>
      <c r="AP518" s="26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5"/>
      <c r="BC518" s="26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5"/>
      <c r="BP518" s="26"/>
      <c r="BQ518" s="24"/>
      <c r="BR518" s="24"/>
      <c r="BS518" s="24"/>
      <c r="BT518" s="24"/>
      <c r="BU518" s="24"/>
      <c r="BV518" s="24"/>
      <c r="BW518" s="24"/>
      <c r="BX518" s="24"/>
      <c r="BY518" s="24"/>
      <c r="BZ518" s="24"/>
      <c r="CA518" s="24"/>
      <c r="CB518" s="25"/>
      <c r="CC518" s="26"/>
      <c r="CD518" s="24"/>
      <c r="CE518" s="24"/>
      <c r="CF518" s="24"/>
      <c r="CG518" s="24"/>
      <c r="CH518" s="24"/>
      <c r="CI518" s="24"/>
      <c r="CJ518" s="24"/>
      <c r="CK518" s="24"/>
      <c r="CL518" s="24"/>
      <c r="CM518" s="24"/>
      <c r="CN518" s="24"/>
      <c r="CO518" s="25"/>
      <c r="CP518" s="26"/>
      <c r="CQ518" s="24"/>
      <c r="CR518" s="24"/>
      <c r="CS518" s="24"/>
      <c r="CT518" s="24"/>
      <c r="CU518" s="24"/>
      <c r="CV518" s="24"/>
      <c r="CW518" s="24"/>
      <c r="CX518" s="24"/>
      <c r="CY518" s="24"/>
      <c r="CZ518" s="24"/>
      <c r="DA518" s="24"/>
      <c r="DB518" s="25"/>
      <c r="DC518" s="26"/>
      <c r="DD518" s="24"/>
      <c r="DE518" s="24"/>
      <c r="DF518" s="24"/>
      <c r="DG518" s="24"/>
      <c r="DH518" s="24"/>
      <c r="DI518" s="24"/>
      <c r="DJ518" s="24"/>
      <c r="DK518" s="24"/>
      <c r="DL518" s="24"/>
      <c r="DM518" s="24"/>
      <c r="DN518" s="24"/>
      <c r="DO518" s="25"/>
      <c r="DP518" s="26"/>
      <c r="DQ518" s="24"/>
      <c r="DR518" s="24"/>
      <c r="DS518" s="24"/>
      <c r="DT518" s="24"/>
      <c r="DU518" s="24"/>
      <c r="DV518" s="24"/>
      <c r="DW518" s="24"/>
      <c r="DX518" s="24"/>
      <c r="DY518" s="24"/>
      <c r="DZ518" s="24"/>
      <c r="EA518" s="24"/>
      <c r="EB518" s="25"/>
      <c r="EC518" s="26"/>
      <c r="ED518" s="24"/>
      <c r="EE518" s="24"/>
      <c r="EF518" s="24"/>
      <c r="EG518" s="24"/>
      <c r="EH518" s="24"/>
      <c r="EI518" s="24"/>
      <c r="EJ518" s="24"/>
      <c r="EK518" s="24"/>
      <c r="EL518" s="24"/>
      <c r="EM518" s="24"/>
      <c r="EN518" s="24"/>
      <c r="EO518" s="25"/>
      <c r="EP518" s="26"/>
      <c r="EQ518" s="24"/>
      <c r="ER518" s="24"/>
      <c r="ES518" s="24"/>
      <c r="ET518" s="24"/>
      <c r="EU518" s="24"/>
      <c r="EV518" s="24"/>
      <c r="EW518" s="24"/>
      <c r="EX518" s="24"/>
      <c r="EY518" s="24"/>
      <c r="EZ518" s="24"/>
      <c r="FA518" s="24"/>
      <c r="FB518" s="25"/>
      <c r="FC518" s="26"/>
      <c r="FD518" s="24"/>
      <c r="FE518" s="24"/>
      <c r="FF518" s="24"/>
      <c r="FG518" s="24"/>
      <c r="FH518" s="24"/>
      <c r="FI518" s="24"/>
      <c r="FJ518" s="24"/>
      <c r="FK518" s="24"/>
      <c r="FL518" s="24"/>
      <c r="FM518" s="24"/>
      <c r="FN518" s="24"/>
      <c r="FO518" s="27">
        <f t="shared" ref="FO518:FV518" si="511">IFERROR(R518*1,0)+IFERROR(AE518*1,0)+IFERROR(AR518*1,0)+IFERROR(BE518*1,0)+IFERROR(BR518*1,0)+IFERROR(CE518*1,0)+IFERROR(CR518*1,0)+IFERROR(DE518*1,0)+IFERROR(DR518*1,0)+IFERROR(EE518*1,0)+IFERROR(ER518*1,0)+IFERROR(FE518*1,0)</f>
        <v>0</v>
      </c>
      <c r="FP518" s="27">
        <f t="shared" si="511"/>
        <v>0</v>
      </c>
      <c r="FQ518" s="27">
        <f t="shared" si="511"/>
        <v>0</v>
      </c>
      <c r="FR518" s="27">
        <f t="shared" si="511"/>
        <v>0</v>
      </c>
      <c r="FS518" s="27">
        <f t="shared" si="511"/>
        <v>0</v>
      </c>
      <c r="FT518" s="27">
        <f t="shared" si="511"/>
        <v>0</v>
      </c>
      <c r="FU518" s="27">
        <f t="shared" si="511"/>
        <v>0</v>
      </c>
      <c r="FV518" s="27">
        <f t="shared" si="511"/>
        <v>0</v>
      </c>
      <c r="FW518" s="28"/>
      <c r="FX518" s="29">
        <f t="shared" si="3"/>
        <v>0</v>
      </c>
    </row>
    <row r="519" spans="1:180" ht="18" customHeight="1" x14ac:dyDescent="0.25">
      <c r="A519" s="3" t="str">
        <f>IF(C519&lt;&gt;"","DRG-"&amp;TEXT(514,"000"),"")</f>
        <v/>
      </c>
      <c r="B519" s="33"/>
      <c r="C519" s="33"/>
      <c r="D519" s="33"/>
      <c r="E519" s="33"/>
      <c r="F519" s="33"/>
      <c r="G519" s="33"/>
      <c r="H519" s="33"/>
      <c r="I519" s="33"/>
      <c r="J519" s="33"/>
      <c r="K519" s="33"/>
      <c r="L519" s="37">
        <v>4</v>
      </c>
      <c r="M519" s="30" t="str">
        <f t="shared" si="0"/>
        <v>✘ Pending</v>
      </c>
      <c r="N519" s="30">
        <f t="shared" si="1"/>
        <v>0</v>
      </c>
      <c r="O519" s="31"/>
      <c r="P519" s="32"/>
      <c r="Q519" s="33"/>
      <c r="R519" s="33"/>
      <c r="S519" s="33"/>
      <c r="T519" s="33"/>
      <c r="U519" s="33"/>
      <c r="V519" s="33"/>
      <c r="W519" s="33"/>
      <c r="X519" s="33"/>
      <c r="Y519" s="33"/>
      <c r="Z519" s="33"/>
      <c r="AA519" s="33"/>
      <c r="AB519" s="31"/>
      <c r="AC519" s="32"/>
      <c r="AD519" s="33"/>
      <c r="AE519" s="33"/>
      <c r="AF519" s="33"/>
      <c r="AG519" s="33"/>
      <c r="AH519" s="33"/>
      <c r="AI519" s="33"/>
      <c r="AJ519" s="33"/>
      <c r="AK519" s="33"/>
      <c r="AL519" s="33"/>
      <c r="AM519" s="33"/>
      <c r="AN519" s="33"/>
      <c r="AO519" s="31"/>
      <c r="AP519" s="32"/>
      <c r="AQ519" s="33"/>
      <c r="AR519" s="33"/>
      <c r="AS519" s="33"/>
      <c r="AT519" s="33"/>
      <c r="AU519" s="33"/>
      <c r="AV519" s="33"/>
      <c r="AW519" s="33"/>
      <c r="AX519" s="33"/>
      <c r="AY519" s="33"/>
      <c r="AZ519" s="33"/>
      <c r="BA519" s="33"/>
      <c r="BB519" s="31"/>
      <c r="BC519" s="32"/>
      <c r="BD519" s="33"/>
      <c r="BE519" s="33"/>
      <c r="BF519" s="33"/>
      <c r="BG519" s="33"/>
      <c r="BH519" s="33"/>
      <c r="BI519" s="33"/>
      <c r="BJ519" s="33"/>
      <c r="BK519" s="33"/>
      <c r="BL519" s="33"/>
      <c r="BM519" s="33"/>
      <c r="BN519" s="33"/>
      <c r="BO519" s="31"/>
      <c r="BP519" s="32"/>
      <c r="BQ519" s="33"/>
      <c r="BR519" s="33"/>
      <c r="BS519" s="33"/>
      <c r="BT519" s="33"/>
      <c r="BU519" s="33"/>
      <c r="BV519" s="33"/>
      <c r="BW519" s="33"/>
      <c r="BX519" s="33"/>
      <c r="BY519" s="33"/>
      <c r="BZ519" s="33"/>
      <c r="CA519" s="33"/>
      <c r="CB519" s="31"/>
      <c r="CC519" s="32"/>
      <c r="CD519" s="33"/>
      <c r="CE519" s="33"/>
      <c r="CF519" s="33"/>
      <c r="CG519" s="33"/>
      <c r="CH519" s="33"/>
      <c r="CI519" s="33"/>
      <c r="CJ519" s="33"/>
      <c r="CK519" s="33"/>
      <c r="CL519" s="33"/>
      <c r="CM519" s="33"/>
      <c r="CN519" s="33"/>
      <c r="CO519" s="31"/>
      <c r="CP519" s="32"/>
      <c r="CQ519" s="33"/>
      <c r="CR519" s="33"/>
      <c r="CS519" s="33"/>
      <c r="CT519" s="33"/>
      <c r="CU519" s="33"/>
      <c r="CV519" s="33"/>
      <c r="CW519" s="33"/>
      <c r="CX519" s="33"/>
      <c r="CY519" s="33"/>
      <c r="CZ519" s="33"/>
      <c r="DA519" s="33"/>
      <c r="DB519" s="31"/>
      <c r="DC519" s="32"/>
      <c r="DD519" s="33"/>
      <c r="DE519" s="33"/>
      <c r="DF519" s="33"/>
      <c r="DG519" s="33"/>
      <c r="DH519" s="33"/>
      <c r="DI519" s="33"/>
      <c r="DJ519" s="33"/>
      <c r="DK519" s="33"/>
      <c r="DL519" s="33"/>
      <c r="DM519" s="33"/>
      <c r="DN519" s="33"/>
      <c r="DO519" s="31"/>
      <c r="DP519" s="32"/>
      <c r="DQ519" s="33"/>
      <c r="DR519" s="33"/>
      <c r="DS519" s="33"/>
      <c r="DT519" s="33"/>
      <c r="DU519" s="33"/>
      <c r="DV519" s="33"/>
      <c r="DW519" s="33"/>
      <c r="DX519" s="33"/>
      <c r="DY519" s="33"/>
      <c r="DZ519" s="33"/>
      <c r="EA519" s="33"/>
      <c r="EB519" s="31"/>
      <c r="EC519" s="32"/>
      <c r="ED519" s="33"/>
      <c r="EE519" s="33"/>
      <c r="EF519" s="33"/>
      <c r="EG519" s="33"/>
      <c r="EH519" s="33"/>
      <c r="EI519" s="33"/>
      <c r="EJ519" s="33"/>
      <c r="EK519" s="33"/>
      <c r="EL519" s="33"/>
      <c r="EM519" s="33"/>
      <c r="EN519" s="33"/>
      <c r="EO519" s="31"/>
      <c r="EP519" s="32"/>
      <c r="EQ519" s="33"/>
      <c r="ER519" s="33"/>
      <c r="ES519" s="33"/>
      <c r="ET519" s="33"/>
      <c r="EU519" s="33"/>
      <c r="EV519" s="33"/>
      <c r="EW519" s="33"/>
      <c r="EX519" s="33"/>
      <c r="EY519" s="33"/>
      <c r="EZ519" s="33"/>
      <c r="FA519" s="33"/>
      <c r="FB519" s="31"/>
      <c r="FC519" s="32"/>
      <c r="FD519" s="33"/>
      <c r="FE519" s="33"/>
      <c r="FF519" s="33"/>
      <c r="FG519" s="33"/>
      <c r="FH519" s="33"/>
      <c r="FI519" s="33"/>
      <c r="FJ519" s="33"/>
      <c r="FK519" s="33"/>
      <c r="FL519" s="33"/>
      <c r="FM519" s="33"/>
      <c r="FN519" s="33"/>
      <c r="FO519" s="34">
        <f t="shared" ref="FO519:FV519" si="512">IFERROR(R519*1,0)+IFERROR(AE519*1,0)+IFERROR(AR519*1,0)+IFERROR(BE519*1,0)+IFERROR(BR519*1,0)+IFERROR(CE519*1,0)+IFERROR(CR519*1,0)+IFERROR(DE519*1,0)+IFERROR(DR519*1,0)+IFERROR(EE519*1,0)+IFERROR(ER519*1,0)+IFERROR(FE519*1,0)</f>
        <v>0</v>
      </c>
      <c r="FP519" s="34">
        <f t="shared" si="512"/>
        <v>0</v>
      </c>
      <c r="FQ519" s="34">
        <f t="shared" si="512"/>
        <v>0</v>
      </c>
      <c r="FR519" s="34">
        <f t="shared" si="512"/>
        <v>0</v>
      </c>
      <c r="FS519" s="34">
        <f t="shared" si="512"/>
        <v>0</v>
      </c>
      <c r="FT519" s="34">
        <f t="shared" si="512"/>
        <v>0</v>
      </c>
      <c r="FU519" s="34">
        <f t="shared" si="512"/>
        <v>0</v>
      </c>
      <c r="FV519" s="34">
        <f t="shared" si="512"/>
        <v>0</v>
      </c>
      <c r="FW519" s="28"/>
      <c r="FX519" s="29">
        <f t="shared" si="3"/>
        <v>0</v>
      </c>
    </row>
    <row r="520" spans="1:180" ht="18" customHeight="1" x14ac:dyDescent="0.25">
      <c r="A520" s="3" t="str">
        <f>IF(C520&lt;&gt;"","DRG-"&amp;TEXT(515,"000"),"")</f>
        <v/>
      </c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38">
        <v>4</v>
      </c>
      <c r="M520" s="23" t="str">
        <f t="shared" si="0"/>
        <v>✘ Pending</v>
      </c>
      <c r="N520" s="23">
        <f t="shared" si="1"/>
        <v>0</v>
      </c>
      <c r="O520" s="25"/>
      <c r="P520" s="26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  <c r="AB520" s="25"/>
      <c r="AC520" s="26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5"/>
      <c r="AP520" s="26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5"/>
      <c r="BC520" s="26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5"/>
      <c r="BP520" s="26"/>
      <c r="BQ520" s="24"/>
      <c r="BR520" s="24"/>
      <c r="BS520" s="24"/>
      <c r="BT520" s="24"/>
      <c r="BU520" s="24"/>
      <c r="BV520" s="24"/>
      <c r="BW520" s="24"/>
      <c r="BX520" s="24"/>
      <c r="BY520" s="24"/>
      <c r="BZ520" s="24"/>
      <c r="CA520" s="24"/>
      <c r="CB520" s="25"/>
      <c r="CC520" s="26"/>
      <c r="CD520" s="24"/>
      <c r="CE520" s="24"/>
      <c r="CF520" s="24"/>
      <c r="CG520" s="24"/>
      <c r="CH520" s="24"/>
      <c r="CI520" s="24"/>
      <c r="CJ520" s="24"/>
      <c r="CK520" s="24"/>
      <c r="CL520" s="24"/>
      <c r="CM520" s="24"/>
      <c r="CN520" s="24"/>
      <c r="CO520" s="25"/>
      <c r="CP520" s="26"/>
      <c r="CQ520" s="24"/>
      <c r="CR520" s="24"/>
      <c r="CS520" s="24"/>
      <c r="CT520" s="24"/>
      <c r="CU520" s="24"/>
      <c r="CV520" s="24"/>
      <c r="CW520" s="24"/>
      <c r="CX520" s="24"/>
      <c r="CY520" s="24"/>
      <c r="CZ520" s="24"/>
      <c r="DA520" s="24"/>
      <c r="DB520" s="25"/>
      <c r="DC520" s="26"/>
      <c r="DD520" s="24"/>
      <c r="DE520" s="24"/>
      <c r="DF520" s="24"/>
      <c r="DG520" s="24"/>
      <c r="DH520" s="24"/>
      <c r="DI520" s="24"/>
      <c r="DJ520" s="24"/>
      <c r="DK520" s="24"/>
      <c r="DL520" s="24"/>
      <c r="DM520" s="24"/>
      <c r="DN520" s="24"/>
      <c r="DO520" s="25"/>
      <c r="DP520" s="26"/>
      <c r="DQ520" s="24"/>
      <c r="DR520" s="24"/>
      <c r="DS520" s="24"/>
      <c r="DT520" s="24"/>
      <c r="DU520" s="24"/>
      <c r="DV520" s="24"/>
      <c r="DW520" s="24"/>
      <c r="DX520" s="24"/>
      <c r="DY520" s="24"/>
      <c r="DZ520" s="24"/>
      <c r="EA520" s="24"/>
      <c r="EB520" s="25"/>
      <c r="EC520" s="26"/>
      <c r="ED520" s="24"/>
      <c r="EE520" s="24"/>
      <c r="EF520" s="24"/>
      <c r="EG520" s="24"/>
      <c r="EH520" s="24"/>
      <c r="EI520" s="24"/>
      <c r="EJ520" s="24"/>
      <c r="EK520" s="24"/>
      <c r="EL520" s="24"/>
      <c r="EM520" s="24"/>
      <c r="EN520" s="24"/>
      <c r="EO520" s="25"/>
      <c r="EP520" s="26"/>
      <c r="EQ520" s="24"/>
      <c r="ER520" s="24"/>
      <c r="ES520" s="24"/>
      <c r="ET520" s="24"/>
      <c r="EU520" s="24"/>
      <c r="EV520" s="24"/>
      <c r="EW520" s="24"/>
      <c r="EX520" s="24"/>
      <c r="EY520" s="24"/>
      <c r="EZ520" s="24"/>
      <c r="FA520" s="24"/>
      <c r="FB520" s="25"/>
      <c r="FC520" s="26"/>
      <c r="FD520" s="24"/>
      <c r="FE520" s="24"/>
      <c r="FF520" s="24"/>
      <c r="FG520" s="24"/>
      <c r="FH520" s="24"/>
      <c r="FI520" s="24"/>
      <c r="FJ520" s="24"/>
      <c r="FK520" s="24"/>
      <c r="FL520" s="24"/>
      <c r="FM520" s="24"/>
      <c r="FN520" s="24"/>
      <c r="FO520" s="27">
        <f t="shared" ref="FO520:FV520" si="513">IFERROR(R520*1,0)+IFERROR(AE520*1,0)+IFERROR(AR520*1,0)+IFERROR(BE520*1,0)+IFERROR(BR520*1,0)+IFERROR(CE520*1,0)+IFERROR(CR520*1,0)+IFERROR(DE520*1,0)+IFERROR(DR520*1,0)+IFERROR(EE520*1,0)+IFERROR(ER520*1,0)+IFERROR(FE520*1,0)</f>
        <v>0</v>
      </c>
      <c r="FP520" s="27">
        <f t="shared" si="513"/>
        <v>0</v>
      </c>
      <c r="FQ520" s="27">
        <f t="shared" si="513"/>
        <v>0</v>
      </c>
      <c r="FR520" s="27">
        <f t="shared" si="513"/>
        <v>0</v>
      </c>
      <c r="FS520" s="27">
        <f t="shared" si="513"/>
        <v>0</v>
      </c>
      <c r="FT520" s="27">
        <f t="shared" si="513"/>
        <v>0</v>
      </c>
      <c r="FU520" s="27">
        <f t="shared" si="513"/>
        <v>0</v>
      </c>
      <c r="FV520" s="27">
        <f t="shared" si="513"/>
        <v>0</v>
      </c>
      <c r="FW520" s="28"/>
      <c r="FX520" s="29">
        <f t="shared" si="3"/>
        <v>0</v>
      </c>
    </row>
    <row r="521" spans="1:180" ht="18" customHeight="1" x14ac:dyDescent="0.25">
      <c r="A521" s="3" t="str">
        <f>IF(C521&lt;&gt;"","DRG-"&amp;TEXT(516,"000"),"")</f>
        <v/>
      </c>
      <c r="B521" s="33"/>
      <c r="C521" s="33"/>
      <c r="D521" s="33"/>
      <c r="E521" s="33"/>
      <c r="F521" s="33"/>
      <c r="G521" s="33"/>
      <c r="H521" s="33"/>
      <c r="I521" s="33"/>
      <c r="J521" s="33"/>
      <c r="K521" s="33"/>
      <c r="L521" s="37">
        <v>4</v>
      </c>
      <c r="M521" s="30" t="str">
        <f t="shared" si="0"/>
        <v>✘ Pending</v>
      </c>
      <c r="N521" s="30">
        <f t="shared" si="1"/>
        <v>0</v>
      </c>
      <c r="O521" s="31"/>
      <c r="P521" s="32"/>
      <c r="Q521" s="33"/>
      <c r="R521" s="33"/>
      <c r="S521" s="33"/>
      <c r="T521" s="33"/>
      <c r="U521" s="33"/>
      <c r="V521" s="33"/>
      <c r="W521" s="33"/>
      <c r="X521" s="33"/>
      <c r="Y521" s="33"/>
      <c r="Z521" s="33"/>
      <c r="AA521" s="33"/>
      <c r="AB521" s="31"/>
      <c r="AC521" s="32"/>
      <c r="AD521" s="33"/>
      <c r="AE521" s="33"/>
      <c r="AF521" s="33"/>
      <c r="AG521" s="33"/>
      <c r="AH521" s="33"/>
      <c r="AI521" s="33"/>
      <c r="AJ521" s="33"/>
      <c r="AK521" s="33"/>
      <c r="AL521" s="33"/>
      <c r="AM521" s="33"/>
      <c r="AN521" s="33"/>
      <c r="AO521" s="31"/>
      <c r="AP521" s="32"/>
      <c r="AQ521" s="33"/>
      <c r="AR521" s="33"/>
      <c r="AS521" s="33"/>
      <c r="AT521" s="33"/>
      <c r="AU521" s="33"/>
      <c r="AV521" s="33"/>
      <c r="AW521" s="33"/>
      <c r="AX521" s="33"/>
      <c r="AY521" s="33"/>
      <c r="AZ521" s="33"/>
      <c r="BA521" s="33"/>
      <c r="BB521" s="31"/>
      <c r="BC521" s="32"/>
      <c r="BD521" s="33"/>
      <c r="BE521" s="33"/>
      <c r="BF521" s="33"/>
      <c r="BG521" s="33"/>
      <c r="BH521" s="33"/>
      <c r="BI521" s="33"/>
      <c r="BJ521" s="33"/>
      <c r="BK521" s="33"/>
      <c r="BL521" s="33"/>
      <c r="BM521" s="33"/>
      <c r="BN521" s="33"/>
      <c r="BO521" s="31"/>
      <c r="BP521" s="32"/>
      <c r="BQ521" s="33"/>
      <c r="BR521" s="33"/>
      <c r="BS521" s="33"/>
      <c r="BT521" s="33"/>
      <c r="BU521" s="33"/>
      <c r="BV521" s="33"/>
      <c r="BW521" s="33"/>
      <c r="BX521" s="33"/>
      <c r="BY521" s="33"/>
      <c r="BZ521" s="33"/>
      <c r="CA521" s="33"/>
      <c r="CB521" s="31"/>
      <c r="CC521" s="32"/>
      <c r="CD521" s="33"/>
      <c r="CE521" s="33"/>
      <c r="CF521" s="33"/>
      <c r="CG521" s="33"/>
      <c r="CH521" s="33"/>
      <c r="CI521" s="33"/>
      <c r="CJ521" s="33"/>
      <c r="CK521" s="33"/>
      <c r="CL521" s="33"/>
      <c r="CM521" s="33"/>
      <c r="CN521" s="33"/>
      <c r="CO521" s="31"/>
      <c r="CP521" s="32"/>
      <c r="CQ521" s="33"/>
      <c r="CR521" s="33"/>
      <c r="CS521" s="33"/>
      <c r="CT521" s="33"/>
      <c r="CU521" s="33"/>
      <c r="CV521" s="33"/>
      <c r="CW521" s="33"/>
      <c r="CX521" s="33"/>
      <c r="CY521" s="33"/>
      <c r="CZ521" s="33"/>
      <c r="DA521" s="33"/>
      <c r="DB521" s="31"/>
      <c r="DC521" s="32"/>
      <c r="DD521" s="33"/>
      <c r="DE521" s="33"/>
      <c r="DF521" s="33"/>
      <c r="DG521" s="33"/>
      <c r="DH521" s="33"/>
      <c r="DI521" s="33"/>
      <c r="DJ521" s="33"/>
      <c r="DK521" s="33"/>
      <c r="DL521" s="33"/>
      <c r="DM521" s="33"/>
      <c r="DN521" s="33"/>
      <c r="DO521" s="31"/>
      <c r="DP521" s="32"/>
      <c r="DQ521" s="33"/>
      <c r="DR521" s="33"/>
      <c r="DS521" s="33"/>
      <c r="DT521" s="33"/>
      <c r="DU521" s="33"/>
      <c r="DV521" s="33"/>
      <c r="DW521" s="33"/>
      <c r="DX521" s="33"/>
      <c r="DY521" s="33"/>
      <c r="DZ521" s="33"/>
      <c r="EA521" s="33"/>
      <c r="EB521" s="31"/>
      <c r="EC521" s="32"/>
      <c r="ED521" s="33"/>
      <c r="EE521" s="33"/>
      <c r="EF521" s="33"/>
      <c r="EG521" s="33"/>
      <c r="EH521" s="33"/>
      <c r="EI521" s="33"/>
      <c r="EJ521" s="33"/>
      <c r="EK521" s="33"/>
      <c r="EL521" s="33"/>
      <c r="EM521" s="33"/>
      <c r="EN521" s="33"/>
      <c r="EO521" s="31"/>
      <c r="EP521" s="32"/>
      <c r="EQ521" s="33"/>
      <c r="ER521" s="33"/>
      <c r="ES521" s="33"/>
      <c r="ET521" s="33"/>
      <c r="EU521" s="33"/>
      <c r="EV521" s="33"/>
      <c r="EW521" s="33"/>
      <c r="EX521" s="33"/>
      <c r="EY521" s="33"/>
      <c r="EZ521" s="33"/>
      <c r="FA521" s="33"/>
      <c r="FB521" s="31"/>
      <c r="FC521" s="32"/>
      <c r="FD521" s="33"/>
      <c r="FE521" s="33"/>
      <c r="FF521" s="33"/>
      <c r="FG521" s="33"/>
      <c r="FH521" s="33"/>
      <c r="FI521" s="33"/>
      <c r="FJ521" s="33"/>
      <c r="FK521" s="33"/>
      <c r="FL521" s="33"/>
      <c r="FM521" s="33"/>
      <c r="FN521" s="33"/>
      <c r="FO521" s="34">
        <f t="shared" ref="FO521:FV521" si="514">IFERROR(R521*1,0)+IFERROR(AE521*1,0)+IFERROR(AR521*1,0)+IFERROR(BE521*1,0)+IFERROR(BR521*1,0)+IFERROR(CE521*1,0)+IFERROR(CR521*1,0)+IFERROR(DE521*1,0)+IFERROR(DR521*1,0)+IFERROR(EE521*1,0)+IFERROR(ER521*1,0)+IFERROR(FE521*1,0)</f>
        <v>0</v>
      </c>
      <c r="FP521" s="34">
        <f t="shared" si="514"/>
        <v>0</v>
      </c>
      <c r="FQ521" s="34">
        <f t="shared" si="514"/>
        <v>0</v>
      </c>
      <c r="FR521" s="34">
        <f t="shared" si="514"/>
        <v>0</v>
      </c>
      <c r="FS521" s="34">
        <f t="shared" si="514"/>
        <v>0</v>
      </c>
      <c r="FT521" s="34">
        <f t="shared" si="514"/>
        <v>0</v>
      </c>
      <c r="FU521" s="34">
        <f t="shared" si="514"/>
        <v>0</v>
      </c>
      <c r="FV521" s="34">
        <f t="shared" si="514"/>
        <v>0</v>
      </c>
      <c r="FW521" s="28"/>
      <c r="FX521" s="29">
        <f t="shared" si="3"/>
        <v>0</v>
      </c>
    </row>
    <row r="522" spans="1:180" ht="18" customHeight="1" x14ac:dyDescent="0.25">
      <c r="A522" s="3" t="str">
        <f>IF(C522&lt;&gt;"","DRG-"&amp;TEXT(517,"000"),"")</f>
        <v/>
      </c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38">
        <v>4</v>
      </c>
      <c r="M522" s="23" t="str">
        <f t="shared" si="0"/>
        <v>✘ Pending</v>
      </c>
      <c r="N522" s="23">
        <f t="shared" si="1"/>
        <v>0</v>
      </c>
      <c r="O522" s="25"/>
      <c r="P522" s="26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  <c r="AB522" s="25"/>
      <c r="AC522" s="26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5"/>
      <c r="AP522" s="26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5"/>
      <c r="BC522" s="26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5"/>
      <c r="BP522" s="26"/>
      <c r="BQ522" s="24"/>
      <c r="BR522" s="24"/>
      <c r="BS522" s="24"/>
      <c r="BT522" s="24"/>
      <c r="BU522" s="24"/>
      <c r="BV522" s="24"/>
      <c r="BW522" s="24"/>
      <c r="BX522" s="24"/>
      <c r="BY522" s="24"/>
      <c r="BZ522" s="24"/>
      <c r="CA522" s="24"/>
      <c r="CB522" s="25"/>
      <c r="CC522" s="26"/>
      <c r="CD522" s="24"/>
      <c r="CE522" s="24"/>
      <c r="CF522" s="24"/>
      <c r="CG522" s="24"/>
      <c r="CH522" s="24"/>
      <c r="CI522" s="24"/>
      <c r="CJ522" s="24"/>
      <c r="CK522" s="24"/>
      <c r="CL522" s="24"/>
      <c r="CM522" s="24"/>
      <c r="CN522" s="24"/>
      <c r="CO522" s="25"/>
      <c r="CP522" s="26"/>
      <c r="CQ522" s="24"/>
      <c r="CR522" s="24"/>
      <c r="CS522" s="24"/>
      <c r="CT522" s="24"/>
      <c r="CU522" s="24"/>
      <c r="CV522" s="24"/>
      <c r="CW522" s="24"/>
      <c r="CX522" s="24"/>
      <c r="CY522" s="24"/>
      <c r="CZ522" s="24"/>
      <c r="DA522" s="24"/>
      <c r="DB522" s="25"/>
      <c r="DC522" s="26"/>
      <c r="DD522" s="24"/>
      <c r="DE522" s="24"/>
      <c r="DF522" s="24"/>
      <c r="DG522" s="24"/>
      <c r="DH522" s="24"/>
      <c r="DI522" s="24"/>
      <c r="DJ522" s="24"/>
      <c r="DK522" s="24"/>
      <c r="DL522" s="24"/>
      <c r="DM522" s="24"/>
      <c r="DN522" s="24"/>
      <c r="DO522" s="25"/>
      <c r="DP522" s="26"/>
      <c r="DQ522" s="24"/>
      <c r="DR522" s="24"/>
      <c r="DS522" s="24"/>
      <c r="DT522" s="24"/>
      <c r="DU522" s="24"/>
      <c r="DV522" s="24"/>
      <c r="DW522" s="24"/>
      <c r="DX522" s="24"/>
      <c r="DY522" s="24"/>
      <c r="DZ522" s="24"/>
      <c r="EA522" s="24"/>
      <c r="EB522" s="25"/>
      <c r="EC522" s="26"/>
      <c r="ED522" s="24"/>
      <c r="EE522" s="24"/>
      <c r="EF522" s="24"/>
      <c r="EG522" s="24"/>
      <c r="EH522" s="24"/>
      <c r="EI522" s="24"/>
      <c r="EJ522" s="24"/>
      <c r="EK522" s="24"/>
      <c r="EL522" s="24"/>
      <c r="EM522" s="24"/>
      <c r="EN522" s="24"/>
      <c r="EO522" s="25"/>
      <c r="EP522" s="26"/>
      <c r="EQ522" s="24"/>
      <c r="ER522" s="24"/>
      <c r="ES522" s="24"/>
      <c r="ET522" s="24"/>
      <c r="EU522" s="24"/>
      <c r="EV522" s="24"/>
      <c r="EW522" s="24"/>
      <c r="EX522" s="24"/>
      <c r="EY522" s="24"/>
      <c r="EZ522" s="24"/>
      <c r="FA522" s="24"/>
      <c r="FB522" s="25"/>
      <c r="FC522" s="26"/>
      <c r="FD522" s="24"/>
      <c r="FE522" s="24"/>
      <c r="FF522" s="24"/>
      <c r="FG522" s="24"/>
      <c r="FH522" s="24"/>
      <c r="FI522" s="24"/>
      <c r="FJ522" s="24"/>
      <c r="FK522" s="24"/>
      <c r="FL522" s="24"/>
      <c r="FM522" s="24"/>
      <c r="FN522" s="24"/>
      <c r="FO522" s="27">
        <f t="shared" ref="FO522:FV522" si="515">IFERROR(R522*1,0)+IFERROR(AE522*1,0)+IFERROR(AR522*1,0)+IFERROR(BE522*1,0)+IFERROR(BR522*1,0)+IFERROR(CE522*1,0)+IFERROR(CR522*1,0)+IFERROR(DE522*1,0)+IFERROR(DR522*1,0)+IFERROR(EE522*1,0)+IFERROR(ER522*1,0)+IFERROR(FE522*1,0)</f>
        <v>0</v>
      </c>
      <c r="FP522" s="27">
        <f t="shared" si="515"/>
        <v>0</v>
      </c>
      <c r="FQ522" s="27">
        <f t="shared" si="515"/>
        <v>0</v>
      </c>
      <c r="FR522" s="27">
        <f t="shared" si="515"/>
        <v>0</v>
      </c>
      <c r="FS522" s="27">
        <f t="shared" si="515"/>
        <v>0</v>
      </c>
      <c r="FT522" s="27">
        <f t="shared" si="515"/>
        <v>0</v>
      </c>
      <c r="FU522" s="27">
        <f t="shared" si="515"/>
        <v>0</v>
      </c>
      <c r="FV522" s="27">
        <f t="shared" si="515"/>
        <v>0</v>
      </c>
      <c r="FW522" s="28"/>
      <c r="FX522" s="29">
        <f t="shared" si="3"/>
        <v>0</v>
      </c>
    </row>
    <row r="523" spans="1:180" ht="18" customHeight="1" x14ac:dyDescent="0.25">
      <c r="A523" s="3" t="str">
        <f>IF(C523&lt;&gt;"","DRG-"&amp;TEXT(518,"000"),"")</f>
        <v/>
      </c>
      <c r="B523" s="33"/>
      <c r="C523" s="33"/>
      <c r="D523" s="33"/>
      <c r="E523" s="33"/>
      <c r="F523" s="33"/>
      <c r="G523" s="33"/>
      <c r="H523" s="33"/>
      <c r="I523" s="33"/>
      <c r="J523" s="33"/>
      <c r="K523" s="33"/>
      <c r="L523" s="37">
        <v>4</v>
      </c>
      <c r="M523" s="30" t="str">
        <f t="shared" si="0"/>
        <v>✘ Pending</v>
      </c>
      <c r="N523" s="30">
        <f t="shared" si="1"/>
        <v>0</v>
      </c>
      <c r="O523" s="31"/>
      <c r="P523" s="32"/>
      <c r="Q523" s="33"/>
      <c r="R523" s="33"/>
      <c r="S523" s="33"/>
      <c r="T523" s="33"/>
      <c r="U523" s="33"/>
      <c r="V523" s="33"/>
      <c r="W523" s="33"/>
      <c r="X523" s="33"/>
      <c r="Y523" s="33"/>
      <c r="Z523" s="33"/>
      <c r="AA523" s="33"/>
      <c r="AB523" s="31"/>
      <c r="AC523" s="32"/>
      <c r="AD523" s="33"/>
      <c r="AE523" s="33"/>
      <c r="AF523" s="33"/>
      <c r="AG523" s="33"/>
      <c r="AH523" s="33"/>
      <c r="AI523" s="33"/>
      <c r="AJ523" s="33"/>
      <c r="AK523" s="33"/>
      <c r="AL523" s="33"/>
      <c r="AM523" s="33"/>
      <c r="AN523" s="33"/>
      <c r="AO523" s="31"/>
      <c r="AP523" s="32"/>
      <c r="AQ523" s="33"/>
      <c r="AR523" s="33"/>
      <c r="AS523" s="33"/>
      <c r="AT523" s="33"/>
      <c r="AU523" s="33"/>
      <c r="AV523" s="33"/>
      <c r="AW523" s="33"/>
      <c r="AX523" s="33"/>
      <c r="AY523" s="33"/>
      <c r="AZ523" s="33"/>
      <c r="BA523" s="33"/>
      <c r="BB523" s="31"/>
      <c r="BC523" s="32"/>
      <c r="BD523" s="33"/>
      <c r="BE523" s="33"/>
      <c r="BF523" s="33"/>
      <c r="BG523" s="33"/>
      <c r="BH523" s="33"/>
      <c r="BI523" s="33"/>
      <c r="BJ523" s="33"/>
      <c r="BK523" s="33"/>
      <c r="BL523" s="33"/>
      <c r="BM523" s="33"/>
      <c r="BN523" s="33"/>
      <c r="BO523" s="31"/>
      <c r="BP523" s="32"/>
      <c r="BQ523" s="33"/>
      <c r="BR523" s="33"/>
      <c r="BS523" s="33"/>
      <c r="BT523" s="33"/>
      <c r="BU523" s="33"/>
      <c r="BV523" s="33"/>
      <c r="BW523" s="33"/>
      <c r="BX523" s="33"/>
      <c r="BY523" s="33"/>
      <c r="BZ523" s="33"/>
      <c r="CA523" s="33"/>
      <c r="CB523" s="31"/>
      <c r="CC523" s="32"/>
      <c r="CD523" s="33"/>
      <c r="CE523" s="33"/>
      <c r="CF523" s="33"/>
      <c r="CG523" s="33"/>
      <c r="CH523" s="33"/>
      <c r="CI523" s="33"/>
      <c r="CJ523" s="33"/>
      <c r="CK523" s="33"/>
      <c r="CL523" s="33"/>
      <c r="CM523" s="33"/>
      <c r="CN523" s="33"/>
      <c r="CO523" s="31"/>
      <c r="CP523" s="32"/>
      <c r="CQ523" s="33"/>
      <c r="CR523" s="33"/>
      <c r="CS523" s="33"/>
      <c r="CT523" s="33"/>
      <c r="CU523" s="33"/>
      <c r="CV523" s="33"/>
      <c r="CW523" s="33"/>
      <c r="CX523" s="33"/>
      <c r="CY523" s="33"/>
      <c r="CZ523" s="33"/>
      <c r="DA523" s="33"/>
      <c r="DB523" s="31"/>
      <c r="DC523" s="32"/>
      <c r="DD523" s="33"/>
      <c r="DE523" s="33"/>
      <c r="DF523" s="33"/>
      <c r="DG523" s="33"/>
      <c r="DH523" s="33"/>
      <c r="DI523" s="33"/>
      <c r="DJ523" s="33"/>
      <c r="DK523" s="33"/>
      <c r="DL523" s="33"/>
      <c r="DM523" s="33"/>
      <c r="DN523" s="33"/>
      <c r="DO523" s="31"/>
      <c r="DP523" s="32"/>
      <c r="DQ523" s="33"/>
      <c r="DR523" s="33"/>
      <c r="DS523" s="33"/>
      <c r="DT523" s="33"/>
      <c r="DU523" s="33"/>
      <c r="DV523" s="33"/>
      <c r="DW523" s="33"/>
      <c r="DX523" s="33"/>
      <c r="DY523" s="33"/>
      <c r="DZ523" s="33"/>
      <c r="EA523" s="33"/>
      <c r="EB523" s="31"/>
      <c r="EC523" s="32"/>
      <c r="ED523" s="33"/>
      <c r="EE523" s="33"/>
      <c r="EF523" s="33"/>
      <c r="EG523" s="33"/>
      <c r="EH523" s="33"/>
      <c r="EI523" s="33"/>
      <c r="EJ523" s="33"/>
      <c r="EK523" s="33"/>
      <c r="EL523" s="33"/>
      <c r="EM523" s="33"/>
      <c r="EN523" s="33"/>
      <c r="EO523" s="31"/>
      <c r="EP523" s="32"/>
      <c r="EQ523" s="33"/>
      <c r="ER523" s="33"/>
      <c r="ES523" s="33"/>
      <c r="ET523" s="33"/>
      <c r="EU523" s="33"/>
      <c r="EV523" s="33"/>
      <c r="EW523" s="33"/>
      <c r="EX523" s="33"/>
      <c r="EY523" s="33"/>
      <c r="EZ523" s="33"/>
      <c r="FA523" s="33"/>
      <c r="FB523" s="31"/>
      <c r="FC523" s="32"/>
      <c r="FD523" s="33"/>
      <c r="FE523" s="33"/>
      <c r="FF523" s="33"/>
      <c r="FG523" s="33"/>
      <c r="FH523" s="33"/>
      <c r="FI523" s="33"/>
      <c r="FJ523" s="33"/>
      <c r="FK523" s="33"/>
      <c r="FL523" s="33"/>
      <c r="FM523" s="33"/>
      <c r="FN523" s="33"/>
      <c r="FO523" s="34">
        <f t="shared" ref="FO523:FV523" si="516">IFERROR(R523*1,0)+IFERROR(AE523*1,0)+IFERROR(AR523*1,0)+IFERROR(BE523*1,0)+IFERROR(BR523*1,0)+IFERROR(CE523*1,0)+IFERROR(CR523*1,0)+IFERROR(DE523*1,0)+IFERROR(DR523*1,0)+IFERROR(EE523*1,0)+IFERROR(ER523*1,0)+IFERROR(FE523*1,0)</f>
        <v>0</v>
      </c>
      <c r="FP523" s="34">
        <f t="shared" si="516"/>
        <v>0</v>
      </c>
      <c r="FQ523" s="34">
        <f t="shared" si="516"/>
        <v>0</v>
      </c>
      <c r="FR523" s="34">
        <f t="shared" si="516"/>
        <v>0</v>
      </c>
      <c r="FS523" s="34">
        <f t="shared" si="516"/>
        <v>0</v>
      </c>
      <c r="FT523" s="34">
        <f t="shared" si="516"/>
        <v>0</v>
      </c>
      <c r="FU523" s="34">
        <f t="shared" si="516"/>
        <v>0</v>
      </c>
      <c r="FV523" s="34">
        <f t="shared" si="516"/>
        <v>0</v>
      </c>
      <c r="FW523" s="28"/>
      <c r="FX523" s="29">
        <f t="shared" si="3"/>
        <v>0</v>
      </c>
    </row>
    <row r="524" spans="1:180" ht="18" customHeight="1" x14ac:dyDescent="0.25">
      <c r="A524" s="3" t="str">
        <f>IF(C524&lt;&gt;"","DRG-"&amp;TEXT(519,"000"),"")</f>
        <v/>
      </c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38">
        <v>4</v>
      </c>
      <c r="M524" s="23" t="str">
        <f t="shared" si="0"/>
        <v>✘ Pending</v>
      </c>
      <c r="N524" s="23">
        <f t="shared" si="1"/>
        <v>0</v>
      </c>
      <c r="O524" s="25"/>
      <c r="P524" s="26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  <c r="AB524" s="25"/>
      <c r="AC524" s="26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5"/>
      <c r="AP524" s="26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5"/>
      <c r="BC524" s="26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5"/>
      <c r="BP524" s="26"/>
      <c r="BQ524" s="24"/>
      <c r="BR524" s="24"/>
      <c r="BS524" s="24"/>
      <c r="BT524" s="24"/>
      <c r="BU524" s="24"/>
      <c r="BV524" s="24"/>
      <c r="BW524" s="24"/>
      <c r="BX524" s="24"/>
      <c r="BY524" s="24"/>
      <c r="BZ524" s="24"/>
      <c r="CA524" s="24"/>
      <c r="CB524" s="25"/>
      <c r="CC524" s="26"/>
      <c r="CD524" s="24"/>
      <c r="CE524" s="24"/>
      <c r="CF524" s="24"/>
      <c r="CG524" s="24"/>
      <c r="CH524" s="24"/>
      <c r="CI524" s="24"/>
      <c r="CJ524" s="24"/>
      <c r="CK524" s="24"/>
      <c r="CL524" s="24"/>
      <c r="CM524" s="24"/>
      <c r="CN524" s="24"/>
      <c r="CO524" s="25"/>
      <c r="CP524" s="26"/>
      <c r="CQ524" s="24"/>
      <c r="CR524" s="24"/>
      <c r="CS524" s="24"/>
      <c r="CT524" s="24"/>
      <c r="CU524" s="24"/>
      <c r="CV524" s="24"/>
      <c r="CW524" s="24"/>
      <c r="CX524" s="24"/>
      <c r="CY524" s="24"/>
      <c r="CZ524" s="24"/>
      <c r="DA524" s="24"/>
      <c r="DB524" s="25"/>
      <c r="DC524" s="26"/>
      <c r="DD524" s="24"/>
      <c r="DE524" s="24"/>
      <c r="DF524" s="24"/>
      <c r="DG524" s="24"/>
      <c r="DH524" s="24"/>
      <c r="DI524" s="24"/>
      <c r="DJ524" s="24"/>
      <c r="DK524" s="24"/>
      <c r="DL524" s="24"/>
      <c r="DM524" s="24"/>
      <c r="DN524" s="24"/>
      <c r="DO524" s="25"/>
      <c r="DP524" s="26"/>
      <c r="DQ524" s="24"/>
      <c r="DR524" s="24"/>
      <c r="DS524" s="24"/>
      <c r="DT524" s="24"/>
      <c r="DU524" s="24"/>
      <c r="DV524" s="24"/>
      <c r="DW524" s="24"/>
      <c r="DX524" s="24"/>
      <c r="DY524" s="24"/>
      <c r="DZ524" s="24"/>
      <c r="EA524" s="24"/>
      <c r="EB524" s="25"/>
      <c r="EC524" s="26"/>
      <c r="ED524" s="24"/>
      <c r="EE524" s="24"/>
      <c r="EF524" s="24"/>
      <c r="EG524" s="24"/>
      <c r="EH524" s="24"/>
      <c r="EI524" s="24"/>
      <c r="EJ524" s="24"/>
      <c r="EK524" s="24"/>
      <c r="EL524" s="24"/>
      <c r="EM524" s="24"/>
      <c r="EN524" s="24"/>
      <c r="EO524" s="25"/>
      <c r="EP524" s="26"/>
      <c r="EQ524" s="24"/>
      <c r="ER524" s="24"/>
      <c r="ES524" s="24"/>
      <c r="ET524" s="24"/>
      <c r="EU524" s="24"/>
      <c r="EV524" s="24"/>
      <c r="EW524" s="24"/>
      <c r="EX524" s="24"/>
      <c r="EY524" s="24"/>
      <c r="EZ524" s="24"/>
      <c r="FA524" s="24"/>
      <c r="FB524" s="25"/>
      <c r="FC524" s="26"/>
      <c r="FD524" s="24"/>
      <c r="FE524" s="24"/>
      <c r="FF524" s="24"/>
      <c r="FG524" s="24"/>
      <c r="FH524" s="24"/>
      <c r="FI524" s="24"/>
      <c r="FJ524" s="24"/>
      <c r="FK524" s="24"/>
      <c r="FL524" s="24"/>
      <c r="FM524" s="24"/>
      <c r="FN524" s="24"/>
      <c r="FO524" s="27">
        <f t="shared" ref="FO524:FV524" si="517">IFERROR(R524*1,0)+IFERROR(AE524*1,0)+IFERROR(AR524*1,0)+IFERROR(BE524*1,0)+IFERROR(BR524*1,0)+IFERROR(CE524*1,0)+IFERROR(CR524*1,0)+IFERROR(DE524*1,0)+IFERROR(DR524*1,0)+IFERROR(EE524*1,0)+IFERROR(ER524*1,0)+IFERROR(FE524*1,0)</f>
        <v>0</v>
      </c>
      <c r="FP524" s="27">
        <f t="shared" si="517"/>
        <v>0</v>
      </c>
      <c r="FQ524" s="27">
        <f t="shared" si="517"/>
        <v>0</v>
      </c>
      <c r="FR524" s="27">
        <f t="shared" si="517"/>
        <v>0</v>
      </c>
      <c r="FS524" s="27">
        <f t="shared" si="517"/>
        <v>0</v>
      </c>
      <c r="FT524" s="27">
        <f t="shared" si="517"/>
        <v>0</v>
      </c>
      <c r="FU524" s="27">
        <f t="shared" si="517"/>
        <v>0</v>
      </c>
      <c r="FV524" s="27">
        <f t="shared" si="517"/>
        <v>0</v>
      </c>
      <c r="FW524" s="28"/>
      <c r="FX524" s="29">
        <f t="shared" si="3"/>
        <v>0</v>
      </c>
    </row>
    <row r="525" spans="1:180" ht="18" customHeight="1" x14ac:dyDescent="0.25">
      <c r="A525" s="3" t="str">
        <f>IF(C525&lt;&gt;"","DRG-"&amp;TEXT(520,"000"),"")</f>
        <v/>
      </c>
      <c r="B525" s="33"/>
      <c r="C525" s="33"/>
      <c r="D525" s="33"/>
      <c r="E525" s="33"/>
      <c r="F525" s="33"/>
      <c r="G525" s="33"/>
      <c r="H525" s="33"/>
      <c r="I525" s="33"/>
      <c r="J525" s="33"/>
      <c r="K525" s="33"/>
      <c r="L525" s="37">
        <v>4</v>
      </c>
      <c r="M525" s="30" t="str">
        <f t="shared" si="0"/>
        <v>✘ Pending</v>
      </c>
      <c r="N525" s="30">
        <f t="shared" si="1"/>
        <v>0</v>
      </c>
      <c r="O525" s="31"/>
      <c r="P525" s="32"/>
      <c r="Q525" s="33"/>
      <c r="R525" s="33"/>
      <c r="S525" s="33"/>
      <c r="T525" s="33"/>
      <c r="U525" s="33"/>
      <c r="V525" s="33"/>
      <c r="W525" s="33"/>
      <c r="X525" s="33"/>
      <c r="Y525" s="33"/>
      <c r="Z525" s="33"/>
      <c r="AA525" s="33"/>
      <c r="AB525" s="31"/>
      <c r="AC525" s="32"/>
      <c r="AD525" s="33"/>
      <c r="AE525" s="33"/>
      <c r="AF525" s="33"/>
      <c r="AG525" s="33"/>
      <c r="AH525" s="33"/>
      <c r="AI525" s="33"/>
      <c r="AJ525" s="33"/>
      <c r="AK525" s="33"/>
      <c r="AL525" s="33"/>
      <c r="AM525" s="33"/>
      <c r="AN525" s="33"/>
      <c r="AO525" s="31"/>
      <c r="AP525" s="32"/>
      <c r="AQ525" s="33"/>
      <c r="AR525" s="33"/>
      <c r="AS525" s="33"/>
      <c r="AT525" s="33"/>
      <c r="AU525" s="33"/>
      <c r="AV525" s="33"/>
      <c r="AW525" s="33"/>
      <c r="AX525" s="33"/>
      <c r="AY525" s="33"/>
      <c r="AZ525" s="33"/>
      <c r="BA525" s="33"/>
      <c r="BB525" s="31"/>
      <c r="BC525" s="32"/>
      <c r="BD525" s="33"/>
      <c r="BE525" s="33"/>
      <c r="BF525" s="33"/>
      <c r="BG525" s="33"/>
      <c r="BH525" s="33"/>
      <c r="BI525" s="33"/>
      <c r="BJ525" s="33"/>
      <c r="BK525" s="33"/>
      <c r="BL525" s="33"/>
      <c r="BM525" s="33"/>
      <c r="BN525" s="33"/>
      <c r="BO525" s="31"/>
      <c r="BP525" s="32"/>
      <c r="BQ525" s="33"/>
      <c r="BR525" s="33"/>
      <c r="BS525" s="33"/>
      <c r="BT525" s="33"/>
      <c r="BU525" s="33"/>
      <c r="BV525" s="33"/>
      <c r="BW525" s="33"/>
      <c r="BX525" s="33"/>
      <c r="BY525" s="33"/>
      <c r="BZ525" s="33"/>
      <c r="CA525" s="33"/>
      <c r="CB525" s="31"/>
      <c r="CC525" s="32"/>
      <c r="CD525" s="33"/>
      <c r="CE525" s="33"/>
      <c r="CF525" s="33"/>
      <c r="CG525" s="33"/>
      <c r="CH525" s="33"/>
      <c r="CI525" s="33"/>
      <c r="CJ525" s="33"/>
      <c r="CK525" s="33"/>
      <c r="CL525" s="33"/>
      <c r="CM525" s="33"/>
      <c r="CN525" s="33"/>
      <c r="CO525" s="31"/>
      <c r="CP525" s="32"/>
      <c r="CQ525" s="33"/>
      <c r="CR525" s="33"/>
      <c r="CS525" s="33"/>
      <c r="CT525" s="33"/>
      <c r="CU525" s="33"/>
      <c r="CV525" s="33"/>
      <c r="CW525" s="33"/>
      <c r="CX525" s="33"/>
      <c r="CY525" s="33"/>
      <c r="CZ525" s="33"/>
      <c r="DA525" s="33"/>
      <c r="DB525" s="31"/>
      <c r="DC525" s="32"/>
      <c r="DD525" s="33"/>
      <c r="DE525" s="33"/>
      <c r="DF525" s="33"/>
      <c r="DG525" s="33"/>
      <c r="DH525" s="33"/>
      <c r="DI525" s="33"/>
      <c r="DJ525" s="33"/>
      <c r="DK525" s="33"/>
      <c r="DL525" s="33"/>
      <c r="DM525" s="33"/>
      <c r="DN525" s="33"/>
      <c r="DO525" s="31"/>
      <c r="DP525" s="32"/>
      <c r="DQ525" s="33"/>
      <c r="DR525" s="33"/>
      <c r="DS525" s="33"/>
      <c r="DT525" s="33"/>
      <c r="DU525" s="33"/>
      <c r="DV525" s="33"/>
      <c r="DW525" s="33"/>
      <c r="DX525" s="33"/>
      <c r="DY525" s="33"/>
      <c r="DZ525" s="33"/>
      <c r="EA525" s="33"/>
      <c r="EB525" s="31"/>
      <c r="EC525" s="32"/>
      <c r="ED525" s="33"/>
      <c r="EE525" s="33"/>
      <c r="EF525" s="33"/>
      <c r="EG525" s="33"/>
      <c r="EH525" s="33"/>
      <c r="EI525" s="33"/>
      <c r="EJ525" s="33"/>
      <c r="EK525" s="33"/>
      <c r="EL525" s="33"/>
      <c r="EM525" s="33"/>
      <c r="EN525" s="33"/>
      <c r="EO525" s="31"/>
      <c r="EP525" s="32"/>
      <c r="EQ525" s="33"/>
      <c r="ER525" s="33"/>
      <c r="ES525" s="33"/>
      <c r="ET525" s="33"/>
      <c r="EU525" s="33"/>
      <c r="EV525" s="33"/>
      <c r="EW525" s="33"/>
      <c r="EX525" s="33"/>
      <c r="EY525" s="33"/>
      <c r="EZ525" s="33"/>
      <c r="FA525" s="33"/>
      <c r="FB525" s="31"/>
      <c r="FC525" s="32"/>
      <c r="FD525" s="33"/>
      <c r="FE525" s="33"/>
      <c r="FF525" s="33"/>
      <c r="FG525" s="33"/>
      <c r="FH525" s="33"/>
      <c r="FI525" s="33"/>
      <c r="FJ525" s="33"/>
      <c r="FK525" s="33"/>
      <c r="FL525" s="33"/>
      <c r="FM525" s="33"/>
      <c r="FN525" s="33"/>
      <c r="FO525" s="34">
        <f t="shared" ref="FO525:FV525" si="518">IFERROR(R525*1,0)+IFERROR(AE525*1,0)+IFERROR(AR525*1,0)+IFERROR(BE525*1,0)+IFERROR(BR525*1,0)+IFERROR(CE525*1,0)+IFERROR(CR525*1,0)+IFERROR(DE525*1,0)+IFERROR(DR525*1,0)+IFERROR(EE525*1,0)+IFERROR(ER525*1,0)+IFERROR(FE525*1,0)</f>
        <v>0</v>
      </c>
      <c r="FP525" s="34">
        <f t="shared" si="518"/>
        <v>0</v>
      </c>
      <c r="FQ525" s="34">
        <f t="shared" si="518"/>
        <v>0</v>
      </c>
      <c r="FR525" s="34">
        <f t="shared" si="518"/>
        <v>0</v>
      </c>
      <c r="FS525" s="34">
        <f t="shared" si="518"/>
        <v>0</v>
      </c>
      <c r="FT525" s="34">
        <f t="shared" si="518"/>
        <v>0</v>
      </c>
      <c r="FU525" s="34">
        <f t="shared" si="518"/>
        <v>0</v>
      </c>
      <c r="FV525" s="34">
        <f t="shared" si="518"/>
        <v>0</v>
      </c>
      <c r="FW525" s="28"/>
      <c r="FX525" s="29">
        <f t="shared" si="3"/>
        <v>0</v>
      </c>
    </row>
    <row r="526" spans="1:180" ht="18" customHeight="1" x14ac:dyDescent="0.25">
      <c r="A526" s="3" t="str">
        <f>IF(C526&lt;&gt;"","DRG-"&amp;TEXT(521,"000"),"")</f>
        <v/>
      </c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38">
        <v>4</v>
      </c>
      <c r="M526" s="23" t="str">
        <f t="shared" si="0"/>
        <v>✘ Pending</v>
      </c>
      <c r="N526" s="23">
        <f t="shared" si="1"/>
        <v>0</v>
      </c>
      <c r="O526" s="25"/>
      <c r="P526" s="26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  <c r="AB526" s="25"/>
      <c r="AC526" s="26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5"/>
      <c r="AP526" s="26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5"/>
      <c r="BC526" s="26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5"/>
      <c r="BP526" s="26"/>
      <c r="BQ526" s="24"/>
      <c r="BR526" s="24"/>
      <c r="BS526" s="24"/>
      <c r="BT526" s="24"/>
      <c r="BU526" s="24"/>
      <c r="BV526" s="24"/>
      <c r="BW526" s="24"/>
      <c r="BX526" s="24"/>
      <c r="BY526" s="24"/>
      <c r="BZ526" s="24"/>
      <c r="CA526" s="24"/>
      <c r="CB526" s="25"/>
      <c r="CC526" s="26"/>
      <c r="CD526" s="24"/>
      <c r="CE526" s="24"/>
      <c r="CF526" s="24"/>
      <c r="CG526" s="24"/>
      <c r="CH526" s="24"/>
      <c r="CI526" s="24"/>
      <c r="CJ526" s="24"/>
      <c r="CK526" s="24"/>
      <c r="CL526" s="24"/>
      <c r="CM526" s="24"/>
      <c r="CN526" s="24"/>
      <c r="CO526" s="25"/>
      <c r="CP526" s="26"/>
      <c r="CQ526" s="24"/>
      <c r="CR526" s="24"/>
      <c r="CS526" s="24"/>
      <c r="CT526" s="24"/>
      <c r="CU526" s="24"/>
      <c r="CV526" s="24"/>
      <c r="CW526" s="24"/>
      <c r="CX526" s="24"/>
      <c r="CY526" s="24"/>
      <c r="CZ526" s="24"/>
      <c r="DA526" s="24"/>
      <c r="DB526" s="25"/>
      <c r="DC526" s="26"/>
      <c r="DD526" s="24"/>
      <c r="DE526" s="24"/>
      <c r="DF526" s="24"/>
      <c r="DG526" s="24"/>
      <c r="DH526" s="24"/>
      <c r="DI526" s="24"/>
      <c r="DJ526" s="24"/>
      <c r="DK526" s="24"/>
      <c r="DL526" s="24"/>
      <c r="DM526" s="24"/>
      <c r="DN526" s="24"/>
      <c r="DO526" s="25"/>
      <c r="DP526" s="26"/>
      <c r="DQ526" s="24"/>
      <c r="DR526" s="24"/>
      <c r="DS526" s="24"/>
      <c r="DT526" s="24"/>
      <c r="DU526" s="24"/>
      <c r="DV526" s="24"/>
      <c r="DW526" s="24"/>
      <c r="DX526" s="24"/>
      <c r="DY526" s="24"/>
      <c r="DZ526" s="24"/>
      <c r="EA526" s="24"/>
      <c r="EB526" s="25"/>
      <c r="EC526" s="26"/>
      <c r="ED526" s="24"/>
      <c r="EE526" s="24"/>
      <c r="EF526" s="24"/>
      <c r="EG526" s="24"/>
      <c r="EH526" s="24"/>
      <c r="EI526" s="24"/>
      <c r="EJ526" s="24"/>
      <c r="EK526" s="24"/>
      <c r="EL526" s="24"/>
      <c r="EM526" s="24"/>
      <c r="EN526" s="24"/>
      <c r="EO526" s="25"/>
      <c r="EP526" s="26"/>
      <c r="EQ526" s="24"/>
      <c r="ER526" s="24"/>
      <c r="ES526" s="24"/>
      <c r="ET526" s="24"/>
      <c r="EU526" s="24"/>
      <c r="EV526" s="24"/>
      <c r="EW526" s="24"/>
      <c r="EX526" s="24"/>
      <c r="EY526" s="24"/>
      <c r="EZ526" s="24"/>
      <c r="FA526" s="24"/>
      <c r="FB526" s="25"/>
      <c r="FC526" s="26"/>
      <c r="FD526" s="24"/>
      <c r="FE526" s="24"/>
      <c r="FF526" s="24"/>
      <c r="FG526" s="24"/>
      <c r="FH526" s="24"/>
      <c r="FI526" s="24"/>
      <c r="FJ526" s="24"/>
      <c r="FK526" s="24"/>
      <c r="FL526" s="24"/>
      <c r="FM526" s="24"/>
      <c r="FN526" s="24"/>
      <c r="FO526" s="27">
        <f t="shared" ref="FO526:FV526" si="519">IFERROR(R526*1,0)+IFERROR(AE526*1,0)+IFERROR(AR526*1,0)+IFERROR(BE526*1,0)+IFERROR(BR526*1,0)+IFERROR(CE526*1,0)+IFERROR(CR526*1,0)+IFERROR(DE526*1,0)+IFERROR(DR526*1,0)+IFERROR(EE526*1,0)+IFERROR(ER526*1,0)+IFERROR(FE526*1,0)</f>
        <v>0</v>
      </c>
      <c r="FP526" s="27">
        <f t="shared" si="519"/>
        <v>0</v>
      </c>
      <c r="FQ526" s="27">
        <f t="shared" si="519"/>
        <v>0</v>
      </c>
      <c r="FR526" s="27">
        <f t="shared" si="519"/>
        <v>0</v>
      </c>
      <c r="FS526" s="27">
        <f t="shared" si="519"/>
        <v>0</v>
      </c>
      <c r="FT526" s="27">
        <f t="shared" si="519"/>
        <v>0</v>
      </c>
      <c r="FU526" s="27">
        <f t="shared" si="519"/>
        <v>0</v>
      </c>
      <c r="FV526" s="27">
        <f t="shared" si="519"/>
        <v>0</v>
      </c>
      <c r="FW526" s="28"/>
      <c r="FX526" s="29">
        <f t="shared" si="3"/>
        <v>0</v>
      </c>
    </row>
    <row r="527" spans="1:180" ht="18" customHeight="1" x14ac:dyDescent="0.25">
      <c r="A527" s="3" t="str">
        <f>IF(C527&lt;&gt;"","DRG-"&amp;TEXT(522,"000"),"")</f>
        <v/>
      </c>
      <c r="B527" s="33"/>
      <c r="C527" s="33"/>
      <c r="D527" s="33"/>
      <c r="E527" s="33"/>
      <c r="F527" s="33"/>
      <c r="G527" s="33"/>
      <c r="H527" s="33"/>
      <c r="I527" s="33"/>
      <c r="J527" s="33"/>
      <c r="K527" s="33"/>
      <c r="L527" s="37">
        <v>4</v>
      </c>
      <c r="M527" s="30" t="str">
        <f t="shared" si="0"/>
        <v>✘ Pending</v>
      </c>
      <c r="N527" s="30">
        <f t="shared" si="1"/>
        <v>0</v>
      </c>
      <c r="O527" s="31"/>
      <c r="P527" s="32"/>
      <c r="Q527" s="33"/>
      <c r="R527" s="33"/>
      <c r="S527" s="33"/>
      <c r="T527" s="33"/>
      <c r="U527" s="33"/>
      <c r="V527" s="33"/>
      <c r="W527" s="33"/>
      <c r="X527" s="33"/>
      <c r="Y527" s="33"/>
      <c r="Z527" s="33"/>
      <c r="AA527" s="33"/>
      <c r="AB527" s="31"/>
      <c r="AC527" s="32"/>
      <c r="AD527" s="33"/>
      <c r="AE527" s="33"/>
      <c r="AF527" s="33"/>
      <c r="AG527" s="33"/>
      <c r="AH527" s="33"/>
      <c r="AI527" s="33"/>
      <c r="AJ527" s="33"/>
      <c r="AK527" s="33"/>
      <c r="AL527" s="33"/>
      <c r="AM527" s="33"/>
      <c r="AN527" s="33"/>
      <c r="AO527" s="31"/>
      <c r="AP527" s="32"/>
      <c r="AQ527" s="33"/>
      <c r="AR527" s="33"/>
      <c r="AS527" s="33"/>
      <c r="AT527" s="33"/>
      <c r="AU527" s="33"/>
      <c r="AV527" s="33"/>
      <c r="AW527" s="33"/>
      <c r="AX527" s="33"/>
      <c r="AY527" s="33"/>
      <c r="AZ527" s="33"/>
      <c r="BA527" s="33"/>
      <c r="BB527" s="31"/>
      <c r="BC527" s="32"/>
      <c r="BD527" s="33"/>
      <c r="BE527" s="33"/>
      <c r="BF527" s="33"/>
      <c r="BG527" s="33"/>
      <c r="BH527" s="33"/>
      <c r="BI527" s="33"/>
      <c r="BJ527" s="33"/>
      <c r="BK527" s="33"/>
      <c r="BL527" s="33"/>
      <c r="BM527" s="33"/>
      <c r="BN527" s="33"/>
      <c r="BO527" s="31"/>
      <c r="BP527" s="32"/>
      <c r="BQ527" s="33"/>
      <c r="BR527" s="33"/>
      <c r="BS527" s="33"/>
      <c r="BT527" s="33"/>
      <c r="BU527" s="33"/>
      <c r="BV527" s="33"/>
      <c r="BW527" s="33"/>
      <c r="BX527" s="33"/>
      <c r="BY527" s="33"/>
      <c r="BZ527" s="33"/>
      <c r="CA527" s="33"/>
      <c r="CB527" s="31"/>
      <c r="CC527" s="32"/>
      <c r="CD527" s="33"/>
      <c r="CE527" s="33"/>
      <c r="CF527" s="33"/>
      <c r="CG527" s="33"/>
      <c r="CH527" s="33"/>
      <c r="CI527" s="33"/>
      <c r="CJ527" s="33"/>
      <c r="CK527" s="33"/>
      <c r="CL527" s="33"/>
      <c r="CM527" s="33"/>
      <c r="CN527" s="33"/>
      <c r="CO527" s="31"/>
      <c r="CP527" s="32"/>
      <c r="CQ527" s="33"/>
      <c r="CR527" s="33"/>
      <c r="CS527" s="33"/>
      <c r="CT527" s="33"/>
      <c r="CU527" s="33"/>
      <c r="CV527" s="33"/>
      <c r="CW527" s="33"/>
      <c r="CX527" s="33"/>
      <c r="CY527" s="33"/>
      <c r="CZ527" s="33"/>
      <c r="DA527" s="33"/>
      <c r="DB527" s="31"/>
      <c r="DC527" s="32"/>
      <c r="DD527" s="33"/>
      <c r="DE527" s="33"/>
      <c r="DF527" s="33"/>
      <c r="DG527" s="33"/>
      <c r="DH527" s="33"/>
      <c r="DI527" s="33"/>
      <c r="DJ527" s="33"/>
      <c r="DK527" s="33"/>
      <c r="DL527" s="33"/>
      <c r="DM527" s="33"/>
      <c r="DN527" s="33"/>
      <c r="DO527" s="31"/>
      <c r="DP527" s="32"/>
      <c r="DQ527" s="33"/>
      <c r="DR527" s="33"/>
      <c r="DS527" s="33"/>
      <c r="DT527" s="33"/>
      <c r="DU527" s="33"/>
      <c r="DV527" s="33"/>
      <c r="DW527" s="33"/>
      <c r="DX527" s="33"/>
      <c r="DY527" s="33"/>
      <c r="DZ527" s="33"/>
      <c r="EA527" s="33"/>
      <c r="EB527" s="31"/>
      <c r="EC527" s="32"/>
      <c r="ED527" s="33"/>
      <c r="EE527" s="33"/>
      <c r="EF527" s="33"/>
      <c r="EG527" s="33"/>
      <c r="EH527" s="33"/>
      <c r="EI527" s="33"/>
      <c r="EJ527" s="33"/>
      <c r="EK527" s="33"/>
      <c r="EL527" s="33"/>
      <c r="EM527" s="33"/>
      <c r="EN527" s="33"/>
      <c r="EO527" s="31"/>
      <c r="EP527" s="32"/>
      <c r="EQ527" s="33"/>
      <c r="ER527" s="33"/>
      <c r="ES527" s="33"/>
      <c r="ET527" s="33"/>
      <c r="EU527" s="33"/>
      <c r="EV527" s="33"/>
      <c r="EW527" s="33"/>
      <c r="EX527" s="33"/>
      <c r="EY527" s="33"/>
      <c r="EZ527" s="33"/>
      <c r="FA527" s="33"/>
      <c r="FB527" s="31"/>
      <c r="FC527" s="32"/>
      <c r="FD527" s="33"/>
      <c r="FE527" s="33"/>
      <c r="FF527" s="33"/>
      <c r="FG527" s="33"/>
      <c r="FH527" s="33"/>
      <c r="FI527" s="33"/>
      <c r="FJ527" s="33"/>
      <c r="FK527" s="33"/>
      <c r="FL527" s="33"/>
      <c r="FM527" s="33"/>
      <c r="FN527" s="33"/>
      <c r="FO527" s="34">
        <f t="shared" ref="FO527:FV527" si="520">IFERROR(R527*1,0)+IFERROR(AE527*1,0)+IFERROR(AR527*1,0)+IFERROR(BE527*1,0)+IFERROR(BR527*1,0)+IFERROR(CE527*1,0)+IFERROR(CR527*1,0)+IFERROR(DE527*1,0)+IFERROR(DR527*1,0)+IFERROR(EE527*1,0)+IFERROR(ER527*1,0)+IFERROR(FE527*1,0)</f>
        <v>0</v>
      </c>
      <c r="FP527" s="34">
        <f t="shared" si="520"/>
        <v>0</v>
      </c>
      <c r="FQ527" s="34">
        <f t="shared" si="520"/>
        <v>0</v>
      </c>
      <c r="FR527" s="34">
        <f t="shared" si="520"/>
        <v>0</v>
      </c>
      <c r="FS527" s="34">
        <f t="shared" si="520"/>
        <v>0</v>
      </c>
      <c r="FT527" s="34">
        <f t="shared" si="520"/>
        <v>0</v>
      </c>
      <c r="FU527" s="34">
        <f t="shared" si="520"/>
        <v>0</v>
      </c>
      <c r="FV527" s="34">
        <f t="shared" si="520"/>
        <v>0</v>
      </c>
      <c r="FW527" s="28"/>
      <c r="FX527" s="29">
        <f t="shared" si="3"/>
        <v>0</v>
      </c>
    </row>
    <row r="528" spans="1:180" ht="18" customHeight="1" x14ac:dyDescent="0.25">
      <c r="A528" s="3" t="str">
        <f>IF(C528&lt;&gt;"","DRG-"&amp;TEXT(523,"000"),"")</f>
        <v/>
      </c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38">
        <v>4</v>
      </c>
      <c r="M528" s="23" t="str">
        <f t="shared" si="0"/>
        <v>✘ Pending</v>
      </c>
      <c r="N528" s="23">
        <f t="shared" si="1"/>
        <v>0</v>
      </c>
      <c r="O528" s="25"/>
      <c r="P528" s="26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  <c r="AB528" s="25"/>
      <c r="AC528" s="26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5"/>
      <c r="AP528" s="26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5"/>
      <c r="BC528" s="26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5"/>
      <c r="BP528" s="26"/>
      <c r="BQ528" s="24"/>
      <c r="BR528" s="24"/>
      <c r="BS528" s="24"/>
      <c r="BT528" s="24"/>
      <c r="BU528" s="24"/>
      <c r="BV528" s="24"/>
      <c r="BW528" s="24"/>
      <c r="BX528" s="24"/>
      <c r="BY528" s="24"/>
      <c r="BZ528" s="24"/>
      <c r="CA528" s="24"/>
      <c r="CB528" s="25"/>
      <c r="CC528" s="26"/>
      <c r="CD528" s="24"/>
      <c r="CE528" s="24"/>
      <c r="CF528" s="24"/>
      <c r="CG528" s="24"/>
      <c r="CH528" s="24"/>
      <c r="CI528" s="24"/>
      <c r="CJ528" s="24"/>
      <c r="CK528" s="24"/>
      <c r="CL528" s="24"/>
      <c r="CM528" s="24"/>
      <c r="CN528" s="24"/>
      <c r="CO528" s="25"/>
      <c r="CP528" s="26"/>
      <c r="CQ528" s="24"/>
      <c r="CR528" s="24"/>
      <c r="CS528" s="24"/>
      <c r="CT528" s="24"/>
      <c r="CU528" s="24"/>
      <c r="CV528" s="24"/>
      <c r="CW528" s="24"/>
      <c r="CX528" s="24"/>
      <c r="CY528" s="24"/>
      <c r="CZ528" s="24"/>
      <c r="DA528" s="24"/>
      <c r="DB528" s="25"/>
      <c r="DC528" s="26"/>
      <c r="DD528" s="24"/>
      <c r="DE528" s="24"/>
      <c r="DF528" s="24"/>
      <c r="DG528" s="24"/>
      <c r="DH528" s="24"/>
      <c r="DI528" s="24"/>
      <c r="DJ528" s="24"/>
      <c r="DK528" s="24"/>
      <c r="DL528" s="24"/>
      <c r="DM528" s="24"/>
      <c r="DN528" s="24"/>
      <c r="DO528" s="25"/>
      <c r="DP528" s="26"/>
      <c r="DQ528" s="24"/>
      <c r="DR528" s="24"/>
      <c r="DS528" s="24"/>
      <c r="DT528" s="24"/>
      <c r="DU528" s="24"/>
      <c r="DV528" s="24"/>
      <c r="DW528" s="24"/>
      <c r="DX528" s="24"/>
      <c r="DY528" s="24"/>
      <c r="DZ528" s="24"/>
      <c r="EA528" s="24"/>
      <c r="EB528" s="25"/>
      <c r="EC528" s="26"/>
      <c r="ED528" s="24"/>
      <c r="EE528" s="24"/>
      <c r="EF528" s="24"/>
      <c r="EG528" s="24"/>
      <c r="EH528" s="24"/>
      <c r="EI528" s="24"/>
      <c r="EJ528" s="24"/>
      <c r="EK528" s="24"/>
      <c r="EL528" s="24"/>
      <c r="EM528" s="24"/>
      <c r="EN528" s="24"/>
      <c r="EO528" s="25"/>
      <c r="EP528" s="26"/>
      <c r="EQ528" s="24"/>
      <c r="ER528" s="24"/>
      <c r="ES528" s="24"/>
      <c r="ET528" s="24"/>
      <c r="EU528" s="24"/>
      <c r="EV528" s="24"/>
      <c r="EW528" s="24"/>
      <c r="EX528" s="24"/>
      <c r="EY528" s="24"/>
      <c r="EZ528" s="24"/>
      <c r="FA528" s="24"/>
      <c r="FB528" s="25"/>
      <c r="FC528" s="26"/>
      <c r="FD528" s="24"/>
      <c r="FE528" s="24"/>
      <c r="FF528" s="24"/>
      <c r="FG528" s="24"/>
      <c r="FH528" s="24"/>
      <c r="FI528" s="24"/>
      <c r="FJ528" s="24"/>
      <c r="FK528" s="24"/>
      <c r="FL528" s="24"/>
      <c r="FM528" s="24"/>
      <c r="FN528" s="24"/>
      <c r="FO528" s="27">
        <f t="shared" ref="FO528:FV528" si="521">IFERROR(R528*1,0)+IFERROR(AE528*1,0)+IFERROR(AR528*1,0)+IFERROR(BE528*1,0)+IFERROR(BR528*1,0)+IFERROR(CE528*1,0)+IFERROR(CR528*1,0)+IFERROR(DE528*1,0)+IFERROR(DR528*1,0)+IFERROR(EE528*1,0)+IFERROR(ER528*1,0)+IFERROR(FE528*1,0)</f>
        <v>0</v>
      </c>
      <c r="FP528" s="27">
        <f t="shared" si="521"/>
        <v>0</v>
      </c>
      <c r="FQ528" s="27">
        <f t="shared" si="521"/>
        <v>0</v>
      </c>
      <c r="FR528" s="27">
        <f t="shared" si="521"/>
        <v>0</v>
      </c>
      <c r="FS528" s="27">
        <f t="shared" si="521"/>
        <v>0</v>
      </c>
      <c r="FT528" s="27">
        <f t="shared" si="521"/>
        <v>0</v>
      </c>
      <c r="FU528" s="27">
        <f t="shared" si="521"/>
        <v>0</v>
      </c>
      <c r="FV528" s="27">
        <f t="shared" si="521"/>
        <v>0</v>
      </c>
      <c r="FW528" s="28"/>
      <c r="FX528" s="29">
        <f t="shared" si="3"/>
        <v>0</v>
      </c>
    </row>
    <row r="529" spans="1:180" ht="18" customHeight="1" x14ac:dyDescent="0.25">
      <c r="A529" s="3" t="str">
        <f>IF(C529&lt;&gt;"","DRG-"&amp;TEXT(524,"000"),"")</f>
        <v/>
      </c>
      <c r="B529" s="33"/>
      <c r="C529" s="33"/>
      <c r="D529" s="33"/>
      <c r="E529" s="33"/>
      <c r="F529" s="33"/>
      <c r="G529" s="33"/>
      <c r="H529" s="33"/>
      <c r="I529" s="33"/>
      <c r="J529" s="33"/>
      <c r="K529" s="33"/>
      <c r="L529" s="37">
        <v>4</v>
      </c>
      <c r="M529" s="30" t="str">
        <f t="shared" si="0"/>
        <v>✘ Pending</v>
      </c>
      <c r="N529" s="30">
        <f t="shared" si="1"/>
        <v>0</v>
      </c>
      <c r="O529" s="31"/>
      <c r="P529" s="32"/>
      <c r="Q529" s="33"/>
      <c r="R529" s="33"/>
      <c r="S529" s="33"/>
      <c r="T529" s="33"/>
      <c r="U529" s="33"/>
      <c r="V529" s="33"/>
      <c r="W529" s="33"/>
      <c r="X529" s="33"/>
      <c r="Y529" s="33"/>
      <c r="Z529" s="33"/>
      <c r="AA529" s="33"/>
      <c r="AB529" s="31"/>
      <c r="AC529" s="32"/>
      <c r="AD529" s="33"/>
      <c r="AE529" s="33"/>
      <c r="AF529" s="33"/>
      <c r="AG529" s="33"/>
      <c r="AH529" s="33"/>
      <c r="AI529" s="33"/>
      <c r="AJ529" s="33"/>
      <c r="AK529" s="33"/>
      <c r="AL529" s="33"/>
      <c r="AM529" s="33"/>
      <c r="AN529" s="33"/>
      <c r="AO529" s="31"/>
      <c r="AP529" s="32"/>
      <c r="AQ529" s="33"/>
      <c r="AR529" s="33"/>
      <c r="AS529" s="33"/>
      <c r="AT529" s="33"/>
      <c r="AU529" s="33"/>
      <c r="AV529" s="33"/>
      <c r="AW529" s="33"/>
      <c r="AX529" s="33"/>
      <c r="AY529" s="33"/>
      <c r="AZ529" s="33"/>
      <c r="BA529" s="33"/>
      <c r="BB529" s="31"/>
      <c r="BC529" s="32"/>
      <c r="BD529" s="33"/>
      <c r="BE529" s="33"/>
      <c r="BF529" s="33"/>
      <c r="BG529" s="33"/>
      <c r="BH529" s="33"/>
      <c r="BI529" s="33"/>
      <c r="BJ529" s="33"/>
      <c r="BK529" s="33"/>
      <c r="BL529" s="33"/>
      <c r="BM529" s="33"/>
      <c r="BN529" s="33"/>
      <c r="BO529" s="31"/>
      <c r="BP529" s="32"/>
      <c r="BQ529" s="33"/>
      <c r="BR529" s="33"/>
      <c r="BS529" s="33"/>
      <c r="BT529" s="33"/>
      <c r="BU529" s="33"/>
      <c r="BV529" s="33"/>
      <c r="BW529" s="33"/>
      <c r="BX529" s="33"/>
      <c r="BY529" s="33"/>
      <c r="BZ529" s="33"/>
      <c r="CA529" s="33"/>
      <c r="CB529" s="31"/>
      <c r="CC529" s="32"/>
      <c r="CD529" s="33"/>
      <c r="CE529" s="33"/>
      <c r="CF529" s="33"/>
      <c r="CG529" s="33"/>
      <c r="CH529" s="33"/>
      <c r="CI529" s="33"/>
      <c r="CJ529" s="33"/>
      <c r="CK529" s="33"/>
      <c r="CL529" s="33"/>
      <c r="CM529" s="33"/>
      <c r="CN529" s="33"/>
      <c r="CO529" s="31"/>
      <c r="CP529" s="32"/>
      <c r="CQ529" s="33"/>
      <c r="CR529" s="33"/>
      <c r="CS529" s="33"/>
      <c r="CT529" s="33"/>
      <c r="CU529" s="33"/>
      <c r="CV529" s="33"/>
      <c r="CW529" s="33"/>
      <c r="CX529" s="33"/>
      <c r="CY529" s="33"/>
      <c r="CZ529" s="33"/>
      <c r="DA529" s="33"/>
      <c r="DB529" s="31"/>
      <c r="DC529" s="32"/>
      <c r="DD529" s="33"/>
      <c r="DE529" s="33"/>
      <c r="DF529" s="33"/>
      <c r="DG529" s="33"/>
      <c r="DH529" s="33"/>
      <c r="DI529" s="33"/>
      <c r="DJ529" s="33"/>
      <c r="DK529" s="33"/>
      <c r="DL529" s="33"/>
      <c r="DM529" s="33"/>
      <c r="DN529" s="33"/>
      <c r="DO529" s="31"/>
      <c r="DP529" s="32"/>
      <c r="DQ529" s="33"/>
      <c r="DR529" s="33"/>
      <c r="DS529" s="33"/>
      <c r="DT529" s="33"/>
      <c r="DU529" s="33"/>
      <c r="DV529" s="33"/>
      <c r="DW529" s="33"/>
      <c r="DX529" s="33"/>
      <c r="DY529" s="33"/>
      <c r="DZ529" s="33"/>
      <c r="EA529" s="33"/>
      <c r="EB529" s="31"/>
      <c r="EC529" s="32"/>
      <c r="ED529" s="33"/>
      <c r="EE529" s="33"/>
      <c r="EF529" s="33"/>
      <c r="EG529" s="33"/>
      <c r="EH529" s="33"/>
      <c r="EI529" s="33"/>
      <c r="EJ529" s="33"/>
      <c r="EK529" s="33"/>
      <c r="EL529" s="33"/>
      <c r="EM529" s="33"/>
      <c r="EN529" s="33"/>
      <c r="EO529" s="31"/>
      <c r="EP529" s="32"/>
      <c r="EQ529" s="33"/>
      <c r="ER529" s="33"/>
      <c r="ES529" s="33"/>
      <c r="ET529" s="33"/>
      <c r="EU529" s="33"/>
      <c r="EV529" s="33"/>
      <c r="EW529" s="33"/>
      <c r="EX529" s="33"/>
      <c r="EY529" s="33"/>
      <c r="EZ529" s="33"/>
      <c r="FA529" s="33"/>
      <c r="FB529" s="31"/>
      <c r="FC529" s="32"/>
      <c r="FD529" s="33"/>
      <c r="FE529" s="33"/>
      <c r="FF529" s="33"/>
      <c r="FG529" s="33"/>
      <c r="FH529" s="33"/>
      <c r="FI529" s="33"/>
      <c r="FJ529" s="33"/>
      <c r="FK529" s="33"/>
      <c r="FL529" s="33"/>
      <c r="FM529" s="33"/>
      <c r="FN529" s="33"/>
      <c r="FO529" s="34">
        <f t="shared" ref="FO529:FV529" si="522">IFERROR(R529*1,0)+IFERROR(AE529*1,0)+IFERROR(AR529*1,0)+IFERROR(BE529*1,0)+IFERROR(BR529*1,0)+IFERROR(CE529*1,0)+IFERROR(CR529*1,0)+IFERROR(DE529*1,0)+IFERROR(DR529*1,0)+IFERROR(EE529*1,0)+IFERROR(ER529*1,0)+IFERROR(FE529*1,0)</f>
        <v>0</v>
      </c>
      <c r="FP529" s="34">
        <f t="shared" si="522"/>
        <v>0</v>
      </c>
      <c r="FQ529" s="34">
        <f t="shared" si="522"/>
        <v>0</v>
      </c>
      <c r="FR529" s="34">
        <f t="shared" si="522"/>
        <v>0</v>
      </c>
      <c r="FS529" s="34">
        <f t="shared" si="522"/>
        <v>0</v>
      </c>
      <c r="FT529" s="34">
        <f t="shared" si="522"/>
        <v>0</v>
      </c>
      <c r="FU529" s="34">
        <f t="shared" si="522"/>
        <v>0</v>
      </c>
      <c r="FV529" s="34">
        <f t="shared" si="522"/>
        <v>0</v>
      </c>
      <c r="FW529" s="28"/>
      <c r="FX529" s="29">
        <f t="shared" si="3"/>
        <v>0</v>
      </c>
    </row>
    <row r="530" spans="1:180" ht="18" customHeight="1" x14ac:dyDescent="0.25">
      <c r="A530" s="3" t="str">
        <f>IF(C530&lt;&gt;"","DRG-"&amp;TEXT(525,"000"),"")</f>
        <v/>
      </c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38">
        <v>4</v>
      </c>
      <c r="M530" s="23" t="str">
        <f t="shared" si="0"/>
        <v>✘ Pending</v>
      </c>
      <c r="N530" s="23">
        <f t="shared" si="1"/>
        <v>0</v>
      </c>
      <c r="O530" s="25"/>
      <c r="P530" s="26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  <c r="AB530" s="25"/>
      <c r="AC530" s="26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5"/>
      <c r="AP530" s="26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5"/>
      <c r="BC530" s="26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5"/>
      <c r="BP530" s="26"/>
      <c r="BQ530" s="24"/>
      <c r="BR530" s="24"/>
      <c r="BS530" s="24"/>
      <c r="BT530" s="24"/>
      <c r="BU530" s="24"/>
      <c r="BV530" s="24"/>
      <c r="BW530" s="24"/>
      <c r="BX530" s="24"/>
      <c r="BY530" s="24"/>
      <c r="BZ530" s="24"/>
      <c r="CA530" s="24"/>
      <c r="CB530" s="25"/>
      <c r="CC530" s="26"/>
      <c r="CD530" s="24"/>
      <c r="CE530" s="24"/>
      <c r="CF530" s="24"/>
      <c r="CG530" s="24"/>
      <c r="CH530" s="24"/>
      <c r="CI530" s="24"/>
      <c r="CJ530" s="24"/>
      <c r="CK530" s="24"/>
      <c r="CL530" s="24"/>
      <c r="CM530" s="24"/>
      <c r="CN530" s="24"/>
      <c r="CO530" s="25"/>
      <c r="CP530" s="26"/>
      <c r="CQ530" s="24"/>
      <c r="CR530" s="24"/>
      <c r="CS530" s="24"/>
      <c r="CT530" s="24"/>
      <c r="CU530" s="24"/>
      <c r="CV530" s="24"/>
      <c r="CW530" s="24"/>
      <c r="CX530" s="24"/>
      <c r="CY530" s="24"/>
      <c r="CZ530" s="24"/>
      <c r="DA530" s="24"/>
      <c r="DB530" s="25"/>
      <c r="DC530" s="26"/>
      <c r="DD530" s="24"/>
      <c r="DE530" s="24"/>
      <c r="DF530" s="24"/>
      <c r="DG530" s="24"/>
      <c r="DH530" s="24"/>
      <c r="DI530" s="24"/>
      <c r="DJ530" s="24"/>
      <c r="DK530" s="24"/>
      <c r="DL530" s="24"/>
      <c r="DM530" s="24"/>
      <c r="DN530" s="24"/>
      <c r="DO530" s="25"/>
      <c r="DP530" s="26"/>
      <c r="DQ530" s="24"/>
      <c r="DR530" s="24"/>
      <c r="DS530" s="24"/>
      <c r="DT530" s="24"/>
      <c r="DU530" s="24"/>
      <c r="DV530" s="24"/>
      <c r="DW530" s="24"/>
      <c r="DX530" s="24"/>
      <c r="DY530" s="24"/>
      <c r="DZ530" s="24"/>
      <c r="EA530" s="24"/>
      <c r="EB530" s="25"/>
      <c r="EC530" s="26"/>
      <c r="ED530" s="24"/>
      <c r="EE530" s="24"/>
      <c r="EF530" s="24"/>
      <c r="EG530" s="24"/>
      <c r="EH530" s="24"/>
      <c r="EI530" s="24"/>
      <c r="EJ530" s="24"/>
      <c r="EK530" s="24"/>
      <c r="EL530" s="24"/>
      <c r="EM530" s="24"/>
      <c r="EN530" s="24"/>
      <c r="EO530" s="25"/>
      <c r="EP530" s="26"/>
      <c r="EQ530" s="24"/>
      <c r="ER530" s="24"/>
      <c r="ES530" s="24"/>
      <c r="ET530" s="24"/>
      <c r="EU530" s="24"/>
      <c r="EV530" s="24"/>
      <c r="EW530" s="24"/>
      <c r="EX530" s="24"/>
      <c r="EY530" s="24"/>
      <c r="EZ530" s="24"/>
      <c r="FA530" s="24"/>
      <c r="FB530" s="25"/>
      <c r="FC530" s="26"/>
      <c r="FD530" s="24"/>
      <c r="FE530" s="24"/>
      <c r="FF530" s="24"/>
      <c r="FG530" s="24"/>
      <c r="FH530" s="24"/>
      <c r="FI530" s="24"/>
      <c r="FJ530" s="24"/>
      <c r="FK530" s="24"/>
      <c r="FL530" s="24"/>
      <c r="FM530" s="24"/>
      <c r="FN530" s="24"/>
      <c r="FO530" s="27">
        <f t="shared" ref="FO530:FV530" si="523">IFERROR(R530*1,0)+IFERROR(AE530*1,0)+IFERROR(AR530*1,0)+IFERROR(BE530*1,0)+IFERROR(BR530*1,0)+IFERROR(CE530*1,0)+IFERROR(CR530*1,0)+IFERROR(DE530*1,0)+IFERROR(DR530*1,0)+IFERROR(EE530*1,0)+IFERROR(ER530*1,0)+IFERROR(FE530*1,0)</f>
        <v>0</v>
      </c>
      <c r="FP530" s="27">
        <f t="shared" si="523"/>
        <v>0</v>
      </c>
      <c r="FQ530" s="27">
        <f t="shared" si="523"/>
        <v>0</v>
      </c>
      <c r="FR530" s="27">
        <f t="shared" si="523"/>
        <v>0</v>
      </c>
      <c r="FS530" s="27">
        <f t="shared" si="523"/>
        <v>0</v>
      </c>
      <c r="FT530" s="27">
        <f t="shared" si="523"/>
        <v>0</v>
      </c>
      <c r="FU530" s="27">
        <f t="shared" si="523"/>
        <v>0</v>
      </c>
      <c r="FV530" s="27">
        <f t="shared" si="523"/>
        <v>0</v>
      </c>
      <c r="FW530" s="28"/>
      <c r="FX530" s="29">
        <f t="shared" si="3"/>
        <v>0</v>
      </c>
    </row>
    <row r="531" spans="1:180" ht="18" customHeight="1" x14ac:dyDescent="0.25">
      <c r="A531" s="3" t="str">
        <f>IF(C531&lt;&gt;"","DRG-"&amp;TEXT(526,"000"),"")</f>
        <v/>
      </c>
      <c r="B531" s="33"/>
      <c r="C531" s="33"/>
      <c r="D531" s="33"/>
      <c r="E531" s="33"/>
      <c r="F531" s="33"/>
      <c r="G531" s="33"/>
      <c r="H531" s="33"/>
      <c r="I531" s="33"/>
      <c r="J531" s="33"/>
      <c r="K531" s="33"/>
      <c r="L531" s="37">
        <v>4</v>
      </c>
      <c r="M531" s="30" t="str">
        <f t="shared" si="0"/>
        <v>✘ Pending</v>
      </c>
      <c r="N531" s="30">
        <f t="shared" si="1"/>
        <v>0</v>
      </c>
      <c r="O531" s="31"/>
      <c r="P531" s="32"/>
      <c r="Q531" s="33"/>
      <c r="R531" s="33"/>
      <c r="S531" s="33"/>
      <c r="T531" s="33"/>
      <c r="U531" s="33"/>
      <c r="V531" s="33"/>
      <c r="W531" s="33"/>
      <c r="X531" s="33"/>
      <c r="Y531" s="33"/>
      <c r="Z531" s="33"/>
      <c r="AA531" s="33"/>
      <c r="AB531" s="31"/>
      <c r="AC531" s="32"/>
      <c r="AD531" s="33"/>
      <c r="AE531" s="33"/>
      <c r="AF531" s="33"/>
      <c r="AG531" s="33"/>
      <c r="AH531" s="33"/>
      <c r="AI531" s="33"/>
      <c r="AJ531" s="33"/>
      <c r="AK531" s="33"/>
      <c r="AL531" s="33"/>
      <c r="AM531" s="33"/>
      <c r="AN531" s="33"/>
      <c r="AO531" s="31"/>
      <c r="AP531" s="32"/>
      <c r="AQ531" s="33"/>
      <c r="AR531" s="33"/>
      <c r="AS531" s="33"/>
      <c r="AT531" s="33"/>
      <c r="AU531" s="33"/>
      <c r="AV531" s="33"/>
      <c r="AW531" s="33"/>
      <c r="AX531" s="33"/>
      <c r="AY531" s="33"/>
      <c r="AZ531" s="33"/>
      <c r="BA531" s="33"/>
      <c r="BB531" s="31"/>
      <c r="BC531" s="32"/>
      <c r="BD531" s="33"/>
      <c r="BE531" s="33"/>
      <c r="BF531" s="33"/>
      <c r="BG531" s="33"/>
      <c r="BH531" s="33"/>
      <c r="BI531" s="33"/>
      <c r="BJ531" s="33"/>
      <c r="BK531" s="33"/>
      <c r="BL531" s="33"/>
      <c r="BM531" s="33"/>
      <c r="BN531" s="33"/>
      <c r="BO531" s="31"/>
      <c r="BP531" s="32"/>
      <c r="BQ531" s="33"/>
      <c r="BR531" s="33"/>
      <c r="BS531" s="33"/>
      <c r="BT531" s="33"/>
      <c r="BU531" s="33"/>
      <c r="BV531" s="33"/>
      <c r="BW531" s="33"/>
      <c r="BX531" s="33"/>
      <c r="BY531" s="33"/>
      <c r="BZ531" s="33"/>
      <c r="CA531" s="33"/>
      <c r="CB531" s="31"/>
      <c r="CC531" s="32"/>
      <c r="CD531" s="33"/>
      <c r="CE531" s="33"/>
      <c r="CF531" s="33"/>
      <c r="CG531" s="33"/>
      <c r="CH531" s="33"/>
      <c r="CI531" s="33"/>
      <c r="CJ531" s="33"/>
      <c r="CK531" s="33"/>
      <c r="CL531" s="33"/>
      <c r="CM531" s="33"/>
      <c r="CN531" s="33"/>
      <c r="CO531" s="31"/>
      <c r="CP531" s="32"/>
      <c r="CQ531" s="33"/>
      <c r="CR531" s="33"/>
      <c r="CS531" s="33"/>
      <c r="CT531" s="33"/>
      <c r="CU531" s="33"/>
      <c r="CV531" s="33"/>
      <c r="CW531" s="33"/>
      <c r="CX531" s="33"/>
      <c r="CY531" s="33"/>
      <c r="CZ531" s="33"/>
      <c r="DA531" s="33"/>
      <c r="DB531" s="31"/>
      <c r="DC531" s="32"/>
      <c r="DD531" s="33"/>
      <c r="DE531" s="33"/>
      <c r="DF531" s="33"/>
      <c r="DG531" s="33"/>
      <c r="DH531" s="33"/>
      <c r="DI531" s="33"/>
      <c r="DJ531" s="33"/>
      <c r="DK531" s="33"/>
      <c r="DL531" s="33"/>
      <c r="DM531" s="33"/>
      <c r="DN531" s="33"/>
      <c r="DO531" s="31"/>
      <c r="DP531" s="32"/>
      <c r="DQ531" s="33"/>
      <c r="DR531" s="33"/>
      <c r="DS531" s="33"/>
      <c r="DT531" s="33"/>
      <c r="DU531" s="33"/>
      <c r="DV531" s="33"/>
      <c r="DW531" s="33"/>
      <c r="DX531" s="33"/>
      <c r="DY531" s="33"/>
      <c r="DZ531" s="33"/>
      <c r="EA531" s="33"/>
      <c r="EB531" s="31"/>
      <c r="EC531" s="32"/>
      <c r="ED531" s="33"/>
      <c r="EE531" s="33"/>
      <c r="EF531" s="33"/>
      <c r="EG531" s="33"/>
      <c r="EH531" s="33"/>
      <c r="EI531" s="33"/>
      <c r="EJ531" s="33"/>
      <c r="EK531" s="33"/>
      <c r="EL531" s="33"/>
      <c r="EM531" s="33"/>
      <c r="EN531" s="33"/>
      <c r="EO531" s="31"/>
      <c r="EP531" s="32"/>
      <c r="EQ531" s="33"/>
      <c r="ER531" s="33"/>
      <c r="ES531" s="33"/>
      <c r="ET531" s="33"/>
      <c r="EU531" s="33"/>
      <c r="EV531" s="33"/>
      <c r="EW531" s="33"/>
      <c r="EX531" s="33"/>
      <c r="EY531" s="33"/>
      <c r="EZ531" s="33"/>
      <c r="FA531" s="33"/>
      <c r="FB531" s="31"/>
      <c r="FC531" s="32"/>
      <c r="FD531" s="33"/>
      <c r="FE531" s="33"/>
      <c r="FF531" s="33"/>
      <c r="FG531" s="33"/>
      <c r="FH531" s="33"/>
      <c r="FI531" s="33"/>
      <c r="FJ531" s="33"/>
      <c r="FK531" s="33"/>
      <c r="FL531" s="33"/>
      <c r="FM531" s="33"/>
      <c r="FN531" s="33"/>
      <c r="FO531" s="34">
        <f t="shared" ref="FO531:FV531" si="524">IFERROR(R531*1,0)+IFERROR(AE531*1,0)+IFERROR(AR531*1,0)+IFERROR(BE531*1,0)+IFERROR(BR531*1,0)+IFERROR(CE531*1,0)+IFERROR(CR531*1,0)+IFERROR(DE531*1,0)+IFERROR(DR531*1,0)+IFERROR(EE531*1,0)+IFERROR(ER531*1,0)+IFERROR(FE531*1,0)</f>
        <v>0</v>
      </c>
      <c r="FP531" s="34">
        <f t="shared" si="524"/>
        <v>0</v>
      </c>
      <c r="FQ531" s="34">
        <f t="shared" si="524"/>
        <v>0</v>
      </c>
      <c r="FR531" s="34">
        <f t="shared" si="524"/>
        <v>0</v>
      </c>
      <c r="FS531" s="34">
        <f t="shared" si="524"/>
        <v>0</v>
      </c>
      <c r="FT531" s="34">
        <f t="shared" si="524"/>
        <v>0</v>
      </c>
      <c r="FU531" s="34">
        <f t="shared" si="524"/>
        <v>0</v>
      </c>
      <c r="FV531" s="34">
        <f t="shared" si="524"/>
        <v>0</v>
      </c>
      <c r="FW531" s="28"/>
      <c r="FX531" s="29">
        <f t="shared" si="3"/>
        <v>0</v>
      </c>
    </row>
    <row r="532" spans="1:180" ht="18" customHeight="1" x14ac:dyDescent="0.25">
      <c r="A532" s="3" t="str">
        <f>IF(C532&lt;&gt;"","DRG-"&amp;TEXT(527,"000"),"")</f>
        <v/>
      </c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38">
        <v>4</v>
      </c>
      <c r="M532" s="23" t="str">
        <f t="shared" si="0"/>
        <v>✘ Pending</v>
      </c>
      <c r="N532" s="23">
        <f t="shared" si="1"/>
        <v>0</v>
      </c>
      <c r="O532" s="25"/>
      <c r="P532" s="26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  <c r="AB532" s="25"/>
      <c r="AC532" s="26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5"/>
      <c r="AP532" s="26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5"/>
      <c r="BC532" s="26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5"/>
      <c r="BP532" s="26"/>
      <c r="BQ532" s="24"/>
      <c r="BR532" s="24"/>
      <c r="BS532" s="24"/>
      <c r="BT532" s="24"/>
      <c r="BU532" s="24"/>
      <c r="BV532" s="24"/>
      <c r="BW532" s="24"/>
      <c r="BX532" s="24"/>
      <c r="BY532" s="24"/>
      <c r="BZ532" s="24"/>
      <c r="CA532" s="24"/>
      <c r="CB532" s="25"/>
      <c r="CC532" s="26"/>
      <c r="CD532" s="24"/>
      <c r="CE532" s="24"/>
      <c r="CF532" s="24"/>
      <c r="CG532" s="24"/>
      <c r="CH532" s="24"/>
      <c r="CI532" s="24"/>
      <c r="CJ532" s="24"/>
      <c r="CK532" s="24"/>
      <c r="CL532" s="24"/>
      <c r="CM532" s="24"/>
      <c r="CN532" s="24"/>
      <c r="CO532" s="25"/>
      <c r="CP532" s="26"/>
      <c r="CQ532" s="24"/>
      <c r="CR532" s="24"/>
      <c r="CS532" s="24"/>
      <c r="CT532" s="24"/>
      <c r="CU532" s="24"/>
      <c r="CV532" s="24"/>
      <c r="CW532" s="24"/>
      <c r="CX532" s="24"/>
      <c r="CY532" s="24"/>
      <c r="CZ532" s="24"/>
      <c r="DA532" s="24"/>
      <c r="DB532" s="25"/>
      <c r="DC532" s="26"/>
      <c r="DD532" s="24"/>
      <c r="DE532" s="24"/>
      <c r="DF532" s="24"/>
      <c r="DG532" s="24"/>
      <c r="DH532" s="24"/>
      <c r="DI532" s="24"/>
      <c r="DJ532" s="24"/>
      <c r="DK532" s="24"/>
      <c r="DL532" s="24"/>
      <c r="DM532" s="24"/>
      <c r="DN532" s="24"/>
      <c r="DO532" s="25"/>
      <c r="DP532" s="26"/>
      <c r="DQ532" s="24"/>
      <c r="DR532" s="24"/>
      <c r="DS532" s="24"/>
      <c r="DT532" s="24"/>
      <c r="DU532" s="24"/>
      <c r="DV532" s="24"/>
      <c r="DW532" s="24"/>
      <c r="DX532" s="24"/>
      <c r="DY532" s="24"/>
      <c r="DZ532" s="24"/>
      <c r="EA532" s="24"/>
      <c r="EB532" s="25"/>
      <c r="EC532" s="26"/>
      <c r="ED532" s="24"/>
      <c r="EE532" s="24"/>
      <c r="EF532" s="24"/>
      <c r="EG532" s="24"/>
      <c r="EH532" s="24"/>
      <c r="EI532" s="24"/>
      <c r="EJ532" s="24"/>
      <c r="EK532" s="24"/>
      <c r="EL532" s="24"/>
      <c r="EM532" s="24"/>
      <c r="EN532" s="24"/>
      <c r="EO532" s="25"/>
      <c r="EP532" s="26"/>
      <c r="EQ532" s="24"/>
      <c r="ER532" s="24"/>
      <c r="ES532" s="24"/>
      <c r="ET532" s="24"/>
      <c r="EU532" s="24"/>
      <c r="EV532" s="24"/>
      <c r="EW532" s="24"/>
      <c r="EX532" s="24"/>
      <c r="EY532" s="24"/>
      <c r="EZ532" s="24"/>
      <c r="FA532" s="24"/>
      <c r="FB532" s="25"/>
      <c r="FC532" s="26"/>
      <c r="FD532" s="24"/>
      <c r="FE532" s="24"/>
      <c r="FF532" s="24"/>
      <c r="FG532" s="24"/>
      <c r="FH532" s="24"/>
      <c r="FI532" s="24"/>
      <c r="FJ532" s="24"/>
      <c r="FK532" s="24"/>
      <c r="FL532" s="24"/>
      <c r="FM532" s="24"/>
      <c r="FN532" s="24"/>
      <c r="FO532" s="27">
        <f t="shared" ref="FO532:FV532" si="525">IFERROR(R532*1,0)+IFERROR(AE532*1,0)+IFERROR(AR532*1,0)+IFERROR(BE532*1,0)+IFERROR(BR532*1,0)+IFERROR(CE532*1,0)+IFERROR(CR532*1,0)+IFERROR(DE532*1,0)+IFERROR(DR532*1,0)+IFERROR(EE532*1,0)+IFERROR(ER532*1,0)+IFERROR(FE532*1,0)</f>
        <v>0</v>
      </c>
      <c r="FP532" s="27">
        <f t="shared" si="525"/>
        <v>0</v>
      </c>
      <c r="FQ532" s="27">
        <f t="shared" si="525"/>
        <v>0</v>
      </c>
      <c r="FR532" s="27">
        <f t="shared" si="525"/>
        <v>0</v>
      </c>
      <c r="FS532" s="27">
        <f t="shared" si="525"/>
        <v>0</v>
      </c>
      <c r="FT532" s="27">
        <f t="shared" si="525"/>
        <v>0</v>
      </c>
      <c r="FU532" s="27">
        <f t="shared" si="525"/>
        <v>0</v>
      </c>
      <c r="FV532" s="27">
        <f t="shared" si="525"/>
        <v>0</v>
      </c>
      <c r="FW532" s="28"/>
      <c r="FX532" s="29">
        <f t="shared" si="3"/>
        <v>0</v>
      </c>
    </row>
    <row r="533" spans="1:180" ht="18" customHeight="1" x14ac:dyDescent="0.25">
      <c r="A533" s="3" t="str">
        <f>IF(C533&lt;&gt;"","DRG-"&amp;TEXT(528,"000"),"")</f>
        <v/>
      </c>
      <c r="B533" s="33"/>
      <c r="C533" s="33"/>
      <c r="D533" s="33"/>
      <c r="E533" s="33"/>
      <c r="F533" s="33"/>
      <c r="G533" s="33"/>
      <c r="H533" s="33"/>
      <c r="I533" s="33"/>
      <c r="J533" s="33"/>
      <c r="K533" s="33"/>
      <c r="L533" s="37">
        <v>4</v>
      </c>
      <c r="M533" s="30" t="str">
        <f t="shared" si="0"/>
        <v>✘ Pending</v>
      </c>
      <c r="N533" s="30">
        <f t="shared" si="1"/>
        <v>0</v>
      </c>
      <c r="O533" s="31"/>
      <c r="P533" s="32"/>
      <c r="Q533" s="33"/>
      <c r="R533" s="33"/>
      <c r="S533" s="33"/>
      <c r="T533" s="33"/>
      <c r="U533" s="33"/>
      <c r="V533" s="33"/>
      <c r="W533" s="33"/>
      <c r="X533" s="33"/>
      <c r="Y533" s="33"/>
      <c r="Z533" s="33"/>
      <c r="AA533" s="33"/>
      <c r="AB533" s="31"/>
      <c r="AC533" s="32"/>
      <c r="AD533" s="33"/>
      <c r="AE533" s="33"/>
      <c r="AF533" s="33"/>
      <c r="AG533" s="33"/>
      <c r="AH533" s="33"/>
      <c r="AI533" s="33"/>
      <c r="AJ533" s="33"/>
      <c r="AK533" s="33"/>
      <c r="AL533" s="33"/>
      <c r="AM533" s="33"/>
      <c r="AN533" s="33"/>
      <c r="AO533" s="31"/>
      <c r="AP533" s="32"/>
      <c r="AQ533" s="33"/>
      <c r="AR533" s="33"/>
      <c r="AS533" s="33"/>
      <c r="AT533" s="33"/>
      <c r="AU533" s="33"/>
      <c r="AV533" s="33"/>
      <c r="AW533" s="33"/>
      <c r="AX533" s="33"/>
      <c r="AY533" s="33"/>
      <c r="AZ533" s="33"/>
      <c r="BA533" s="33"/>
      <c r="BB533" s="31"/>
      <c r="BC533" s="32"/>
      <c r="BD533" s="33"/>
      <c r="BE533" s="33"/>
      <c r="BF533" s="33"/>
      <c r="BG533" s="33"/>
      <c r="BH533" s="33"/>
      <c r="BI533" s="33"/>
      <c r="BJ533" s="33"/>
      <c r="BK533" s="33"/>
      <c r="BL533" s="33"/>
      <c r="BM533" s="33"/>
      <c r="BN533" s="33"/>
      <c r="BO533" s="31"/>
      <c r="BP533" s="32"/>
      <c r="BQ533" s="33"/>
      <c r="BR533" s="33"/>
      <c r="BS533" s="33"/>
      <c r="BT533" s="33"/>
      <c r="BU533" s="33"/>
      <c r="BV533" s="33"/>
      <c r="BW533" s="33"/>
      <c r="BX533" s="33"/>
      <c r="BY533" s="33"/>
      <c r="BZ533" s="33"/>
      <c r="CA533" s="33"/>
      <c r="CB533" s="31"/>
      <c r="CC533" s="32"/>
      <c r="CD533" s="33"/>
      <c r="CE533" s="33"/>
      <c r="CF533" s="33"/>
      <c r="CG533" s="33"/>
      <c r="CH533" s="33"/>
      <c r="CI533" s="33"/>
      <c r="CJ533" s="33"/>
      <c r="CK533" s="33"/>
      <c r="CL533" s="33"/>
      <c r="CM533" s="33"/>
      <c r="CN533" s="33"/>
      <c r="CO533" s="31"/>
      <c r="CP533" s="32"/>
      <c r="CQ533" s="33"/>
      <c r="CR533" s="33"/>
      <c r="CS533" s="33"/>
      <c r="CT533" s="33"/>
      <c r="CU533" s="33"/>
      <c r="CV533" s="33"/>
      <c r="CW533" s="33"/>
      <c r="CX533" s="33"/>
      <c r="CY533" s="33"/>
      <c r="CZ533" s="33"/>
      <c r="DA533" s="33"/>
      <c r="DB533" s="31"/>
      <c r="DC533" s="32"/>
      <c r="DD533" s="33"/>
      <c r="DE533" s="33"/>
      <c r="DF533" s="33"/>
      <c r="DG533" s="33"/>
      <c r="DH533" s="33"/>
      <c r="DI533" s="33"/>
      <c r="DJ533" s="33"/>
      <c r="DK533" s="33"/>
      <c r="DL533" s="33"/>
      <c r="DM533" s="33"/>
      <c r="DN533" s="33"/>
      <c r="DO533" s="31"/>
      <c r="DP533" s="32"/>
      <c r="DQ533" s="33"/>
      <c r="DR533" s="33"/>
      <c r="DS533" s="33"/>
      <c r="DT533" s="33"/>
      <c r="DU533" s="33"/>
      <c r="DV533" s="33"/>
      <c r="DW533" s="33"/>
      <c r="DX533" s="33"/>
      <c r="DY533" s="33"/>
      <c r="DZ533" s="33"/>
      <c r="EA533" s="33"/>
      <c r="EB533" s="31"/>
      <c r="EC533" s="32"/>
      <c r="ED533" s="33"/>
      <c r="EE533" s="33"/>
      <c r="EF533" s="33"/>
      <c r="EG533" s="33"/>
      <c r="EH533" s="33"/>
      <c r="EI533" s="33"/>
      <c r="EJ533" s="33"/>
      <c r="EK533" s="33"/>
      <c r="EL533" s="33"/>
      <c r="EM533" s="33"/>
      <c r="EN533" s="33"/>
      <c r="EO533" s="31"/>
      <c r="EP533" s="32"/>
      <c r="EQ533" s="33"/>
      <c r="ER533" s="33"/>
      <c r="ES533" s="33"/>
      <c r="ET533" s="33"/>
      <c r="EU533" s="33"/>
      <c r="EV533" s="33"/>
      <c r="EW533" s="33"/>
      <c r="EX533" s="33"/>
      <c r="EY533" s="33"/>
      <c r="EZ533" s="33"/>
      <c r="FA533" s="33"/>
      <c r="FB533" s="31"/>
      <c r="FC533" s="32"/>
      <c r="FD533" s="33"/>
      <c r="FE533" s="33"/>
      <c r="FF533" s="33"/>
      <c r="FG533" s="33"/>
      <c r="FH533" s="33"/>
      <c r="FI533" s="33"/>
      <c r="FJ533" s="33"/>
      <c r="FK533" s="33"/>
      <c r="FL533" s="33"/>
      <c r="FM533" s="33"/>
      <c r="FN533" s="33"/>
      <c r="FO533" s="34">
        <f t="shared" ref="FO533:FV533" si="526">IFERROR(R533*1,0)+IFERROR(AE533*1,0)+IFERROR(AR533*1,0)+IFERROR(BE533*1,0)+IFERROR(BR533*1,0)+IFERROR(CE533*1,0)+IFERROR(CR533*1,0)+IFERROR(DE533*1,0)+IFERROR(DR533*1,0)+IFERROR(EE533*1,0)+IFERROR(ER533*1,0)+IFERROR(FE533*1,0)</f>
        <v>0</v>
      </c>
      <c r="FP533" s="34">
        <f t="shared" si="526"/>
        <v>0</v>
      </c>
      <c r="FQ533" s="34">
        <f t="shared" si="526"/>
        <v>0</v>
      </c>
      <c r="FR533" s="34">
        <f t="shared" si="526"/>
        <v>0</v>
      </c>
      <c r="FS533" s="34">
        <f t="shared" si="526"/>
        <v>0</v>
      </c>
      <c r="FT533" s="34">
        <f t="shared" si="526"/>
        <v>0</v>
      </c>
      <c r="FU533" s="34">
        <f t="shared" si="526"/>
        <v>0</v>
      </c>
      <c r="FV533" s="34">
        <f t="shared" si="526"/>
        <v>0</v>
      </c>
      <c r="FW533" s="28"/>
      <c r="FX533" s="29">
        <f t="shared" si="3"/>
        <v>0</v>
      </c>
    </row>
    <row r="534" spans="1:180" ht="18" customHeight="1" x14ac:dyDescent="0.25">
      <c r="A534" s="3" t="str">
        <f>IF(C534&lt;&gt;"","DRG-"&amp;TEXT(529,"000"),"")</f>
        <v/>
      </c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38">
        <v>4</v>
      </c>
      <c r="M534" s="23" t="str">
        <f t="shared" si="0"/>
        <v>✘ Pending</v>
      </c>
      <c r="N534" s="23">
        <f t="shared" si="1"/>
        <v>0</v>
      </c>
      <c r="O534" s="25"/>
      <c r="P534" s="26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  <c r="AB534" s="25"/>
      <c r="AC534" s="26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5"/>
      <c r="AP534" s="26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5"/>
      <c r="BC534" s="26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5"/>
      <c r="BP534" s="26"/>
      <c r="BQ534" s="24"/>
      <c r="BR534" s="24"/>
      <c r="BS534" s="24"/>
      <c r="BT534" s="24"/>
      <c r="BU534" s="24"/>
      <c r="BV534" s="24"/>
      <c r="BW534" s="24"/>
      <c r="BX534" s="24"/>
      <c r="BY534" s="24"/>
      <c r="BZ534" s="24"/>
      <c r="CA534" s="24"/>
      <c r="CB534" s="25"/>
      <c r="CC534" s="26"/>
      <c r="CD534" s="24"/>
      <c r="CE534" s="24"/>
      <c r="CF534" s="24"/>
      <c r="CG534" s="24"/>
      <c r="CH534" s="24"/>
      <c r="CI534" s="24"/>
      <c r="CJ534" s="24"/>
      <c r="CK534" s="24"/>
      <c r="CL534" s="24"/>
      <c r="CM534" s="24"/>
      <c r="CN534" s="24"/>
      <c r="CO534" s="25"/>
      <c r="CP534" s="26"/>
      <c r="CQ534" s="24"/>
      <c r="CR534" s="24"/>
      <c r="CS534" s="24"/>
      <c r="CT534" s="24"/>
      <c r="CU534" s="24"/>
      <c r="CV534" s="24"/>
      <c r="CW534" s="24"/>
      <c r="CX534" s="24"/>
      <c r="CY534" s="24"/>
      <c r="CZ534" s="24"/>
      <c r="DA534" s="24"/>
      <c r="DB534" s="25"/>
      <c r="DC534" s="26"/>
      <c r="DD534" s="24"/>
      <c r="DE534" s="24"/>
      <c r="DF534" s="24"/>
      <c r="DG534" s="24"/>
      <c r="DH534" s="24"/>
      <c r="DI534" s="24"/>
      <c r="DJ534" s="24"/>
      <c r="DK534" s="24"/>
      <c r="DL534" s="24"/>
      <c r="DM534" s="24"/>
      <c r="DN534" s="24"/>
      <c r="DO534" s="25"/>
      <c r="DP534" s="26"/>
      <c r="DQ534" s="24"/>
      <c r="DR534" s="24"/>
      <c r="DS534" s="24"/>
      <c r="DT534" s="24"/>
      <c r="DU534" s="24"/>
      <c r="DV534" s="24"/>
      <c r="DW534" s="24"/>
      <c r="DX534" s="24"/>
      <c r="DY534" s="24"/>
      <c r="DZ534" s="24"/>
      <c r="EA534" s="24"/>
      <c r="EB534" s="25"/>
      <c r="EC534" s="26"/>
      <c r="ED534" s="24"/>
      <c r="EE534" s="24"/>
      <c r="EF534" s="24"/>
      <c r="EG534" s="24"/>
      <c r="EH534" s="24"/>
      <c r="EI534" s="24"/>
      <c r="EJ534" s="24"/>
      <c r="EK534" s="24"/>
      <c r="EL534" s="24"/>
      <c r="EM534" s="24"/>
      <c r="EN534" s="24"/>
      <c r="EO534" s="25"/>
      <c r="EP534" s="26"/>
      <c r="EQ534" s="24"/>
      <c r="ER534" s="24"/>
      <c r="ES534" s="24"/>
      <c r="ET534" s="24"/>
      <c r="EU534" s="24"/>
      <c r="EV534" s="24"/>
      <c r="EW534" s="24"/>
      <c r="EX534" s="24"/>
      <c r="EY534" s="24"/>
      <c r="EZ534" s="24"/>
      <c r="FA534" s="24"/>
      <c r="FB534" s="25"/>
      <c r="FC534" s="26"/>
      <c r="FD534" s="24"/>
      <c r="FE534" s="24"/>
      <c r="FF534" s="24"/>
      <c r="FG534" s="24"/>
      <c r="FH534" s="24"/>
      <c r="FI534" s="24"/>
      <c r="FJ534" s="24"/>
      <c r="FK534" s="24"/>
      <c r="FL534" s="24"/>
      <c r="FM534" s="24"/>
      <c r="FN534" s="24"/>
      <c r="FO534" s="27">
        <f t="shared" ref="FO534:FV534" si="527">IFERROR(R534*1,0)+IFERROR(AE534*1,0)+IFERROR(AR534*1,0)+IFERROR(BE534*1,0)+IFERROR(BR534*1,0)+IFERROR(CE534*1,0)+IFERROR(CR534*1,0)+IFERROR(DE534*1,0)+IFERROR(DR534*1,0)+IFERROR(EE534*1,0)+IFERROR(ER534*1,0)+IFERROR(FE534*1,0)</f>
        <v>0</v>
      </c>
      <c r="FP534" s="27">
        <f t="shared" si="527"/>
        <v>0</v>
      </c>
      <c r="FQ534" s="27">
        <f t="shared" si="527"/>
        <v>0</v>
      </c>
      <c r="FR534" s="27">
        <f t="shared" si="527"/>
        <v>0</v>
      </c>
      <c r="FS534" s="27">
        <f t="shared" si="527"/>
        <v>0</v>
      </c>
      <c r="FT534" s="27">
        <f t="shared" si="527"/>
        <v>0</v>
      </c>
      <c r="FU534" s="27">
        <f t="shared" si="527"/>
        <v>0</v>
      </c>
      <c r="FV534" s="27">
        <f t="shared" si="527"/>
        <v>0</v>
      </c>
      <c r="FW534" s="28"/>
      <c r="FX534" s="29">
        <f t="shared" si="3"/>
        <v>0</v>
      </c>
    </row>
    <row r="535" spans="1:180" ht="18" customHeight="1" x14ac:dyDescent="0.25">
      <c r="A535" s="3" t="str">
        <f>IF(C535&lt;&gt;"","DRG-"&amp;TEXT(530,"000"),"")</f>
        <v/>
      </c>
      <c r="B535" s="33"/>
      <c r="C535" s="33"/>
      <c r="D535" s="33"/>
      <c r="E535" s="33"/>
      <c r="F535" s="33"/>
      <c r="G535" s="33"/>
      <c r="H535" s="33"/>
      <c r="I535" s="33"/>
      <c r="J535" s="33"/>
      <c r="K535" s="33"/>
      <c r="L535" s="37">
        <v>4</v>
      </c>
      <c r="M535" s="30" t="str">
        <f t="shared" si="0"/>
        <v>✘ Pending</v>
      </c>
      <c r="N535" s="30">
        <f t="shared" si="1"/>
        <v>0</v>
      </c>
      <c r="O535" s="31"/>
      <c r="P535" s="32"/>
      <c r="Q535" s="33"/>
      <c r="R535" s="33"/>
      <c r="S535" s="33"/>
      <c r="T535" s="33"/>
      <c r="U535" s="33"/>
      <c r="V535" s="33"/>
      <c r="W535" s="33"/>
      <c r="X535" s="33"/>
      <c r="Y535" s="33"/>
      <c r="Z535" s="33"/>
      <c r="AA535" s="33"/>
      <c r="AB535" s="31"/>
      <c r="AC535" s="32"/>
      <c r="AD535" s="33"/>
      <c r="AE535" s="33"/>
      <c r="AF535" s="33"/>
      <c r="AG535" s="33"/>
      <c r="AH535" s="33"/>
      <c r="AI535" s="33"/>
      <c r="AJ535" s="33"/>
      <c r="AK535" s="33"/>
      <c r="AL535" s="33"/>
      <c r="AM535" s="33"/>
      <c r="AN535" s="33"/>
      <c r="AO535" s="31"/>
      <c r="AP535" s="32"/>
      <c r="AQ535" s="33"/>
      <c r="AR535" s="33"/>
      <c r="AS535" s="33"/>
      <c r="AT535" s="33"/>
      <c r="AU535" s="33"/>
      <c r="AV535" s="33"/>
      <c r="AW535" s="33"/>
      <c r="AX535" s="33"/>
      <c r="AY535" s="33"/>
      <c r="AZ535" s="33"/>
      <c r="BA535" s="33"/>
      <c r="BB535" s="31"/>
      <c r="BC535" s="32"/>
      <c r="BD535" s="33"/>
      <c r="BE535" s="33"/>
      <c r="BF535" s="33"/>
      <c r="BG535" s="33"/>
      <c r="BH535" s="33"/>
      <c r="BI535" s="33"/>
      <c r="BJ535" s="33"/>
      <c r="BK535" s="33"/>
      <c r="BL535" s="33"/>
      <c r="BM535" s="33"/>
      <c r="BN535" s="33"/>
      <c r="BO535" s="31"/>
      <c r="BP535" s="32"/>
      <c r="BQ535" s="33"/>
      <c r="BR535" s="33"/>
      <c r="BS535" s="33"/>
      <c r="BT535" s="33"/>
      <c r="BU535" s="33"/>
      <c r="BV535" s="33"/>
      <c r="BW535" s="33"/>
      <c r="BX535" s="33"/>
      <c r="BY535" s="33"/>
      <c r="BZ535" s="33"/>
      <c r="CA535" s="33"/>
      <c r="CB535" s="31"/>
      <c r="CC535" s="32"/>
      <c r="CD535" s="33"/>
      <c r="CE535" s="33"/>
      <c r="CF535" s="33"/>
      <c r="CG535" s="33"/>
      <c r="CH535" s="33"/>
      <c r="CI535" s="33"/>
      <c r="CJ535" s="33"/>
      <c r="CK535" s="33"/>
      <c r="CL535" s="33"/>
      <c r="CM535" s="33"/>
      <c r="CN535" s="33"/>
      <c r="CO535" s="31"/>
      <c r="CP535" s="32"/>
      <c r="CQ535" s="33"/>
      <c r="CR535" s="33"/>
      <c r="CS535" s="33"/>
      <c r="CT535" s="33"/>
      <c r="CU535" s="33"/>
      <c r="CV535" s="33"/>
      <c r="CW535" s="33"/>
      <c r="CX535" s="33"/>
      <c r="CY535" s="33"/>
      <c r="CZ535" s="33"/>
      <c r="DA535" s="33"/>
      <c r="DB535" s="31"/>
      <c r="DC535" s="32"/>
      <c r="DD535" s="33"/>
      <c r="DE535" s="33"/>
      <c r="DF535" s="33"/>
      <c r="DG535" s="33"/>
      <c r="DH535" s="33"/>
      <c r="DI535" s="33"/>
      <c r="DJ535" s="33"/>
      <c r="DK535" s="33"/>
      <c r="DL535" s="33"/>
      <c r="DM535" s="33"/>
      <c r="DN535" s="33"/>
      <c r="DO535" s="31"/>
      <c r="DP535" s="32"/>
      <c r="DQ535" s="33"/>
      <c r="DR535" s="33"/>
      <c r="DS535" s="33"/>
      <c r="DT535" s="33"/>
      <c r="DU535" s="33"/>
      <c r="DV535" s="33"/>
      <c r="DW535" s="33"/>
      <c r="DX535" s="33"/>
      <c r="DY535" s="33"/>
      <c r="DZ535" s="33"/>
      <c r="EA535" s="33"/>
      <c r="EB535" s="31"/>
      <c r="EC535" s="32"/>
      <c r="ED535" s="33"/>
      <c r="EE535" s="33"/>
      <c r="EF535" s="33"/>
      <c r="EG535" s="33"/>
      <c r="EH535" s="33"/>
      <c r="EI535" s="33"/>
      <c r="EJ535" s="33"/>
      <c r="EK535" s="33"/>
      <c r="EL535" s="33"/>
      <c r="EM535" s="33"/>
      <c r="EN535" s="33"/>
      <c r="EO535" s="31"/>
      <c r="EP535" s="32"/>
      <c r="EQ535" s="33"/>
      <c r="ER535" s="33"/>
      <c r="ES535" s="33"/>
      <c r="ET535" s="33"/>
      <c r="EU535" s="33"/>
      <c r="EV535" s="33"/>
      <c r="EW535" s="33"/>
      <c r="EX535" s="33"/>
      <c r="EY535" s="33"/>
      <c r="EZ535" s="33"/>
      <c r="FA535" s="33"/>
      <c r="FB535" s="31"/>
      <c r="FC535" s="32"/>
      <c r="FD535" s="33"/>
      <c r="FE535" s="33"/>
      <c r="FF535" s="33"/>
      <c r="FG535" s="33"/>
      <c r="FH535" s="33"/>
      <c r="FI535" s="33"/>
      <c r="FJ535" s="33"/>
      <c r="FK535" s="33"/>
      <c r="FL535" s="33"/>
      <c r="FM535" s="33"/>
      <c r="FN535" s="33"/>
      <c r="FO535" s="34">
        <f t="shared" ref="FO535:FV535" si="528">IFERROR(R535*1,0)+IFERROR(AE535*1,0)+IFERROR(AR535*1,0)+IFERROR(BE535*1,0)+IFERROR(BR535*1,0)+IFERROR(CE535*1,0)+IFERROR(CR535*1,0)+IFERROR(DE535*1,0)+IFERROR(DR535*1,0)+IFERROR(EE535*1,0)+IFERROR(ER535*1,0)+IFERROR(FE535*1,0)</f>
        <v>0</v>
      </c>
      <c r="FP535" s="34">
        <f t="shared" si="528"/>
        <v>0</v>
      </c>
      <c r="FQ535" s="34">
        <f t="shared" si="528"/>
        <v>0</v>
      </c>
      <c r="FR535" s="34">
        <f t="shared" si="528"/>
        <v>0</v>
      </c>
      <c r="FS535" s="34">
        <f t="shared" si="528"/>
        <v>0</v>
      </c>
      <c r="FT535" s="34">
        <f t="shared" si="528"/>
        <v>0</v>
      </c>
      <c r="FU535" s="34">
        <f t="shared" si="528"/>
        <v>0</v>
      </c>
      <c r="FV535" s="34">
        <f t="shared" si="528"/>
        <v>0</v>
      </c>
      <c r="FW535" s="28"/>
      <c r="FX535" s="29">
        <f t="shared" si="3"/>
        <v>0</v>
      </c>
    </row>
    <row r="536" spans="1:180" ht="18" customHeight="1" x14ac:dyDescent="0.25">
      <c r="A536" s="3" t="str">
        <f>IF(C536&lt;&gt;"","DRG-"&amp;TEXT(531,"000"),"")</f>
        <v/>
      </c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38">
        <v>4</v>
      </c>
      <c r="M536" s="23" t="str">
        <f t="shared" si="0"/>
        <v>✘ Pending</v>
      </c>
      <c r="N536" s="23">
        <f t="shared" si="1"/>
        <v>0</v>
      </c>
      <c r="O536" s="25"/>
      <c r="P536" s="26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  <c r="AB536" s="25"/>
      <c r="AC536" s="26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5"/>
      <c r="AP536" s="26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5"/>
      <c r="BC536" s="26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5"/>
      <c r="BP536" s="26"/>
      <c r="BQ536" s="24"/>
      <c r="BR536" s="24"/>
      <c r="BS536" s="24"/>
      <c r="BT536" s="24"/>
      <c r="BU536" s="24"/>
      <c r="BV536" s="24"/>
      <c r="BW536" s="24"/>
      <c r="BX536" s="24"/>
      <c r="BY536" s="24"/>
      <c r="BZ536" s="24"/>
      <c r="CA536" s="24"/>
      <c r="CB536" s="25"/>
      <c r="CC536" s="26"/>
      <c r="CD536" s="24"/>
      <c r="CE536" s="24"/>
      <c r="CF536" s="24"/>
      <c r="CG536" s="24"/>
      <c r="CH536" s="24"/>
      <c r="CI536" s="24"/>
      <c r="CJ536" s="24"/>
      <c r="CK536" s="24"/>
      <c r="CL536" s="24"/>
      <c r="CM536" s="24"/>
      <c r="CN536" s="24"/>
      <c r="CO536" s="25"/>
      <c r="CP536" s="26"/>
      <c r="CQ536" s="24"/>
      <c r="CR536" s="24"/>
      <c r="CS536" s="24"/>
      <c r="CT536" s="24"/>
      <c r="CU536" s="24"/>
      <c r="CV536" s="24"/>
      <c r="CW536" s="24"/>
      <c r="CX536" s="24"/>
      <c r="CY536" s="24"/>
      <c r="CZ536" s="24"/>
      <c r="DA536" s="24"/>
      <c r="DB536" s="25"/>
      <c r="DC536" s="26"/>
      <c r="DD536" s="24"/>
      <c r="DE536" s="24"/>
      <c r="DF536" s="24"/>
      <c r="DG536" s="24"/>
      <c r="DH536" s="24"/>
      <c r="DI536" s="24"/>
      <c r="DJ536" s="24"/>
      <c r="DK536" s="24"/>
      <c r="DL536" s="24"/>
      <c r="DM536" s="24"/>
      <c r="DN536" s="24"/>
      <c r="DO536" s="25"/>
      <c r="DP536" s="26"/>
      <c r="DQ536" s="24"/>
      <c r="DR536" s="24"/>
      <c r="DS536" s="24"/>
      <c r="DT536" s="24"/>
      <c r="DU536" s="24"/>
      <c r="DV536" s="24"/>
      <c r="DW536" s="24"/>
      <c r="DX536" s="24"/>
      <c r="DY536" s="24"/>
      <c r="DZ536" s="24"/>
      <c r="EA536" s="24"/>
      <c r="EB536" s="25"/>
      <c r="EC536" s="26"/>
      <c r="ED536" s="24"/>
      <c r="EE536" s="24"/>
      <c r="EF536" s="24"/>
      <c r="EG536" s="24"/>
      <c r="EH536" s="24"/>
      <c r="EI536" s="24"/>
      <c r="EJ536" s="24"/>
      <c r="EK536" s="24"/>
      <c r="EL536" s="24"/>
      <c r="EM536" s="24"/>
      <c r="EN536" s="24"/>
      <c r="EO536" s="25"/>
      <c r="EP536" s="26"/>
      <c r="EQ536" s="24"/>
      <c r="ER536" s="24"/>
      <c r="ES536" s="24"/>
      <c r="ET536" s="24"/>
      <c r="EU536" s="24"/>
      <c r="EV536" s="24"/>
      <c r="EW536" s="24"/>
      <c r="EX536" s="24"/>
      <c r="EY536" s="24"/>
      <c r="EZ536" s="24"/>
      <c r="FA536" s="24"/>
      <c r="FB536" s="25"/>
      <c r="FC536" s="26"/>
      <c r="FD536" s="24"/>
      <c r="FE536" s="24"/>
      <c r="FF536" s="24"/>
      <c r="FG536" s="24"/>
      <c r="FH536" s="24"/>
      <c r="FI536" s="24"/>
      <c r="FJ536" s="24"/>
      <c r="FK536" s="24"/>
      <c r="FL536" s="24"/>
      <c r="FM536" s="24"/>
      <c r="FN536" s="24"/>
      <c r="FO536" s="27">
        <f t="shared" ref="FO536:FV536" si="529">IFERROR(R536*1,0)+IFERROR(AE536*1,0)+IFERROR(AR536*1,0)+IFERROR(BE536*1,0)+IFERROR(BR536*1,0)+IFERROR(CE536*1,0)+IFERROR(CR536*1,0)+IFERROR(DE536*1,0)+IFERROR(DR536*1,0)+IFERROR(EE536*1,0)+IFERROR(ER536*1,0)+IFERROR(FE536*1,0)</f>
        <v>0</v>
      </c>
      <c r="FP536" s="27">
        <f t="shared" si="529"/>
        <v>0</v>
      </c>
      <c r="FQ536" s="27">
        <f t="shared" si="529"/>
        <v>0</v>
      </c>
      <c r="FR536" s="27">
        <f t="shared" si="529"/>
        <v>0</v>
      </c>
      <c r="FS536" s="27">
        <f t="shared" si="529"/>
        <v>0</v>
      </c>
      <c r="FT536" s="27">
        <f t="shared" si="529"/>
        <v>0</v>
      </c>
      <c r="FU536" s="27">
        <f t="shared" si="529"/>
        <v>0</v>
      </c>
      <c r="FV536" s="27">
        <f t="shared" si="529"/>
        <v>0</v>
      </c>
      <c r="FW536" s="28"/>
      <c r="FX536" s="29">
        <f t="shared" si="3"/>
        <v>0</v>
      </c>
    </row>
    <row r="537" spans="1:180" ht="18" customHeight="1" x14ac:dyDescent="0.25">
      <c r="A537" s="3" t="str">
        <f>IF(C537&lt;&gt;"","DRG-"&amp;TEXT(532,"000"),"")</f>
        <v/>
      </c>
      <c r="B537" s="33"/>
      <c r="C537" s="33"/>
      <c r="D537" s="33"/>
      <c r="E537" s="33"/>
      <c r="F537" s="33"/>
      <c r="G537" s="33"/>
      <c r="H537" s="33"/>
      <c r="I537" s="33"/>
      <c r="J537" s="33"/>
      <c r="K537" s="33"/>
      <c r="L537" s="37">
        <v>4</v>
      </c>
      <c r="M537" s="30" t="str">
        <f t="shared" si="0"/>
        <v>✘ Pending</v>
      </c>
      <c r="N537" s="30">
        <f t="shared" si="1"/>
        <v>0</v>
      </c>
      <c r="O537" s="31"/>
      <c r="P537" s="32"/>
      <c r="Q537" s="33"/>
      <c r="R537" s="33"/>
      <c r="S537" s="33"/>
      <c r="T537" s="33"/>
      <c r="U537" s="33"/>
      <c r="V537" s="33"/>
      <c r="W537" s="33"/>
      <c r="X537" s="33"/>
      <c r="Y537" s="33"/>
      <c r="Z537" s="33"/>
      <c r="AA537" s="33"/>
      <c r="AB537" s="31"/>
      <c r="AC537" s="32"/>
      <c r="AD537" s="33"/>
      <c r="AE537" s="33"/>
      <c r="AF537" s="33"/>
      <c r="AG537" s="33"/>
      <c r="AH537" s="33"/>
      <c r="AI537" s="33"/>
      <c r="AJ537" s="33"/>
      <c r="AK537" s="33"/>
      <c r="AL537" s="33"/>
      <c r="AM537" s="33"/>
      <c r="AN537" s="33"/>
      <c r="AO537" s="31"/>
      <c r="AP537" s="32"/>
      <c r="AQ537" s="33"/>
      <c r="AR537" s="33"/>
      <c r="AS537" s="33"/>
      <c r="AT537" s="33"/>
      <c r="AU537" s="33"/>
      <c r="AV537" s="33"/>
      <c r="AW537" s="33"/>
      <c r="AX537" s="33"/>
      <c r="AY537" s="33"/>
      <c r="AZ537" s="33"/>
      <c r="BA537" s="33"/>
      <c r="BB537" s="31"/>
      <c r="BC537" s="32"/>
      <c r="BD537" s="33"/>
      <c r="BE537" s="33"/>
      <c r="BF537" s="33"/>
      <c r="BG537" s="33"/>
      <c r="BH537" s="33"/>
      <c r="BI537" s="33"/>
      <c r="BJ537" s="33"/>
      <c r="BK537" s="33"/>
      <c r="BL537" s="33"/>
      <c r="BM537" s="33"/>
      <c r="BN537" s="33"/>
      <c r="BO537" s="31"/>
      <c r="BP537" s="32"/>
      <c r="BQ537" s="33"/>
      <c r="BR537" s="33"/>
      <c r="BS537" s="33"/>
      <c r="BT537" s="33"/>
      <c r="BU537" s="33"/>
      <c r="BV537" s="33"/>
      <c r="BW537" s="33"/>
      <c r="BX537" s="33"/>
      <c r="BY537" s="33"/>
      <c r="BZ537" s="33"/>
      <c r="CA537" s="33"/>
      <c r="CB537" s="31"/>
      <c r="CC537" s="32"/>
      <c r="CD537" s="33"/>
      <c r="CE537" s="33"/>
      <c r="CF537" s="33"/>
      <c r="CG537" s="33"/>
      <c r="CH537" s="33"/>
      <c r="CI537" s="33"/>
      <c r="CJ537" s="33"/>
      <c r="CK537" s="33"/>
      <c r="CL537" s="33"/>
      <c r="CM537" s="33"/>
      <c r="CN537" s="33"/>
      <c r="CO537" s="31"/>
      <c r="CP537" s="32"/>
      <c r="CQ537" s="33"/>
      <c r="CR537" s="33"/>
      <c r="CS537" s="33"/>
      <c r="CT537" s="33"/>
      <c r="CU537" s="33"/>
      <c r="CV537" s="33"/>
      <c r="CW537" s="33"/>
      <c r="CX537" s="33"/>
      <c r="CY537" s="33"/>
      <c r="CZ537" s="33"/>
      <c r="DA537" s="33"/>
      <c r="DB537" s="31"/>
      <c r="DC537" s="32"/>
      <c r="DD537" s="33"/>
      <c r="DE537" s="33"/>
      <c r="DF537" s="33"/>
      <c r="DG537" s="33"/>
      <c r="DH537" s="33"/>
      <c r="DI537" s="33"/>
      <c r="DJ537" s="33"/>
      <c r="DK537" s="33"/>
      <c r="DL537" s="33"/>
      <c r="DM537" s="33"/>
      <c r="DN537" s="33"/>
      <c r="DO537" s="31"/>
      <c r="DP537" s="32"/>
      <c r="DQ537" s="33"/>
      <c r="DR537" s="33"/>
      <c r="DS537" s="33"/>
      <c r="DT537" s="33"/>
      <c r="DU537" s="33"/>
      <c r="DV537" s="33"/>
      <c r="DW537" s="33"/>
      <c r="DX537" s="33"/>
      <c r="DY537" s="33"/>
      <c r="DZ537" s="33"/>
      <c r="EA537" s="33"/>
      <c r="EB537" s="31"/>
      <c r="EC537" s="32"/>
      <c r="ED537" s="33"/>
      <c r="EE537" s="33"/>
      <c r="EF537" s="33"/>
      <c r="EG537" s="33"/>
      <c r="EH537" s="33"/>
      <c r="EI537" s="33"/>
      <c r="EJ537" s="33"/>
      <c r="EK537" s="33"/>
      <c r="EL537" s="33"/>
      <c r="EM537" s="33"/>
      <c r="EN537" s="33"/>
      <c r="EO537" s="31"/>
      <c r="EP537" s="32"/>
      <c r="EQ537" s="33"/>
      <c r="ER537" s="33"/>
      <c r="ES537" s="33"/>
      <c r="ET537" s="33"/>
      <c r="EU537" s="33"/>
      <c r="EV537" s="33"/>
      <c r="EW537" s="33"/>
      <c r="EX537" s="33"/>
      <c r="EY537" s="33"/>
      <c r="EZ537" s="33"/>
      <c r="FA537" s="33"/>
      <c r="FB537" s="31"/>
      <c r="FC537" s="32"/>
      <c r="FD537" s="33"/>
      <c r="FE537" s="33"/>
      <c r="FF537" s="33"/>
      <c r="FG537" s="33"/>
      <c r="FH537" s="33"/>
      <c r="FI537" s="33"/>
      <c r="FJ537" s="33"/>
      <c r="FK537" s="33"/>
      <c r="FL537" s="33"/>
      <c r="FM537" s="33"/>
      <c r="FN537" s="33"/>
      <c r="FO537" s="34">
        <f t="shared" ref="FO537:FV537" si="530">IFERROR(R537*1,0)+IFERROR(AE537*1,0)+IFERROR(AR537*1,0)+IFERROR(BE537*1,0)+IFERROR(BR537*1,0)+IFERROR(CE537*1,0)+IFERROR(CR537*1,0)+IFERROR(DE537*1,0)+IFERROR(DR537*1,0)+IFERROR(EE537*1,0)+IFERROR(ER537*1,0)+IFERROR(FE537*1,0)</f>
        <v>0</v>
      </c>
      <c r="FP537" s="34">
        <f t="shared" si="530"/>
        <v>0</v>
      </c>
      <c r="FQ537" s="34">
        <f t="shared" si="530"/>
        <v>0</v>
      </c>
      <c r="FR537" s="34">
        <f t="shared" si="530"/>
        <v>0</v>
      </c>
      <c r="FS537" s="34">
        <f t="shared" si="530"/>
        <v>0</v>
      </c>
      <c r="FT537" s="34">
        <f t="shared" si="530"/>
        <v>0</v>
      </c>
      <c r="FU537" s="34">
        <f t="shared" si="530"/>
        <v>0</v>
      </c>
      <c r="FV537" s="34">
        <f t="shared" si="530"/>
        <v>0</v>
      </c>
      <c r="FW537" s="28"/>
      <c r="FX537" s="29">
        <f t="shared" si="3"/>
        <v>0</v>
      </c>
    </row>
    <row r="538" spans="1:180" ht="18" customHeight="1" x14ac:dyDescent="0.25">
      <c r="A538" s="3" t="str">
        <f>IF(C538&lt;&gt;"","DRG-"&amp;TEXT(533,"000"),"")</f>
        <v/>
      </c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38">
        <v>4</v>
      </c>
      <c r="M538" s="23" t="str">
        <f t="shared" si="0"/>
        <v>✘ Pending</v>
      </c>
      <c r="N538" s="23">
        <f t="shared" si="1"/>
        <v>0</v>
      </c>
      <c r="O538" s="25"/>
      <c r="P538" s="26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  <c r="AB538" s="25"/>
      <c r="AC538" s="26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5"/>
      <c r="AP538" s="26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5"/>
      <c r="BC538" s="26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5"/>
      <c r="BP538" s="26"/>
      <c r="BQ538" s="24"/>
      <c r="BR538" s="24"/>
      <c r="BS538" s="24"/>
      <c r="BT538" s="24"/>
      <c r="BU538" s="24"/>
      <c r="BV538" s="24"/>
      <c r="BW538" s="24"/>
      <c r="BX538" s="24"/>
      <c r="BY538" s="24"/>
      <c r="BZ538" s="24"/>
      <c r="CA538" s="24"/>
      <c r="CB538" s="25"/>
      <c r="CC538" s="26"/>
      <c r="CD538" s="24"/>
      <c r="CE538" s="24"/>
      <c r="CF538" s="24"/>
      <c r="CG538" s="24"/>
      <c r="CH538" s="24"/>
      <c r="CI538" s="24"/>
      <c r="CJ538" s="24"/>
      <c r="CK538" s="24"/>
      <c r="CL538" s="24"/>
      <c r="CM538" s="24"/>
      <c r="CN538" s="24"/>
      <c r="CO538" s="25"/>
      <c r="CP538" s="26"/>
      <c r="CQ538" s="24"/>
      <c r="CR538" s="24"/>
      <c r="CS538" s="24"/>
      <c r="CT538" s="24"/>
      <c r="CU538" s="24"/>
      <c r="CV538" s="24"/>
      <c r="CW538" s="24"/>
      <c r="CX538" s="24"/>
      <c r="CY538" s="24"/>
      <c r="CZ538" s="24"/>
      <c r="DA538" s="24"/>
      <c r="DB538" s="25"/>
      <c r="DC538" s="26"/>
      <c r="DD538" s="24"/>
      <c r="DE538" s="24"/>
      <c r="DF538" s="24"/>
      <c r="DG538" s="24"/>
      <c r="DH538" s="24"/>
      <c r="DI538" s="24"/>
      <c r="DJ538" s="24"/>
      <c r="DK538" s="24"/>
      <c r="DL538" s="24"/>
      <c r="DM538" s="24"/>
      <c r="DN538" s="24"/>
      <c r="DO538" s="25"/>
      <c r="DP538" s="26"/>
      <c r="DQ538" s="24"/>
      <c r="DR538" s="24"/>
      <c r="DS538" s="24"/>
      <c r="DT538" s="24"/>
      <c r="DU538" s="24"/>
      <c r="DV538" s="24"/>
      <c r="DW538" s="24"/>
      <c r="DX538" s="24"/>
      <c r="DY538" s="24"/>
      <c r="DZ538" s="24"/>
      <c r="EA538" s="24"/>
      <c r="EB538" s="25"/>
      <c r="EC538" s="26"/>
      <c r="ED538" s="24"/>
      <c r="EE538" s="24"/>
      <c r="EF538" s="24"/>
      <c r="EG538" s="24"/>
      <c r="EH538" s="24"/>
      <c r="EI538" s="24"/>
      <c r="EJ538" s="24"/>
      <c r="EK538" s="24"/>
      <c r="EL538" s="24"/>
      <c r="EM538" s="24"/>
      <c r="EN538" s="24"/>
      <c r="EO538" s="25"/>
      <c r="EP538" s="26"/>
      <c r="EQ538" s="24"/>
      <c r="ER538" s="24"/>
      <c r="ES538" s="24"/>
      <c r="ET538" s="24"/>
      <c r="EU538" s="24"/>
      <c r="EV538" s="24"/>
      <c r="EW538" s="24"/>
      <c r="EX538" s="24"/>
      <c r="EY538" s="24"/>
      <c r="EZ538" s="24"/>
      <c r="FA538" s="24"/>
      <c r="FB538" s="25"/>
      <c r="FC538" s="26"/>
      <c r="FD538" s="24"/>
      <c r="FE538" s="24"/>
      <c r="FF538" s="24"/>
      <c r="FG538" s="24"/>
      <c r="FH538" s="24"/>
      <c r="FI538" s="24"/>
      <c r="FJ538" s="24"/>
      <c r="FK538" s="24"/>
      <c r="FL538" s="24"/>
      <c r="FM538" s="24"/>
      <c r="FN538" s="24"/>
      <c r="FO538" s="27">
        <f t="shared" ref="FO538:FV538" si="531">IFERROR(R538*1,0)+IFERROR(AE538*1,0)+IFERROR(AR538*1,0)+IFERROR(BE538*1,0)+IFERROR(BR538*1,0)+IFERROR(CE538*1,0)+IFERROR(CR538*1,0)+IFERROR(DE538*1,0)+IFERROR(DR538*1,0)+IFERROR(EE538*1,0)+IFERROR(ER538*1,0)+IFERROR(FE538*1,0)</f>
        <v>0</v>
      </c>
      <c r="FP538" s="27">
        <f t="shared" si="531"/>
        <v>0</v>
      </c>
      <c r="FQ538" s="27">
        <f t="shared" si="531"/>
        <v>0</v>
      </c>
      <c r="FR538" s="27">
        <f t="shared" si="531"/>
        <v>0</v>
      </c>
      <c r="FS538" s="27">
        <f t="shared" si="531"/>
        <v>0</v>
      </c>
      <c r="FT538" s="27">
        <f t="shared" si="531"/>
        <v>0</v>
      </c>
      <c r="FU538" s="27">
        <f t="shared" si="531"/>
        <v>0</v>
      </c>
      <c r="FV538" s="27">
        <f t="shared" si="531"/>
        <v>0</v>
      </c>
      <c r="FW538" s="28"/>
      <c r="FX538" s="29">
        <f t="shared" si="3"/>
        <v>0</v>
      </c>
    </row>
    <row r="539" spans="1:180" ht="18" customHeight="1" x14ac:dyDescent="0.25">
      <c r="A539" s="3" t="str">
        <f>IF(C539&lt;&gt;"","DRG-"&amp;TEXT(534,"000"),"")</f>
        <v/>
      </c>
      <c r="B539" s="33"/>
      <c r="C539" s="33"/>
      <c r="D539" s="33"/>
      <c r="E539" s="33"/>
      <c r="F539" s="33"/>
      <c r="G539" s="33"/>
      <c r="H539" s="33"/>
      <c r="I539" s="33"/>
      <c r="J539" s="33"/>
      <c r="K539" s="33"/>
      <c r="L539" s="37">
        <v>4</v>
      </c>
      <c r="M539" s="30" t="str">
        <f t="shared" si="0"/>
        <v>✘ Pending</v>
      </c>
      <c r="N539" s="30">
        <f t="shared" si="1"/>
        <v>0</v>
      </c>
      <c r="O539" s="31"/>
      <c r="P539" s="32"/>
      <c r="Q539" s="33"/>
      <c r="R539" s="33"/>
      <c r="S539" s="33"/>
      <c r="T539" s="33"/>
      <c r="U539" s="33"/>
      <c r="V539" s="33"/>
      <c r="W539" s="33"/>
      <c r="X539" s="33"/>
      <c r="Y539" s="33"/>
      <c r="Z539" s="33"/>
      <c r="AA539" s="33"/>
      <c r="AB539" s="31"/>
      <c r="AC539" s="32"/>
      <c r="AD539" s="33"/>
      <c r="AE539" s="33"/>
      <c r="AF539" s="33"/>
      <c r="AG539" s="33"/>
      <c r="AH539" s="33"/>
      <c r="AI539" s="33"/>
      <c r="AJ539" s="33"/>
      <c r="AK539" s="33"/>
      <c r="AL539" s="33"/>
      <c r="AM539" s="33"/>
      <c r="AN539" s="33"/>
      <c r="AO539" s="31"/>
      <c r="AP539" s="32"/>
      <c r="AQ539" s="33"/>
      <c r="AR539" s="33"/>
      <c r="AS539" s="33"/>
      <c r="AT539" s="33"/>
      <c r="AU539" s="33"/>
      <c r="AV539" s="33"/>
      <c r="AW539" s="33"/>
      <c r="AX539" s="33"/>
      <c r="AY539" s="33"/>
      <c r="AZ539" s="33"/>
      <c r="BA539" s="33"/>
      <c r="BB539" s="31"/>
      <c r="BC539" s="32"/>
      <c r="BD539" s="33"/>
      <c r="BE539" s="33"/>
      <c r="BF539" s="33"/>
      <c r="BG539" s="33"/>
      <c r="BH539" s="33"/>
      <c r="BI539" s="33"/>
      <c r="BJ539" s="33"/>
      <c r="BK539" s="33"/>
      <c r="BL539" s="33"/>
      <c r="BM539" s="33"/>
      <c r="BN539" s="33"/>
      <c r="BO539" s="31"/>
      <c r="BP539" s="32"/>
      <c r="BQ539" s="33"/>
      <c r="BR539" s="33"/>
      <c r="BS539" s="33"/>
      <c r="BT539" s="33"/>
      <c r="BU539" s="33"/>
      <c r="BV539" s="33"/>
      <c r="BW539" s="33"/>
      <c r="BX539" s="33"/>
      <c r="BY539" s="33"/>
      <c r="BZ539" s="33"/>
      <c r="CA539" s="33"/>
      <c r="CB539" s="31"/>
      <c r="CC539" s="32"/>
      <c r="CD539" s="33"/>
      <c r="CE539" s="33"/>
      <c r="CF539" s="33"/>
      <c r="CG539" s="33"/>
      <c r="CH539" s="33"/>
      <c r="CI539" s="33"/>
      <c r="CJ539" s="33"/>
      <c r="CK539" s="33"/>
      <c r="CL539" s="33"/>
      <c r="CM539" s="33"/>
      <c r="CN539" s="33"/>
      <c r="CO539" s="31"/>
      <c r="CP539" s="32"/>
      <c r="CQ539" s="33"/>
      <c r="CR539" s="33"/>
      <c r="CS539" s="33"/>
      <c r="CT539" s="33"/>
      <c r="CU539" s="33"/>
      <c r="CV539" s="33"/>
      <c r="CW539" s="33"/>
      <c r="CX539" s="33"/>
      <c r="CY539" s="33"/>
      <c r="CZ539" s="33"/>
      <c r="DA539" s="33"/>
      <c r="DB539" s="31"/>
      <c r="DC539" s="32"/>
      <c r="DD539" s="33"/>
      <c r="DE539" s="33"/>
      <c r="DF539" s="33"/>
      <c r="DG539" s="33"/>
      <c r="DH539" s="33"/>
      <c r="DI539" s="33"/>
      <c r="DJ539" s="33"/>
      <c r="DK539" s="33"/>
      <c r="DL539" s="33"/>
      <c r="DM539" s="33"/>
      <c r="DN539" s="33"/>
      <c r="DO539" s="31"/>
      <c r="DP539" s="32"/>
      <c r="DQ539" s="33"/>
      <c r="DR539" s="33"/>
      <c r="DS539" s="33"/>
      <c r="DT539" s="33"/>
      <c r="DU539" s="33"/>
      <c r="DV539" s="33"/>
      <c r="DW539" s="33"/>
      <c r="DX539" s="33"/>
      <c r="DY539" s="33"/>
      <c r="DZ539" s="33"/>
      <c r="EA539" s="33"/>
      <c r="EB539" s="31"/>
      <c r="EC539" s="32"/>
      <c r="ED539" s="33"/>
      <c r="EE539" s="33"/>
      <c r="EF539" s="33"/>
      <c r="EG539" s="33"/>
      <c r="EH539" s="33"/>
      <c r="EI539" s="33"/>
      <c r="EJ539" s="33"/>
      <c r="EK539" s="33"/>
      <c r="EL539" s="33"/>
      <c r="EM539" s="33"/>
      <c r="EN539" s="33"/>
      <c r="EO539" s="31"/>
      <c r="EP539" s="32"/>
      <c r="EQ539" s="33"/>
      <c r="ER539" s="33"/>
      <c r="ES539" s="33"/>
      <c r="ET539" s="33"/>
      <c r="EU539" s="33"/>
      <c r="EV539" s="33"/>
      <c r="EW539" s="33"/>
      <c r="EX539" s="33"/>
      <c r="EY539" s="33"/>
      <c r="EZ539" s="33"/>
      <c r="FA539" s="33"/>
      <c r="FB539" s="31"/>
      <c r="FC539" s="32"/>
      <c r="FD539" s="33"/>
      <c r="FE539" s="33"/>
      <c r="FF539" s="33"/>
      <c r="FG539" s="33"/>
      <c r="FH539" s="33"/>
      <c r="FI539" s="33"/>
      <c r="FJ539" s="33"/>
      <c r="FK539" s="33"/>
      <c r="FL539" s="33"/>
      <c r="FM539" s="33"/>
      <c r="FN539" s="33"/>
      <c r="FO539" s="34">
        <f t="shared" ref="FO539:FV539" si="532">IFERROR(R539*1,0)+IFERROR(AE539*1,0)+IFERROR(AR539*1,0)+IFERROR(BE539*1,0)+IFERROR(BR539*1,0)+IFERROR(CE539*1,0)+IFERROR(CR539*1,0)+IFERROR(DE539*1,0)+IFERROR(DR539*1,0)+IFERROR(EE539*1,0)+IFERROR(ER539*1,0)+IFERROR(FE539*1,0)</f>
        <v>0</v>
      </c>
      <c r="FP539" s="34">
        <f t="shared" si="532"/>
        <v>0</v>
      </c>
      <c r="FQ539" s="34">
        <f t="shared" si="532"/>
        <v>0</v>
      </c>
      <c r="FR539" s="34">
        <f t="shared" si="532"/>
        <v>0</v>
      </c>
      <c r="FS539" s="34">
        <f t="shared" si="532"/>
        <v>0</v>
      </c>
      <c r="FT539" s="34">
        <f t="shared" si="532"/>
        <v>0</v>
      </c>
      <c r="FU539" s="34">
        <f t="shared" si="532"/>
        <v>0</v>
      </c>
      <c r="FV539" s="34">
        <f t="shared" si="532"/>
        <v>0</v>
      </c>
      <c r="FW539" s="28"/>
      <c r="FX539" s="29">
        <f t="shared" si="3"/>
        <v>0</v>
      </c>
    </row>
    <row r="540" spans="1:180" ht="18" customHeight="1" x14ac:dyDescent="0.25">
      <c r="A540" s="3" t="str">
        <f>IF(C540&lt;&gt;"","DRG-"&amp;TEXT(535,"000"),"")</f>
        <v/>
      </c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38">
        <v>4</v>
      </c>
      <c r="M540" s="23" t="str">
        <f t="shared" si="0"/>
        <v>✘ Pending</v>
      </c>
      <c r="N540" s="23">
        <f t="shared" si="1"/>
        <v>0</v>
      </c>
      <c r="O540" s="25"/>
      <c r="P540" s="26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  <c r="AB540" s="25"/>
      <c r="AC540" s="26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5"/>
      <c r="AP540" s="26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5"/>
      <c r="BC540" s="26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5"/>
      <c r="BP540" s="26"/>
      <c r="BQ540" s="24"/>
      <c r="BR540" s="24"/>
      <c r="BS540" s="24"/>
      <c r="BT540" s="24"/>
      <c r="BU540" s="24"/>
      <c r="BV540" s="24"/>
      <c r="BW540" s="24"/>
      <c r="BX540" s="24"/>
      <c r="BY540" s="24"/>
      <c r="BZ540" s="24"/>
      <c r="CA540" s="24"/>
      <c r="CB540" s="25"/>
      <c r="CC540" s="26"/>
      <c r="CD540" s="24"/>
      <c r="CE540" s="24"/>
      <c r="CF540" s="24"/>
      <c r="CG540" s="24"/>
      <c r="CH540" s="24"/>
      <c r="CI540" s="24"/>
      <c r="CJ540" s="24"/>
      <c r="CK540" s="24"/>
      <c r="CL540" s="24"/>
      <c r="CM540" s="24"/>
      <c r="CN540" s="24"/>
      <c r="CO540" s="25"/>
      <c r="CP540" s="26"/>
      <c r="CQ540" s="24"/>
      <c r="CR540" s="24"/>
      <c r="CS540" s="24"/>
      <c r="CT540" s="24"/>
      <c r="CU540" s="24"/>
      <c r="CV540" s="24"/>
      <c r="CW540" s="24"/>
      <c r="CX540" s="24"/>
      <c r="CY540" s="24"/>
      <c r="CZ540" s="24"/>
      <c r="DA540" s="24"/>
      <c r="DB540" s="25"/>
      <c r="DC540" s="26"/>
      <c r="DD540" s="24"/>
      <c r="DE540" s="24"/>
      <c r="DF540" s="24"/>
      <c r="DG540" s="24"/>
      <c r="DH540" s="24"/>
      <c r="DI540" s="24"/>
      <c r="DJ540" s="24"/>
      <c r="DK540" s="24"/>
      <c r="DL540" s="24"/>
      <c r="DM540" s="24"/>
      <c r="DN540" s="24"/>
      <c r="DO540" s="25"/>
      <c r="DP540" s="26"/>
      <c r="DQ540" s="24"/>
      <c r="DR540" s="24"/>
      <c r="DS540" s="24"/>
      <c r="DT540" s="24"/>
      <c r="DU540" s="24"/>
      <c r="DV540" s="24"/>
      <c r="DW540" s="24"/>
      <c r="DX540" s="24"/>
      <c r="DY540" s="24"/>
      <c r="DZ540" s="24"/>
      <c r="EA540" s="24"/>
      <c r="EB540" s="25"/>
      <c r="EC540" s="26"/>
      <c r="ED540" s="24"/>
      <c r="EE540" s="24"/>
      <c r="EF540" s="24"/>
      <c r="EG540" s="24"/>
      <c r="EH540" s="24"/>
      <c r="EI540" s="24"/>
      <c r="EJ540" s="24"/>
      <c r="EK540" s="24"/>
      <c r="EL540" s="24"/>
      <c r="EM540" s="24"/>
      <c r="EN540" s="24"/>
      <c r="EO540" s="25"/>
      <c r="EP540" s="26"/>
      <c r="EQ540" s="24"/>
      <c r="ER540" s="24"/>
      <c r="ES540" s="24"/>
      <c r="ET540" s="24"/>
      <c r="EU540" s="24"/>
      <c r="EV540" s="24"/>
      <c r="EW540" s="24"/>
      <c r="EX540" s="24"/>
      <c r="EY540" s="24"/>
      <c r="EZ540" s="24"/>
      <c r="FA540" s="24"/>
      <c r="FB540" s="25"/>
      <c r="FC540" s="26"/>
      <c r="FD540" s="24"/>
      <c r="FE540" s="24"/>
      <c r="FF540" s="24"/>
      <c r="FG540" s="24"/>
      <c r="FH540" s="24"/>
      <c r="FI540" s="24"/>
      <c r="FJ540" s="24"/>
      <c r="FK540" s="24"/>
      <c r="FL540" s="24"/>
      <c r="FM540" s="24"/>
      <c r="FN540" s="24"/>
      <c r="FO540" s="27">
        <f t="shared" ref="FO540:FV540" si="533">IFERROR(R540*1,0)+IFERROR(AE540*1,0)+IFERROR(AR540*1,0)+IFERROR(BE540*1,0)+IFERROR(BR540*1,0)+IFERROR(CE540*1,0)+IFERROR(CR540*1,0)+IFERROR(DE540*1,0)+IFERROR(DR540*1,0)+IFERROR(EE540*1,0)+IFERROR(ER540*1,0)+IFERROR(FE540*1,0)</f>
        <v>0</v>
      </c>
      <c r="FP540" s="27">
        <f t="shared" si="533"/>
        <v>0</v>
      </c>
      <c r="FQ540" s="27">
        <f t="shared" si="533"/>
        <v>0</v>
      </c>
      <c r="FR540" s="27">
        <f t="shared" si="533"/>
        <v>0</v>
      </c>
      <c r="FS540" s="27">
        <f t="shared" si="533"/>
        <v>0</v>
      </c>
      <c r="FT540" s="27">
        <f t="shared" si="533"/>
        <v>0</v>
      </c>
      <c r="FU540" s="27">
        <f t="shared" si="533"/>
        <v>0</v>
      </c>
      <c r="FV540" s="27">
        <f t="shared" si="533"/>
        <v>0</v>
      </c>
      <c r="FW540" s="28"/>
      <c r="FX540" s="29">
        <f t="shared" si="3"/>
        <v>0</v>
      </c>
    </row>
    <row r="541" spans="1:180" ht="18" customHeight="1" x14ac:dyDescent="0.25">
      <c r="A541" s="3" t="str">
        <f>IF(C541&lt;&gt;"","DRG-"&amp;TEXT(536,"000"),"")</f>
        <v/>
      </c>
      <c r="B541" s="33"/>
      <c r="C541" s="33"/>
      <c r="D541" s="33"/>
      <c r="E541" s="33"/>
      <c r="F541" s="33"/>
      <c r="G541" s="33"/>
      <c r="H541" s="33"/>
      <c r="I541" s="33"/>
      <c r="J541" s="33"/>
      <c r="K541" s="33"/>
      <c r="L541" s="37">
        <v>4</v>
      </c>
      <c r="M541" s="30" t="str">
        <f t="shared" si="0"/>
        <v>✘ Pending</v>
      </c>
      <c r="N541" s="30">
        <f t="shared" si="1"/>
        <v>0</v>
      </c>
      <c r="O541" s="31"/>
      <c r="P541" s="32"/>
      <c r="Q541" s="33"/>
      <c r="R541" s="33"/>
      <c r="S541" s="33"/>
      <c r="T541" s="33"/>
      <c r="U541" s="33"/>
      <c r="V541" s="33"/>
      <c r="W541" s="33"/>
      <c r="X541" s="33"/>
      <c r="Y541" s="33"/>
      <c r="Z541" s="33"/>
      <c r="AA541" s="33"/>
      <c r="AB541" s="31"/>
      <c r="AC541" s="32"/>
      <c r="AD541" s="33"/>
      <c r="AE541" s="33"/>
      <c r="AF541" s="33"/>
      <c r="AG541" s="33"/>
      <c r="AH541" s="33"/>
      <c r="AI541" s="33"/>
      <c r="AJ541" s="33"/>
      <c r="AK541" s="33"/>
      <c r="AL541" s="33"/>
      <c r="AM541" s="33"/>
      <c r="AN541" s="33"/>
      <c r="AO541" s="31"/>
      <c r="AP541" s="32"/>
      <c r="AQ541" s="33"/>
      <c r="AR541" s="33"/>
      <c r="AS541" s="33"/>
      <c r="AT541" s="33"/>
      <c r="AU541" s="33"/>
      <c r="AV541" s="33"/>
      <c r="AW541" s="33"/>
      <c r="AX541" s="33"/>
      <c r="AY541" s="33"/>
      <c r="AZ541" s="33"/>
      <c r="BA541" s="33"/>
      <c r="BB541" s="31"/>
      <c r="BC541" s="32"/>
      <c r="BD541" s="33"/>
      <c r="BE541" s="33"/>
      <c r="BF541" s="33"/>
      <c r="BG541" s="33"/>
      <c r="BH541" s="33"/>
      <c r="BI541" s="33"/>
      <c r="BJ541" s="33"/>
      <c r="BK541" s="33"/>
      <c r="BL541" s="33"/>
      <c r="BM541" s="33"/>
      <c r="BN541" s="33"/>
      <c r="BO541" s="31"/>
      <c r="BP541" s="32"/>
      <c r="BQ541" s="33"/>
      <c r="BR541" s="33"/>
      <c r="BS541" s="33"/>
      <c r="BT541" s="33"/>
      <c r="BU541" s="33"/>
      <c r="BV541" s="33"/>
      <c r="BW541" s="33"/>
      <c r="BX541" s="33"/>
      <c r="BY541" s="33"/>
      <c r="BZ541" s="33"/>
      <c r="CA541" s="33"/>
      <c r="CB541" s="31"/>
      <c r="CC541" s="32"/>
      <c r="CD541" s="33"/>
      <c r="CE541" s="33"/>
      <c r="CF541" s="33"/>
      <c r="CG541" s="33"/>
      <c r="CH541" s="33"/>
      <c r="CI541" s="33"/>
      <c r="CJ541" s="33"/>
      <c r="CK541" s="33"/>
      <c r="CL541" s="33"/>
      <c r="CM541" s="33"/>
      <c r="CN541" s="33"/>
      <c r="CO541" s="31"/>
      <c r="CP541" s="32"/>
      <c r="CQ541" s="33"/>
      <c r="CR541" s="33"/>
      <c r="CS541" s="33"/>
      <c r="CT541" s="33"/>
      <c r="CU541" s="33"/>
      <c r="CV541" s="33"/>
      <c r="CW541" s="33"/>
      <c r="CX541" s="33"/>
      <c r="CY541" s="33"/>
      <c r="CZ541" s="33"/>
      <c r="DA541" s="33"/>
      <c r="DB541" s="31"/>
      <c r="DC541" s="32"/>
      <c r="DD541" s="33"/>
      <c r="DE541" s="33"/>
      <c r="DF541" s="33"/>
      <c r="DG541" s="33"/>
      <c r="DH541" s="33"/>
      <c r="DI541" s="33"/>
      <c r="DJ541" s="33"/>
      <c r="DK541" s="33"/>
      <c r="DL541" s="33"/>
      <c r="DM541" s="33"/>
      <c r="DN541" s="33"/>
      <c r="DO541" s="31"/>
      <c r="DP541" s="32"/>
      <c r="DQ541" s="33"/>
      <c r="DR541" s="33"/>
      <c r="DS541" s="33"/>
      <c r="DT541" s="33"/>
      <c r="DU541" s="33"/>
      <c r="DV541" s="33"/>
      <c r="DW541" s="33"/>
      <c r="DX541" s="33"/>
      <c r="DY541" s="33"/>
      <c r="DZ541" s="33"/>
      <c r="EA541" s="33"/>
      <c r="EB541" s="31"/>
      <c r="EC541" s="32"/>
      <c r="ED541" s="33"/>
      <c r="EE541" s="33"/>
      <c r="EF541" s="33"/>
      <c r="EG541" s="33"/>
      <c r="EH541" s="33"/>
      <c r="EI541" s="33"/>
      <c r="EJ541" s="33"/>
      <c r="EK541" s="33"/>
      <c r="EL541" s="33"/>
      <c r="EM541" s="33"/>
      <c r="EN541" s="33"/>
      <c r="EO541" s="31"/>
      <c r="EP541" s="32"/>
      <c r="EQ541" s="33"/>
      <c r="ER541" s="33"/>
      <c r="ES541" s="33"/>
      <c r="ET541" s="33"/>
      <c r="EU541" s="33"/>
      <c r="EV541" s="33"/>
      <c r="EW541" s="33"/>
      <c r="EX541" s="33"/>
      <c r="EY541" s="33"/>
      <c r="EZ541" s="33"/>
      <c r="FA541" s="33"/>
      <c r="FB541" s="31"/>
      <c r="FC541" s="32"/>
      <c r="FD541" s="33"/>
      <c r="FE541" s="33"/>
      <c r="FF541" s="33"/>
      <c r="FG541" s="33"/>
      <c r="FH541" s="33"/>
      <c r="FI541" s="33"/>
      <c r="FJ541" s="33"/>
      <c r="FK541" s="33"/>
      <c r="FL541" s="33"/>
      <c r="FM541" s="33"/>
      <c r="FN541" s="33"/>
      <c r="FO541" s="34">
        <f t="shared" ref="FO541:FV541" si="534">IFERROR(R541*1,0)+IFERROR(AE541*1,0)+IFERROR(AR541*1,0)+IFERROR(BE541*1,0)+IFERROR(BR541*1,0)+IFERROR(CE541*1,0)+IFERROR(CR541*1,0)+IFERROR(DE541*1,0)+IFERROR(DR541*1,0)+IFERROR(EE541*1,0)+IFERROR(ER541*1,0)+IFERROR(FE541*1,0)</f>
        <v>0</v>
      </c>
      <c r="FP541" s="34">
        <f t="shared" si="534"/>
        <v>0</v>
      </c>
      <c r="FQ541" s="34">
        <f t="shared" si="534"/>
        <v>0</v>
      </c>
      <c r="FR541" s="34">
        <f t="shared" si="534"/>
        <v>0</v>
      </c>
      <c r="FS541" s="34">
        <f t="shared" si="534"/>
        <v>0</v>
      </c>
      <c r="FT541" s="34">
        <f t="shared" si="534"/>
        <v>0</v>
      </c>
      <c r="FU541" s="34">
        <f t="shared" si="534"/>
        <v>0</v>
      </c>
      <c r="FV541" s="34">
        <f t="shared" si="534"/>
        <v>0</v>
      </c>
      <c r="FW541" s="28"/>
      <c r="FX541" s="29">
        <f t="shared" si="3"/>
        <v>0</v>
      </c>
    </row>
    <row r="542" spans="1:180" ht="18" customHeight="1" x14ac:dyDescent="0.25">
      <c r="A542" s="3" t="str">
        <f>IF(C542&lt;&gt;"","DRG-"&amp;TEXT(537,"000"),"")</f>
        <v/>
      </c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38">
        <v>4</v>
      </c>
      <c r="M542" s="23" t="str">
        <f t="shared" si="0"/>
        <v>✘ Pending</v>
      </c>
      <c r="N542" s="23">
        <f t="shared" si="1"/>
        <v>0</v>
      </c>
      <c r="O542" s="25"/>
      <c r="P542" s="26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  <c r="AB542" s="25"/>
      <c r="AC542" s="26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5"/>
      <c r="AP542" s="26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5"/>
      <c r="BC542" s="26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5"/>
      <c r="BP542" s="26"/>
      <c r="BQ542" s="24"/>
      <c r="BR542" s="24"/>
      <c r="BS542" s="24"/>
      <c r="BT542" s="24"/>
      <c r="BU542" s="24"/>
      <c r="BV542" s="24"/>
      <c r="BW542" s="24"/>
      <c r="BX542" s="24"/>
      <c r="BY542" s="24"/>
      <c r="BZ542" s="24"/>
      <c r="CA542" s="24"/>
      <c r="CB542" s="25"/>
      <c r="CC542" s="26"/>
      <c r="CD542" s="24"/>
      <c r="CE542" s="24"/>
      <c r="CF542" s="24"/>
      <c r="CG542" s="24"/>
      <c r="CH542" s="24"/>
      <c r="CI542" s="24"/>
      <c r="CJ542" s="24"/>
      <c r="CK542" s="24"/>
      <c r="CL542" s="24"/>
      <c r="CM542" s="24"/>
      <c r="CN542" s="24"/>
      <c r="CO542" s="25"/>
      <c r="CP542" s="26"/>
      <c r="CQ542" s="24"/>
      <c r="CR542" s="24"/>
      <c r="CS542" s="24"/>
      <c r="CT542" s="24"/>
      <c r="CU542" s="24"/>
      <c r="CV542" s="24"/>
      <c r="CW542" s="24"/>
      <c r="CX542" s="24"/>
      <c r="CY542" s="24"/>
      <c r="CZ542" s="24"/>
      <c r="DA542" s="24"/>
      <c r="DB542" s="25"/>
      <c r="DC542" s="26"/>
      <c r="DD542" s="24"/>
      <c r="DE542" s="24"/>
      <c r="DF542" s="24"/>
      <c r="DG542" s="24"/>
      <c r="DH542" s="24"/>
      <c r="DI542" s="24"/>
      <c r="DJ542" s="24"/>
      <c r="DK542" s="24"/>
      <c r="DL542" s="24"/>
      <c r="DM542" s="24"/>
      <c r="DN542" s="24"/>
      <c r="DO542" s="25"/>
      <c r="DP542" s="26"/>
      <c r="DQ542" s="24"/>
      <c r="DR542" s="24"/>
      <c r="DS542" s="24"/>
      <c r="DT542" s="24"/>
      <c r="DU542" s="24"/>
      <c r="DV542" s="24"/>
      <c r="DW542" s="24"/>
      <c r="DX542" s="24"/>
      <c r="DY542" s="24"/>
      <c r="DZ542" s="24"/>
      <c r="EA542" s="24"/>
      <c r="EB542" s="25"/>
      <c r="EC542" s="26"/>
      <c r="ED542" s="24"/>
      <c r="EE542" s="24"/>
      <c r="EF542" s="24"/>
      <c r="EG542" s="24"/>
      <c r="EH542" s="24"/>
      <c r="EI542" s="24"/>
      <c r="EJ542" s="24"/>
      <c r="EK542" s="24"/>
      <c r="EL542" s="24"/>
      <c r="EM542" s="24"/>
      <c r="EN542" s="24"/>
      <c r="EO542" s="25"/>
      <c r="EP542" s="26"/>
      <c r="EQ542" s="24"/>
      <c r="ER542" s="24"/>
      <c r="ES542" s="24"/>
      <c r="ET542" s="24"/>
      <c r="EU542" s="24"/>
      <c r="EV542" s="24"/>
      <c r="EW542" s="24"/>
      <c r="EX542" s="24"/>
      <c r="EY542" s="24"/>
      <c r="EZ542" s="24"/>
      <c r="FA542" s="24"/>
      <c r="FB542" s="25"/>
      <c r="FC542" s="26"/>
      <c r="FD542" s="24"/>
      <c r="FE542" s="24"/>
      <c r="FF542" s="24"/>
      <c r="FG542" s="24"/>
      <c r="FH542" s="24"/>
      <c r="FI542" s="24"/>
      <c r="FJ542" s="24"/>
      <c r="FK542" s="24"/>
      <c r="FL542" s="24"/>
      <c r="FM542" s="24"/>
      <c r="FN542" s="24"/>
      <c r="FO542" s="27">
        <f t="shared" ref="FO542:FV542" si="535">IFERROR(R542*1,0)+IFERROR(AE542*1,0)+IFERROR(AR542*1,0)+IFERROR(BE542*1,0)+IFERROR(BR542*1,0)+IFERROR(CE542*1,0)+IFERROR(CR542*1,0)+IFERROR(DE542*1,0)+IFERROR(DR542*1,0)+IFERROR(EE542*1,0)+IFERROR(ER542*1,0)+IFERROR(FE542*1,0)</f>
        <v>0</v>
      </c>
      <c r="FP542" s="27">
        <f t="shared" si="535"/>
        <v>0</v>
      </c>
      <c r="FQ542" s="27">
        <f t="shared" si="535"/>
        <v>0</v>
      </c>
      <c r="FR542" s="27">
        <f t="shared" si="535"/>
        <v>0</v>
      </c>
      <c r="FS542" s="27">
        <f t="shared" si="535"/>
        <v>0</v>
      </c>
      <c r="FT542" s="27">
        <f t="shared" si="535"/>
        <v>0</v>
      </c>
      <c r="FU542" s="27">
        <f t="shared" si="535"/>
        <v>0</v>
      </c>
      <c r="FV542" s="27">
        <f t="shared" si="535"/>
        <v>0</v>
      </c>
      <c r="FW542" s="28"/>
      <c r="FX542" s="29">
        <f t="shared" si="3"/>
        <v>0</v>
      </c>
    </row>
    <row r="543" spans="1:180" ht="18" customHeight="1" x14ac:dyDescent="0.25">
      <c r="A543" s="3" t="str">
        <f>IF(C543&lt;&gt;"","DRG-"&amp;TEXT(538,"000"),"")</f>
        <v/>
      </c>
      <c r="B543" s="33"/>
      <c r="C543" s="33"/>
      <c r="D543" s="33"/>
      <c r="E543" s="33"/>
      <c r="F543" s="33"/>
      <c r="G543" s="33"/>
      <c r="H543" s="33"/>
      <c r="I543" s="33"/>
      <c r="J543" s="33"/>
      <c r="K543" s="33"/>
      <c r="L543" s="37">
        <v>4</v>
      </c>
      <c r="M543" s="30" t="str">
        <f t="shared" si="0"/>
        <v>✘ Pending</v>
      </c>
      <c r="N543" s="30">
        <f t="shared" si="1"/>
        <v>0</v>
      </c>
      <c r="O543" s="31"/>
      <c r="P543" s="32"/>
      <c r="Q543" s="33"/>
      <c r="R543" s="33"/>
      <c r="S543" s="33"/>
      <c r="T543" s="33"/>
      <c r="U543" s="33"/>
      <c r="V543" s="33"/>
      <c r="W543" s="33"/>
      <c r="X543" s="33"/>
      <c r="Y543" s="33"/>
      <c r="Z543" s="33"/>
      <c r="AA543" s="33"/>
      <c r="AB543" s="31"/>
      <c r="AC543" s="32"/>
      <c r="AD543" s="33"/>
      <c r="AE543" s="33"/>
      <c r="AF543" s="33"/>
      <c r="AG543" s="33"/>
      <c r="AH543" s="33"/>
      <c r="AI543" s="33"/>
      <c r="AJ543" s="33"/>
      <c r="AK543" s="33"/>
      <c r="AL543" s="33"/>
      <c r="AM543" s="33"/>
      <c r="AN543" s="33"/>
      <c r="AO543" s="31"/>
      <c r="AP543" s="32"/>
      <c r="AQ543" s="33"/>
      <c r="AR543" s="33"/>
      <c r="AS543" s="33"/>
      <c r="AT543" s="33"/>
      <c r="AU543" s="33"/>
      <c r="AV543" s="33"/>
      <c r="AW543" s="33"/>
      <c r="AX543" s="33"/>
      <c r="AY543" s="33"/>
      <c r="AZ543" s="33"/>
      <c r="BA543" s="33"/>
      <c r="BB543" s="31"/>
      <c r="BC543" s="32"/>
      <c r="BD543" s="33"/>
      <c r="BE543" s="33"/>
      <c r="BF543" s="33"/>
      <c r="BG543" s="33"/>
      <c r="BH543" s="33"/>
      <c r="BI543" s="33"/>
      <c r="BJ543" s="33"/>
      <c r="BK543" s="33"/>
      <c r="BL543" s="33"/>
      <c r="BM543" s="33"/>
      <c r="BN543" s="33"/>
      <c r="BO543" s="31"/>
      <c r="BP543" s="32"/>
      <c r="BQ543" s="33"/>
      <c r="BR543" s="33"/>
      <c r="BS543" s="33"/>
      <c r="BT543" s="33"/>
      <c r="BU543" s="33"/>
      <c r="BV543" s="33"/>
      <c r="BW543" s="33"/>
      <c r="BX543" s="33"/>
      <c r="BY543" s="33"/>
      <c r="BZ543" s="33"/>
      <c r="CA543" s="33"/>
      <c r="CB543" s="31"/>
      <c r="CC543" s="32"/>
      <c r="CD543" s="33"/>
      <c r="CE543" s="33"/>
      <c r="CF543" s="33"/>
      <c r="CG543" s="33"/>
      <c r="CH543" s="33"/>
      <c r="CI543" s="33"/>
      <c r="CJ543" s="33"/>
      <c r="CK543" s="33"/>
      <c r="CL543" s="33"/>
      <c r="CM543" s="33"/>
      <c r="CN543" s="33"/>
      <c r="CO543" s="31"/>
      <c r="CP543" s="32"/>
      <c r="CQ543" s="33"/>
      <c r="CR543" s="33"/>
      <c r="CS543" s="33"/>
      <c r="CT543" s="33"/>
      <c r="CU543" s="33"/>
      <c r="CV543" s="33"/>
      <c r="CW543" s="33"/>
      <c r="CX543" s="33"/>
      <c r="CY543" s="33"/>
      <c r="CZ543" s="33"/>
      <c r="DA543" s="33"/>
      <c r="DB543" s="31"/>
      <c r="DC543" s="32"/>
      <c r="DD543" s="33"/>
      <c r="DE543" s="33"/>
      <c r="DF543" s="33"/>
      <c r="DG543" s="33"/>
      <c r="DH543" s="33"/>
      <c r="DI543" s="33"/>
      <c r="DJ543" s="33"/>
      <c r="DK543" s="33"/>
      <c r="DL543" s="33"/>
      <c r="DM543" s="33"/>
      <c r="DN543" s="33"/>
      <c r="DO543" s="31"/>
      <c r="DP543" s="32"/>
      <c r="DQ543" s="33"/>
      <c r="DR543" s="33"/>
      <c r="DS543" s="33"/>
      <c r="DT543" s="33"/>
      <c r="DU543" s="33"/>
      <c r="DV543" s="33"/>
      <c r="DW543" s="33"/>
      <c r="DX543" s="33"/>
      <c r="DY543" s="33"/>
      <c r="DZ543" s="33"/>
      <c r="EA543" s="33"/>
      <c r="EB543" s="31"/>
      <c r="EC543" s="32"/>
      <c r="ED543" s="33"/>
      <c r="EE543" s="33"/>
      <c r="EF543" s="33"/>
      <c r="EG543" s="33"/>
      <c r="EH543" s="33"/>
      <c r="EI543" s="33"/>
      <c r="EJ543" s="33"/>
      <c r="EK543" s="33"/>
      <c r="EL543" s="33"/>
      <c r="EM543" s="33"/>
      <c r="EN543" s="33"/>
      <c r="EO543" s="31"/>
      <c r="EP543" s="32"/>
      <c r="EQ543" s="33"/>
      <c r="ER543" s="33"/>
      <c r="ES543" s="33"/>
      <c r="ET543" s="33"/>
      <c r="EU543" s="33"/>
      <c r="EV543" s="33"/>
      <c r="EW543" s="33"/>
      <c r="EX543" s="33"/>
      <c r="EY543" s="33"/>
      <c r="EZ543" s="33"/>
      <c r="FA543" s="33"/>
      <c r="FB543" s="31"/>
      <c r="FC543" s="32"/>
      <c r="FD543" s="33"/>
      <c r="FE543" s="33"/>
      <c r="FF543" s="33"/>
      <c r="FG543" s="33"/>
      <c r="FH543" s="33"/>
      <c r="FI543" s="33"/>
      <c r="FJ543" s="33"/>
      <c r="FK543" s="33"/>
      <c r="FL543" s="33"/>
      <c r="FM543" s="33"/>
      <c r="FN543" s="33"/>
      <c r="FO543" s="34">
        <f t="shared" ref="FO543:FV543" si="536">IFERROR(R543*1,0)+IFERROR(AE543*1,0)+IFERROR(AR543*1,0)+IFERROR(BE543*1,0)+IFERROR(BR543*1,0)+IFERROR(CE543*1,0)+IFERROR(CR543*1,0)+IFERROR(DE543*1,0)+IFERROR(DR543*1,0)+IFERROR(EE543*1,0)+IFERROR(ER543*1,0)+IFERROR(FE543*1,0)</f>
        <v>0</v>
      </c>
      <c r="FP543" s="34">
        <f t="shared" si="536"/>
        <v>0</v>
      </c>
      <c r="FQ543" s="34">
        <f t="shared" si="536"/>
        <v>0</v>
      </c>
      <c r="FR543" s="34">
        <f t="shared" si="536"/>
        <v>0</v>
      </c>
      <c r="FS543" s="34">
        <f t="shared" si="536"/>
        <v>0</v>
      </c>
      <c r="FT543" s="34">
        <f t="shared" si="536"/>
        <v>0</v>
      </c>
      <c r="FU543" s="34">
        <f t="shared" si="536"/>
        <v>0</v>
      </c>
      <c r="FV543" s="34">
        <f t="shared" si="536"/>
        <v>0</v>
      </c>
      <c r="FW543" s="28"/>
      <c r="FX543" s="29">
        <f t="shared" si="3"/>
        <v>0</v>
      </c>
    </row>
    <row r="544" spans="1:180" ht="18" customHeight="1" x14ac:dyDescent="0.25">
      <c r="A544" s="3" t="str">
        <f>IF(C544&lt;&gt;"","DRG-"&amp;TEXT(539,"000"),"")</f>
        <v/>
      </c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38">
        <v>4</v>
      </c>
      <c r="M544" s="23" t="str">
        <f t="shared" si="0"/>
        <v>✘ Pending</v>
      </c>
      <c r="N544" s="23">
        <f t="shared" si="1"/>
        <v>0</v>
      </c>
      <c r="O544" s="25"/>
      <c r="P544" s="26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  <c r="AB544" s="25"/>
      <c r="AC544" s="26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5"/>
      <c r="AP544" s="26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5"/>
      <c r="BC544" s="26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5"/>
      <c r="BP544" s="26"/>
      <c r="BQ544" s="24"/>
      <c r="BR544" s="24"/>
      <c r="BS544" s="24"/>
      <c r="BT544" s="24"/>
      <c r="BU544" s="24"/>
      <c r="BV544" s="24"/>
      <c r="BW544" s="24"/>
      <c r="BX544" s="24"/>
      <c r="BY544" s="24"/>
      <c r="BZ544" s="24"/>
      <c r="CA544" s="24"/>
      <c r="CB544" s="25"/>
      <c r="CC544" s="26"/>
      <c r="CD544" s="24"/>
      <c r="CE544" s="24"/>
      <c r="CF544" s="24"/>
      <c r="CG544" s="24"/>
      <c r="CH544" s="24"/>
      <c r="CI544" s="24"/>
      <c r="CJ544" s="24"/>
      <c r="CK544" s="24"/>
      <c r="CL544" s="24"/>
      <c r="CM544" s="24"/>
      <c r="CN544" s="24"/>
      <c r="CO544" s="25"/>
      <c r="CP544" s="26"/>
      <c r="CQ544" s="24"/>
      <c r="CR544" s="24"/>
      <c r="CS544" s="24"/>
      <c r="CT544" s="24"/>
      <c r="CU544" s="24"/>
      <c r="CV544" s="24"/>
      <c r="CW544" s="24"/>
      <c r="CX544" s="24"/>
      <c r="CY544" s="24"/>
      <c r="CZ544" s="24"/>
      <c r="DA544" s="24"/>
      <c r="DB544" s="25"/>
      <c r="DC544" s="26"/>
      <c r="DD544" s="24"/>
      <c r="DE544" s="24"/>
      <c r="DF544" s="24"/>
      <c r="DG544" s="24"/>
      <c r="DH544" s="24"/>
      <c r="DI544" s="24"/>
      <c r="DJ544" s="24"/>
      <c r="DK544" s="24"/>
      <c r="DL544" s="24"/>
      <c r="DM544" s="24"/>
      <c r="DN544" s="24"/>
      <c r="DO544" s="25"/>
      <c r="DP544" s="26"/>
      <c r="DQ544" s="24"/>
      <c r="DR544" s="24"/>
      <c r="DS544" s="24"/>
      <c r="DT544" s="24"/>
      <c r="DU544" s="24"/>
      <c r="DV544" s="24"/>
      <c r="DW544" s="24"/>
      <c r="DX544" s="24"/>
      <c r="DY544" s="24"/>
      <c r="DZ544" s="24"/>
      <c r="EA544" s="24"/>
      <c r="EB544" s="25"/>
      <c r="EC544" s="26"/>
      <c r="ED544" s="24"/>
      <c r="EE544" s="24"/>
      <c r="EF544" s="24"/>
      <c r="EG544" s="24"/>
      <c r="EH544" s="24"/>
      <c r="EI544" s="24"/>
      <c r="EJ544" s="24"/>
      <c r="EK544" s="24"/>
      <c r="EL544" s="24"/>
      <c r="EM544" s="24"/>
      <c r="EN544" s="24"/>
      <c r="EO544" s="25"/>
      <c r="EP544" s="26"/>
      <c r="EQ544" s="24"/>
      <c r="ER544" s="24"/>
      <c r="ES544" s="24"/>
      <c r="ET544" s="24"/>
      <c r="EU544" s="24"/>
      <c r="EV544" s="24"/>
      <c r="EW544" s="24"/>
      <c r="EX544" s="24"/>
      <c r="EY544" s="24"/>
      <c r="EZ544" s="24"/>
      <c r="FA544" s="24"/>
      <c r="FB544" s="25"/>
      <c r="FC544" s="26"/>
      <c r="FD544" s="24"/>
      <c r="FE544" s="24"/>
      <c r="FF544" s="24"/>
      <c r="FG544" s="24"/>
      <c r="FH544" s="24"/>
      <c r="FI544" s="24"/>
      <c r="FJ544" s="24"/>
      <c r="FK544" s="24"/>
      <c r="FL544" s="24"/>
      <c r="FM544" s="24"/>
      <c r="FN544" s="24"/>
      <c r="FO544" s="27">
        <f t="shared" ref="FO544:FV544" si="537">IFERROR(R544*1,0)+IFERROR(AE544*1,0)+IFERROR(AR544*1,0)+IFERROR(BE544*1,0)+IFERROR(BR544*1,0)+IFERROR(CE544*1,0)+IFERROR(CR544*1,0)+IFERROR(DE544*1,0)+IFERROR(DR544*1,0)+IFERROR(EE544*1,0)+IFERROR(ER544*1,0)+IFERROR(FE544*1,0)</f>
        <v>0</v>
      </c>
      <c r="FP544" s="27">
        <f t="shared" si="537"/>
        <v>0</v>
      </c>
      <c r="FQ544" s="27">
        <f t="shared" si="537"/>
        <v>0</v>
      </c>
      <c r="FR544" s="27">
        <f t="shared" si="537"/>
        <v>0</v>
      </c>
      <c r="FS544" s="27">
        <f t="shared" si="537"/>
        <v>0</v>
      </c>
      <c r="FT544" s="27">
        <f t="shared" si="537"/>
        <v>0</v>
      </c>
      <c r="FU544" s="27">
        <f t="shared" si="537"/>
        <v>0</v>
      </c>
      <c r="FV544" s="27">
        <f t="shared" si="537"/>
        <v>0</v>
      </c>
      <c r="FW544" s="28"/>
      <c r="FX544" s="29">
        <f t="shared" si="3"/>
        <v>0</v>
      </c>
    </row>
    <row r="545" spans="1:180" ht="18" customHeight="1" x14ac:dyDescent="0.25">
      <c r="A545" s="3" t="str">
        <f>IF(C545&lt;&gt;"","DRG-"&amp;TEXT(540,"000"),"")</f>
        <v/>
      </c>
      <c r="B545" s="33"/>
      <c r="C545" s="33"/>
      <c r="D545" s="33"/>
      <c r="E545" s="33"/>
      <c r="F545" s="33"/>
      <c r="G545" s="33"/>
      <c r="H545" s="33"/>
      <c r="I545" s="33"/>
      <c r="J545" s="33"/>
      <c r="K545" s="33"/>
      <c r="L545" s="37">
        <v>4</v>
      </c>
      <c r="M545" s="30" t="str">
        <f t="shared" si="0"/>
        <v>✘ Pending</v>
      </c>
      <c r="N545" s="30">
        <f t="shared" si="1"/>
        <v>0</v>
      </c>
      <c r="O545" s="31"/>
      <c r="P545" s="32"/>
      <c r="Q545" s="33"/>
      <c r="R545" s="33"/>
      <c r="S545" s="33"/>
      <c r="T545" s="33"/>
      <c r="U545" s="33"/>
      <c r="V545" s="33"/>
      <c r="W545" s="33"/>
      <c r="X545" s="33"/>
      <c r="Y545" s="33"/>
      <c r="Z545" s="33"/>
      <c r="AA545" s="33"/>
      <c r="AB545" s="31"/>
      <c r="AC545" s="32"/>
      <c r="AD545" s="33"/>
      <c r="AE545" s="33"/>
      <c r="AF545" s="33"/>
      <c r="AG545" s="33"/>
      <c r="AH545" s="33"/>
      <c r="AI545" s="33"/>
      <c r="AJ545" s="33"/>
      <c r="AK545" s="33"/>
      <c r="AL545" s="33"/>
      <c r="AM545" s="33"/>
      <c r="AN545" s="33"/>
      <c r="AO545" s="31"/>
      <c r="AP545" s="32"/>
      <c r="AQ545" s="33"/>
      <c r="AR545" s="33"/>
      <c r="AS545" s="33"/>
      <c r="AT545" s="33"/>
      <c r="AU545" s="33"/>
      <c r="AV545" s="33"/>
      <c r="AW545" s="33"/>
      <c r="AX545" s="33"/>
      <c r="AY545" s="33"/>
      <c r="AZ545" s="33"/>
      <c r="BA545" s="33"/>
      <c r="BB545" s="31"/>
      <c r="BC545" s="32"/>
      <c r="BD545" s="33"/>
      <c r="BE545" s="33"/>
      <c r="BF545" s="33"/>
      <c r="BG545" s="33"/>
      <c r="BH545" s="33"/>
      <c r="BI545" s="33"/>
      <c r="BJ545" s="33"/>
      <c r="BK545" s="33"/>
      <c r="BL545" s="33"/>
      <c r="BM545" s="33"/>
      <c r="BN545" s="33"/>
      <c r="BO545" s="31"/>
      <c r="BP545" s="32"/>
      <c r="BQ545" s="33"/>
      <c r="BR545" s="33"/>
      <c r="BS545" s="33"/>
      <c r="BT545" s="33"/>
      <c r="BU545" s="33"/>
      <c r="BV545" s="33"/>
      <c r="BW545" s="33"/>
      <c r="BX545" s="33"/>
      <c r="BY545" s="33"/>
      <c r="BZ545" s="33"/>
      <c r="CA545" s="33"/>
      <c r="CB545" s="31"/>
      <c r="CC545" s="32"/>
      <c r="CD545" s="33"/>
      <c r="CE545" s="33"/>
      <c r="CF545" s="33"/>
      <c r="CG545" s="33"/>
      <c r="CH545" s="33"/>
      <c r="CI545" s="33"/>
      <c r="CJ545" s="33"/>
      <c r="CK545" s="33"/>
      <c r="CL545" s="33"/>
      <c r="CM545" s="33"/>
      <c r="CN545" s="33"/>
      <c r="CO545" s="31"/>
      <c r="CP545" s="32"/>
      <c r="CQ545" s="33"/>
      <c r="CR545" s="33"/>
      <c r="CS545" s="33"/>
      <c r="CT545" s="33"/>
      <c r="CU545" s="33"/>
      <c r="CV545" s="33"/>
      <c r="CW545" s="33"/>
      <c r="CX545" s="33"/>
      <c r="CY545" s="33"/>
      <c r="CZ545" s="33"/>
      <c r="DA545" s="33"/>
      <c r="DB545" s="31"/>
      <c r="DC545" s="32"/>
      <c r="DD545" s="33"/>
      <c r="DE545" s="33"/>
      <c r="DF545" s="33"/>
      <c r="DG545" s="33"/>
      <c r="DH545" s="33"/>
      <c r="DI545" s="33"/>
      <c r="DJ545" s="33"/>
      <c r="DK545" s="33"/>
      <c r="DL545" s="33"/>
      <c r="DM545" s="33"/>
      <c r="DN545" s="33"/>
      <c r="DO545" s="31"/>
      <c r="DP545" s="32"/>
      <c r="DQ545" s="33"/>
      <c r="DR545" s="33"/>
      <c r="DS545" s="33"/>
      <c r="DT545" s="33"/>
      <c r="DU545" s="33"/>
      <c r="DV545" s="33"/>
      <c r="DW545" s="33"/>
      <c r="DX545" s="33"/>
      <c r="DY545" s="33"/>
      <c r="DZ545" s="33"/>
      <c r="EA545" s="33"/>
      <c r="EB545" s="31"/>
      <c r="EC545" s="32"/>
      <c r="ED545" s="33"/>
      <c r="EE545" s="33"/>
      <c r="EF545" s="33"/>
      <c r="EG545" s="33"/>
      <c r="EH545" s="33"/>
      <c r="EI545" s="33"/>
      <c r="EJ545" s="33"/>
      <c r="EK545" s="33"/>
      <c r="EL545" s="33"/>
      <c r="EM545" s="33"/>
      <c r="EN545" s="33"/>
      <c r="EO545" s="31"/>
      <c r="EP545" s="32"/>
      <c r="EQ545" s="33"/>
      <c r="ER545" s="33"/>
      <c r="ES545" s="33"/>
      <c r="ET545" s="33"/>
      <c r="EU545" s="33"/>
      <c r="EV545" s="33"/>
      <c r="EW545" s="33"/>
      <c r="EX545" s="33"/>
      <c r="EY545" s="33"/>
      <c r="EZ545" s="33"/>
      <c r="FA545" s="33"/>
      <c r="FB545" s="31"/>
      <c r="FC545" s="32"/>
      <c r="FD545" s="33"/>
      <c r="FE545" s="33"/>
      <c r="FF545" s="33"/>
      <c r="FG545" s="33"/>
      <c r="FH545" s="33"/>
      <c r="FI545" s="33"/>
      <c r="FJ545" s="33"/>
      <c r="FK545" s="33"/>
      <c r="FL545" s="33"/>
      <c r="FM545" s="33"/>
      <c r="FN545" s="33"/>
      <c r="FO545" s="34">
        <f t="shared" ref="FO545:FV545" si="538">IFERROR(R545*1,0)+IFERROR(AE545*1,0)+IFERROR(AR545*1,0)+IFERROR(BE545*1,0)+IFERROR(BR545*1,0)+IFERROR(CE545*1,0)+IFERROR(CR545*1,0)+IFERROR(DE545*1,0)+IFERROR(DR545*1,0)+IFERROR(EE545*1,0)+IFERROR(ER545*1,0)+IFERROR(FE545*1,0)</f>
        <v>0</v>
      </c>
      <c r="FP545" s="34">
        <f t="shared" si="538"/>
        <v>0</v>
      </c>
      <c r="FQ545" s="34">
        <f t="shared" si="538"/>
        <v>0</v>
      </c>
      <c r="FR545" s="34">
        <f t="shared" si="538"/>
        <v>0</v>
      </c>
      <c r="FS545" s="34">
        <f t="shared" si="538"/>
        <v>0</v>
      </c>
      <c r="FT545" s="34">
        <f t="shared" si="538"/>
        <v>0</v>
      </c>
      <c r="FU545" s="34">
        <f t="shared" si="538"/>
        <v>0</v>
      </c>
      <c r="FV545" s="34">
        <f t="shared" si="538"/>
        <v>0</v>
      </c>
      <c r="FW545" s="28"/>
      <c r="FX545" s="29">
        <f t="shared" si="3"/>
        <v>0</v>
      </c>
    </row>
    <row r="546" spans="1:180" ht="18" customHeight="1" x14ac:dyDescent="0.25">
      <c r="A546" s="3" t="str">
        <f>IF(C546&lt;&gt;"","DRG-"&amp;TEXT(541,"000"),"")</f>
        <v/>
      </c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38">
        <v>4</v>
      </c>
      <c r="M546" s="23" t="str">
        <f t="shared" si="0"/>
        <v>✘ Pending</v>
      </c>
      <c r="N546" s="23">
        <f t="shared" si="1"/>
        <v>0</v>
      </c>
      <c r="O546" s="25"/>
      <c r="P546" s="26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  <c r="AB546" s="25"/>
      <c r="AC546" s="26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5"/>
      <c r="AP546" s="26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5"/>
      <c r="BC546" s="26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5"/>
      <c r="BP546" s="26"/>
      <c r="BQ546" s="24"/>
      <c r="BR546" s="24"/>
      <c r="BS546" s="24"/>
      <c r="BT546" s="24"/>
      <c r="BU546" s="24"/>
      <c r="BV546" s="24"/>
      <c r="BW546" s="24"/>
      <c r="BX546" s="24"/>
      <c r="BY546" s="24"/>
      <c r="BZ546" s="24"/>
      <c r="CA546" s="24"/>
      <c r="CB546" s="25"/>
      <c r="CC546" s="26"/>
      <c r="CD546" s="24"/>
      <c r="CE546" s="24"/>
      <c r="CF546" s="24"/>
      <c r="CG546" s="24"/>
      <c r="CH546" s="24"/>
      <c r="CI546" s="24"/>
      <c r="CJ546" s="24"/>
      <c r="CK546" s="24"/>
      <c r="CL546" s="24"/>
      <c r="CM546" s="24"/>
      <c r="CN546" s="24"/>
      <c r="CO546" s="25"/>
      <c r="CP546" s="26"/>
      <c r="CQ546" s="24"/>
      <c r="CR546" s="24"/>
      <c r="CS546" s="24"/>
      <c r="CT546" s="24"/>
      <c r="CU546" s="24"/>
      <c r="CV546" s="24"/>
      <c r="CW546" s="24"/>
      <c r="CX546" s="24"/>
      <c r="CY546" s="24"/>
      <c r="CZ546" s="24"/>
      <c r="DA546" s="24"/>
      <c r="DB546" s="25"/>
      <c r="DC546" s="26"/>
      <c r="DD546" s="24"/>
      <c r="DE546" s="24"/>
      <c r="DF546" s="24"/>
      <c r="DG546" s="24"/>
      <c r="DH546" s="24"/>
      <c r="DI546" s="24"/>
      <c r="DJ546" s="24"/>
      <c r="DK546" s="24"/>
      <c r="DL546" s="24"/>
      <c r="DM546" s="24"/>
      <c r="DN546" s="24"/>
      <c r="DO546" s="25"/>
      <c r="DP546" s="26"/>
      <c r="DQ546" s="24"/>
      <c r="DR546" s="24"/>
      <c r="DS546" s="24"/>
      <c r="DT546" s="24"/>
      <c r="DU546" s="24"/>
      <c r="DV546" s="24"/>
      <c r="DW546" s="24"/>
      <c r="DX546" s="24"/>
      <c r="DY546" s="24"/>
      <c r="DZ546" s="24"/>
      <c r="EA546" s="24"/>
      <c r="EB546" s="25"/>
      <c r="EC546" s="26"/>
      <c r="ED546" s="24"/>
      <c r="EE546" s="24"/>
      <c r="EF546" s="24"/>
      <c r="EG546" s="24"/>
      <c r="EH546" s="24"/>
      <c r="EI546" s="24"/>
      <c r="EJ546" s="24"/>
      <c r="EK546" s="24"/>
      <c r="EL546" s="24"/>
      <c r="EM546" s="24"/>
      <c r="EN546" s="24"/>
      <c r="EO546" s="25"/>
      <c r="EP546" s="26"/>
      <c r="EQ546" s="24"/>
      <c r="ER546" s="24"/>
      <c r="ES546" s="24"/>
      <c r="ET546" s="24"/>
      <c r="EU546" s="24"/>
      <c r="EV546" s="24"/>
      <c r="EW546" s="24"/>
      <c r="EX546" s="24"/>
      <c r="EY546" s="24"/>
      <c r="EZ546" s="24"/>
      <c r="FA546" s="24"/>
      <c r="FB546" s="25"/>
      <c r="FC546" s="26"/>
      <c r="FD546" s="24"/>
      <c r="FE546" s="24"/>
      <c r="FF546" s="24"/>
      <c r="FG546" s="24"/>
      <c r="FH546" s="24"/>
      <c r="FI546" s="24"/>
      <c r="FJ546" s="24"/>
      <c r="FK546" s="24"/>
      <c r="FL546" s="24"/>
      <c r="FM546" s="24"/>
      <c r="FN546" s="24"/>
      <c r="FO546" s="27">
        <f t="shared" ref="FO546:FV546" si="539">IFERROR(R546*1,0)+IFERROR(AE546*1,0)+IFERROR(AR546*1,0)+IFERROR(BE546*1,0)+IFERROR(BR546*1,0)+IFERROR(CE546*1,0)+IFERROR(CR546*1,0)+IFERROR(DE546*1,0)+IFERROR(DR546*1,0)+IFERROR(EE546*1,0)+IFERROR(ER546*1,0)+IFERROR(FE546*1,0)</f>
        <v>0</v>
      </c>
      <c r="FP546" s="27">
        <f t="shared" si="539"/>
        <v>0</v>
      </c>
      <c r="FQ546" s="27">
        <f t="shared" si="539"/>
        <v>0</v>
      </c>
      <c r="FR546" s="27">
        <f t="shared" si="539"/>
        <v>0</v>
      </c>
      <c r="FS546" s="27">
        <f t="shared" si="539"/>
        <v>0</v>
      </c>
      <c r="FT546" s="27">
        <f t="shared" si="539"/>
        <v>0</v>
      </c>
      <c r="FU546" s="27">
        <f t="shared" si="539"/>
        <v>0</v>
      </c>
      <c r="FV546" s="27">
        <f t="shared" si="539"/>
        <v>0</v>
      </c>
      <c r="FW546" s="28"/>
      <c r="FX546" s="29">
        <f t="shared" si="3"/>
        <v>0</v>
      </c>
    </row>
    <row r="547" spans="1:180" ht="18" customHeight="1" x14ac:dyDescent="0.25">
      <c r="A547" s="3" t="str">
        <f>IF(C547&lt;&gt;"","DRG-"&amp;TEXT(542,"000"),"")</f>
        <v/>
      </c>
      <c r="B547" s="33"/>
      <c r="C547" s="33"/>
      <c r="D547" s="33"/>
      <c r="E547" s="33"/>
      <c r="F547" s="33"/>
      <c r="G547" s="33"/>
      <c r="H547" s="33"/>
      <c r="I547" s="33"/>
      <c r="J547" s="33"/>
      <c r="K547" s="33"/>
      <c r="L547" s="37">
        <v>4</v>
      </c>
      <c r="M547" s="30" t="str">
        <f t="shared" si="0"/>
        <v>✘ Pending</v>
      </c>
      <c r="N547" s="30">
        <f t="shared" si="1"/>
        <v>0</v>
      </c>
      <c r="O547" s="31"/>
      <c r="P547" s="32"/>
      <c r="Q547" s="33"/>
      <c r="R547" s="33"/>
      <c r="S547" s="33"/>
      <c r="T547" s="33"/>
      <c r="U547" s="33"/>
      <c r="V547" s="33"/>
      <c r="W547" s="33"/>
      <c r="X547" s="33"/>
      <c r="Y547" s="33"/>
      <c r="Z547" s="33"/>
      <c r="AA547" s="33"/>
      <c r="AB547" s="31"/>
      <c r="AC547" s="32"/>
      <c r="AD547" s="33"/>
      <c r="AE547" s="33"/>
      <c r="AF547" s="33"/>
      <c r="AG547" s="33"/>
      <c r="AH547" s="33"/>
      <c r="AI547" s="33"/>
      <c r="AJ547" s="33"/>
      <c r="AK547" s="33"/>
      <c r="AL547" s="33"/>
      <c r="AM547" s="33"/>
      <c r="AN547" s="33"/>
      <c r="AO547" s="31"/>
      <c r="AP547" s="32"/>
      <c r="AQ547" s="33"/>
      <c r="AR547" s="33"/>
      <c r="AS547" s="33"/>
      <c r="AT547" s="33"/>
      <c r="AU547" s="33"/>
      <c r="AV547" s="33"/>
      <c r="AW547" s="33"/>
      <c r="AX547" s="33"/>
      <c r="AY547" s="33"/>
      <c r="AZ547" s="33"/>
      <c r="BA547" s="33"/>
      <c r="BB547" s="31"/>
      <c r="BC547" s="32"/>
      <c r="BD547" s="33"/>
      <c r="BE547" s="33"/>
      <c r="BF547" s="33"/>
      <c r="BG547" s="33"/>
      <c r="BH547" s="33"/>
      <c r="BI547" s="33"/>
      <c r="BJ547" s="33"/>
      <c r="BK547" s="33"/>
      <c r="BL547" s="33"/>
      <c r="BM547" s="33"/>
      <c r="BN547" s="33"/>
      <c r="BO547" s="31"/>
      <c r="BP547" s="32"/>
      <c r="BQ547" s="33"/>
      <c r="BR547" s="33"/>
      <c r="BS547" s="33"/>
      <c r="BT547" s="33"/>
      <c r="BU547" s="33"/>
      <c r="BV547" s="33"/>
      <c r="BW547" s="33"/>
      <c r="BX547" s="33"/>
      <c r="BY547" s="33"/>
      <c r="BZ547" s="33"/>
      <c r="CA547" s="33"/>
      <c r="CB547" s="31"/>
      <c r="CC547" s="32"/>
      <c r="CD547" s="33"/>
      <c r="CE547" s="33"/>
      <c r="CF547" s="33"/>
      <c r="CG547" s="33"/>
      <c r="CH547" s="33"/>
      <c r="CI547" s="33"/>
      <c r="CJ547" s="33"/>
      <c r="CK547" s="33"/>
      <c r="CL547" s="33"/>
      <c r="CM547" s="33"/>
      <c r="CN547" s="33"/>
      <c r="CO547" s="31"/>
      <c r="CP547" s="32"/>
      <c r="CQ547" s="33"/>
      <c r="CR547" s="33"/>
      <c r="CS547" s="33"/>
      <c r="CT547" s="33"/>
      <c r="CU547" s="33"/>
      <c r="CV547" s="33"/>
      <c r="CW547" s="33"/>
      <c r="CX547" s="33"/>
      <c r="CY547" s="33"/>
      <c r="CZ547" s="33"/>
      <c r="DA547" s="33"/>
      <c r="DB547" s="31"/>
      <c r="DC547" s="32"/>
      <c r="DD547" s="33"/>
      <c r="DE547" s="33"/>
      <c r="DF547" s="33"/>
      <c r="DG547" s="33"/>
      <c r="DH547" s="33"/>
      <c r="DI547" s="33"/>
      <c r="DJ547" s="33"/>
      <c r="DK547" s="33"/>
      <c r="DL547" s="33"/>
      <c r="DM547" s="33"/>
      <c r="DN547" s="33"/>
      <c r="DO547" s="31"/>
      <c r="DP547" s="32"/>
      <c r="DQ547" s="33"/>
      <c r="DR547" s="33"/>
      <c r="DS547" s="33"/>
      <c r="DT547" s="33"/>
      <c r="DU547" s="33"/>
      <c r="DV547" s="33"/>
      <c r="DW547" s="33"/>
      <c r="DX547" s="33"/>
      <c r="DY547" s="33"/>
      <c r="DZ547" s="33"/>
      <c r="EA547" s="33"/>
      <c r="EB547" s="31"/>
      <c r="EC547" s="32"/>
      <c r="ED547" s="33"/>
      <c r="EE547" s="33"/>
      <c r="EF547" s="33"/>
      <c r="EG547" s="33"/>
      <c r="EH547" s="33"/>
      <c r="EI547" s="33"/>
      <c r="EJ547" s="33"/>
      <c r="EK547" s="33"/>
      <c r="EL547" s="33"/>
      <c r="EM547" s="33"/>
      <c r="EN547" s="33"/>
      <c r="EO547" s="31"/>
      <c r="EP547" s="32"/>
      <c r="EQ547" s="33"/>
      <c r="ER547" s="33"/>
      <c r="ES547" s="33"/>
      <c r="ET547" s="33"/>
      <c r="EU547" s="33"/>
      <c r="EV547" s="33"/>
      <c r="EW547" s="33"/>
      <c r="EX547" s="33"/>
      <c r="EY547" s="33"/>
      <c r="EZ547" s="33"/>
      <c r="FA547" s="33"/>
      <c r="FB547" s="31"/>
      <c r="FC547" s="32"/>
      <c r="FD547" s="33"/>
      <c r="FE547" s="33"/>
      <c r="FF547" s="33"/>
      <c r="FG547" s="33"/>
      <c r="FH547" s="33"/>
      <c r="FI547" s="33"/>
      <c r="FJ547" s="33"/>
      <c r="FK547" s="33"/>
      <c r="FL547" s="33"/>
      <c r="FM547" s="33"/>
      <c r="FN547" s="33"/>
      <c r="FO547" s="34">
        <f t="shared" ref="FO547:FV547" si="540">IFERROR(R547*1,0)+IFERROR(AE547*1,0)+IFERROR(AR547*1,0)+IFERROR(BE547*1,0)+IFERROR(BR547*1,0)+IFERROR(CE547*1,0)+IFERROR(CR547*1,0)+IFERROR(DE547*1,0)+IFERROR(DR547*1,0)+IFERROR(EE547*1,0)+IFERROR(ER547*1,0)+IFERROR(FE547*1,0)</f>
        <v>0</v>
      </c>
      <c r="FP547" s="34">
        <f t="shared" si="540"/>
        <v>0</v>
      </c>
      <c r="FQ547" s="34">
        <f t="shared" si="540"/>
        <v>0</v>
      </c>
      <c r="FR547" s="34">
        <f t="shared" si="540"/>
        <v>0</v>
      </c>
      <c r="FS547" s="34">
        <f t="shared" si="540"/>
        <v>0</v>
      </c>
      <c r="FT547" s="34">
        <f t="shared" si="540"/>
        <v>0</v>
      </c>
      <c r="FU547" s="34">
        <f t="shared" si="540"/>
        <v>0</v>
      </c>
      <c r="FV547" s="34">
        <f t="shared" si="540"/>
        <v>0</v>
      </c>
      <c r="FW547" s="28"/>
      <c r="FX547" s="29">
        <f t="shared" si="3"/>
        <v>0</v>
      </c>
    </row>
    <row r="548" spans="1:180" ht="18" customHeight="1" x14ac:dyDescent="0.25">
      <c r="A548" s="3" t="str">
        <f>IF(C548&lt;&gt;"","DRG-"&amp;TEXT(543,"000"),"")</f>
        <v/>
      </c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38">
        <v>4</v>
      </c>
      <c r="M548" s="23" t="str">
        <f t="shared" si="0"/>
        <v>✘ Pending</v>
      </c>
      <c r="N548" s="23">
        <f t="shared" si="1"/>
        <v>0</v>
      </c>
      <c r="O548" s="25"/>
      <c r="P548" s="26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  <c r="AB548" s="25"/>
      <c r="AC548" s="26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5"/>
      <c r="AP548" s="26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5"/>
      <c r="BC548" s="26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5"/>
      <c r="BP548" s="26"/>
      <c r="BQ548" s="24"/>
      <c r="BR548" s="24"/>
      <c r="BS548" s="24"/>
      <c r="BT548" s="24"/>
      <c r="BU548" s="24"/>
      <c r="BV548" s="24"/>
      <c r="BW548" s="24"/>
      <c r="BX548" s="24"/>
      <c r="BY548" s="24"/>
      <c r="BZ548" s="24"/>
      <c r="CA548" s="24"/>
      <c r="CB548" s="25"/>
      <c r="CC548" s="26"/>
      <c r="CD548" s="24"/>
      <c r="CE548" s="24"/>
      <c r="CF548" s="24"/>
      <c r="CG548" s="24"/>
      <c r="CH548" s="24"/>
      <c r="CI548" s="24"/>
      <c r="CJ548" s="24"/>
      <c r="CK548" s="24"/>
      <c r="CL548" s="24"/>
      <c r="CM548" s="24"/>
      <c r="CN548" s="24"/>
      <c r="CO548" s="25"/>
      <c r="CP548" s="26"/>
      <c r="CQ548" s="24"/>
      <c r="CR548" s="24"/>
      <c r="CS548" s="24"/>
      <c r="CT548" s="24"/>
      <c r="CU548" s="24"/>
      <c r="CV548" s="24"/>
      <c r="CW548" s="24"/>
      <c r="CX548" s="24"/>
      <c r="CY548" s="24"/>
      <c r="CZ548" s="24"/>
      <c r="DA548" s="24"/>
      <c r="DB548" s="25"/>
      <c r="DC548" s="26"/>
      <c r="DD548" s="24"/>
      <c r="DE548" s="24"/>
      <c r="DF548" s="24"/>
      <c r="DG548" s="24"/>
      <c r="DH548" s="24"/>
      <c r="DI548" s="24"/>
      <c r="DJ548" s="24"/>
      <c r="DK548" s="24"/>
      <c r="DL548" s="24"/>
      <c r="DM548" s="24"/>
      <c r="DN548" s="24"/>
      <c r="DO548" s="25"/>
      <c r="DP548" s="26"/>
      <c r="DQ548" s="24"/>
      <c r="DR548" s="24"/>
      <c r="DS548" s="24"/>
      <c r="DT548" s="24"/>
      <c r="DU548" s="24"/>
      <c r="DV548" s="24"/>
      <c r="DW548" s="24"/>
      <c r="DX548" s="24"/>
      <c r="DY548" s="24"/>
      <c r="DZ548" s="24"/>
      <c r="EA548" s="24"/>
      <c r="EB548" s="25"/>
      <c r="EC548" s="26"/>
      <c r="ED548" s="24"/>
      <c r="EE548" s="24"/>
      <c r="EF548" s="24"/>
      <c r="EG548" s="24"/>
      <c r="EH548" s="24"/>
      <c r="EI548" s="24"/>
      <c r="EJ548" s="24"/>
      <c r="EK548" s="24"/>
      <c r="EL548" s="24"/>
      <c r="EM548" s="24"/>
      <c r="EN548" s="24"/>
      <c r="EO548" s="25"/>
      <c r="EP548" s="26"/>
      <c r="EQ548" s="24"/>
      <c r="ER548" s="24"/>
      <c r="ES548" s="24"/>
      <c r="ET548" s="24"/>
      <c r="EU548" s="24"/>
      <c r="EV548" s="24"/>
      <c r="EW548" s="24"/>
      <c r="EX548" s="24"/>
      <c r="EY548" s="24"/>
      <c r="EZ548" s="24"/>
      <c r="FA548" s="24"/>
      <c r="FB548" s="25"/>
      <c r="FC548" s="26"/>
      <c r="FD548" s="24"/>
      <c r="FE548" s="24"/>
      <c r="FF548" s="24"/>
      <c r="FG548" s="24"/>
      <c r="FH548" s="24"/>
      <c r="FI548" s="24"/>
      <c r="FJ548" s="24"/>
      <c r="FK548" s="24"/>
      <c r="FL548" s="24"/>
      <c r="FM548" s="24"/>
      <c r="FN548" s="24"/>
      <c r="FO548" s="27">
        <f t="shared" ref="FO548:FV548" si="541">IFERROR(R548*1,0)+IFERROR(AE548*1,0)+IFERROR(AR548*1,0)+IFERROR(BE548*1,0)+IFERROR(BR548*1,0)+IFERROR(CE548*1,0)+IFERROR(CR548*1,0)+IFERROR(DE548*1,0)+IFERROR(DR548*1,0)+IFERROR(EE548*1,0)+IFERROR(ER548*1,0)+IFERROR(FE548*1,0)</f>
        <v>0</v>
      </c>
      <c r="FP548" s="27">
        <f t="shared" si="541"/>
        <v>0</v>
      </c>
      <c r="FQ548" s="27">
        <f t="shared" si="541"/>
        <v>0</v>
      </c>
      <c r="FR548" s="27">
        <f t="shared" si="541"/>
        <v>0</v>
      </c>
      <c r="FS548" s="27">
        <f t="shared" si="541"/>
        <v>0</v>
      </c>
      <c r="FT548" s="27">
        <f t="shared" si="541"/>
        <v>0</v>
      </c>
      <c r="FU548" s="27">
        <f t="shared" si="541"/>
        <v>0</v>
      </c>
      <c r="FV548" s="27">
        <f t="shared" si="541"/>
        <v>0</v>
      </c>
      <c r="FW548" s="28"/>
      <c r="FX548" s="29">
        <f t="shared" si="3"/>
        <v>0</v>
      </c>
    </row>
    <row r="549" spans="1:180" ht="18" customHeight="1" x14ac:dyDescent="0.25">
      <c r="A549" s="3" t="str">
        <f>IF(C549&lt;&gt;"","DRG-"&amp;TEXT(544,"000"),"")</f>
        <v/>
      </c>
      <c r="B549" s="33"/>
      <c r="C549" s="33"/>
      <c r="D549" s="33"/>
      <c r="E549" s="33"/>
      <c r="F549" s="33"/>
      <c r="G549" s="33"/>
      <c r="H549" s="33"/>
      <c r="I549" s="33"/>
      <c r="J549" s="33"/>
      <c r="K549" s="33"/>
      <c r="L549" s="37">
        <v>4</v>
      </c>
      <c r="M549" s="30" t="str">
        <f t="shared" si="0"/>
        <v>✘ Pending</v>
      </c>
      <c r="N549" s="30">
        <f t="shared" si="1"/>
        <v>0</v>
      </c>
      <c r="O549" s="31"/>
      <c r="P549" s="32"/>
      <c r="Q549" s="33"/>
      <c r="R549" s="33"/>
      <c r="S549" s="33"/>
      <c r="T549" s="33"/>
      <c r="U549" s="33"/>
      <c r="V549" s="33"/>
      <c r="W549" s="33"/>
      <c r="X549" s="33"/>
      <c r="Y549" s="33"/>
      <c r="Z549" s="33"/>
      <c r="AA549" s="33"/>
      <c r="AB549" s="31"/>
      <c r="AC549" s="32"/>
      <c r="AD549" s="33"/>
      <c r="AE549" s="33"/>
      <c r="AF549" s="33"/>
      <c r="AG549" s="33"/>
      <c r="AH549" s="33"/>
      <c r="AI549" s="33"/>
      <c r="AJ549" s="33"/>
      <c r="AK549" s="33"/>
      <c r="AL549" s="33"/>
      <c r="AM549" s="33"/>
      <c r="AN549" s="33"/>
      <c r="AO549" s="31"/>
      <c r="AP549" s="32"/>
      <c r="AQ549" s="33"/>
      <c r="AR549" s="33"/>
      <c r="AS549" s="33"/>
      <c r="AT549" s="33"/>
      <c r="AU549" s="33"/>
      <c r="AV549" s="33"/>
      <c r="AW549" s="33"/>
      <c r="AX549" s="33"/>
      <c r="AY549" s="33"/>
      <c r="AZ549" s="33"/>
      <c r="BA549" s="33"/>
      <c r="BB549" s="31"/>
      <c r="BC549" s="32"/>
      <c r="BD549" s="33"/>
      <c r="BE549" s="33"/>
      <c r="BF549" s="33"/>
      <c r="BG549" s="33"/>
      <c r="BH549" s="33"/>
      <c r="BI549" s="33"/>
      <c r="BJ549" s="33"/>
      <c r="BK549" s="33"/>
      <c r="BL549" s="33"/>
      <c r="BM549" s="33"/>
      <c r="BN549" s="33"/>
      <c r="BO549" s="31"/>
      <c r="BP549" s="32"/>
      <c r="BQ549" s="33"/>
      <c r="BR549" s="33"/>
      <c r="BS549" s="33"/>
      <c r="BT549" s="33"/>
      <c r="BU549" s="33"/>
      <c r="BV549" s="33"/>
      <c r="BW549" s="33"/>
      <c r="BX549" s="33"/>
      <c r="BY549" s="33"/>
      <c r="BZ549" s="33"/>
      <c r="CA549" s="33"/>
      <c r="CB549" s="31"/>
      <c r="CC549" s="32"/>
      <c r="CD549" s="33"/>
      <c r="CE549" s="33"/>
      <c r="CF549" s="33"/>
      <c r="CG549" s="33"/>
      <c r="CH549" s="33"/>
      <c r="CI549" s="33"/>
      <c r="CJ549" s="33"/>
      <c r="CK549" s="33"/>
      <c r="CL549" s="33"/>
      <c r="CM549" s="33"/>
      <c r="CN549" s="33"/>
      <c r="CO549" s="31"/>
      <c r="CP549" s="32"/>
      <c r="CQ549" s="33"/>
      <c r="CR549" s="33"/>
      <c r="CS549" s="33"/>
      <c r="CT549" s="33"/>
      <c r="CU549" s="33"/>
      <c r="CV549" s="33"/>
      <c r="CW549" s="33"/>
      <c r="CX549" s="33"/>
      <c r="CY549" s="33"/>
      <c r="CZ549" s="33"/>
      <c r="DA549" s="33"/>
      <c r="DB549" s="31"/>
      <c r="DC549" s="32"/>
      <c r="DD549" s="33"/>
      <c r="DE549" s="33"/>
      <c r="DF549" s="33"/>
      <c r="DG549" s="33"/>
      <c r="DH549" s="33"/>
      <c r="DI549" s="33"/>
      <c r="DJ549" s="33"/>
      <c r="DK549" s="33"/>
      <c r="DL549" s="33"/>
      <c r="DM549" s="33"/>
      <c r="DN549" s="33"/>
      <c r="DO549" s="31"/>
      <c r="DP549" s="32"/>
      <c r="DQ549" s="33"/>
      <c r="DR549" s="33"/>
      <c r="DS549" s="33"/>
      <c r="DT549" s="33"/>
      <c r="DU549" s="33"/>
      <c r="DV549" s="33"/>
      <c r="DW549" s="33"/>
      <c r="DX549" s="33"/>
      <c r="DY549" s="33"/>
      <c r="DZ549" s="33"/>
      <c r="EA549" s="33"/>
      <c r="EB549" s="31"/>
      <c r="EC549" s="32"/>
      <c r="ED549" s="33"/>
      <c r="EE549" s="33"/>
      <c r="EF549" s="33"/>
      <c r="EG549" s="33"/>
      <c r="EH549" s="33"/>
      <c r="EI549" s="33"/>
      <c r="EJ549" s="33"/>
      <c r="EK549" s="33"/>
      <c r="EL549" s="33"/>
      <c r="EM549" s="33"/>
      <c r="EN549" s="33"/>
      <c r="EO549" s="31"/>
      <c r="EP549" s="32"/>
      <c r="EQ549" s="33"/>
      <c r="ER549" s="33"/>
      <c r="ES549" s="33"/>
      <c r="ET549" s="33"/>
      <c r="EU549" s="33"/>
      <c r="EV549" s="33"/>
      <c r="EW549" s="33"/>
      <c r="EX549" s="33"/>
      <c r="EY549" s="33"/>
      <c r="EZ549" s="33"/>
      <c r="FA549" s="33"/>
      <c r="FB549" s="31"/>
      <c r="FC549" s="32"/>
      <c r="FD549" s="33"/>
      <c r="FE549" s="33"/>
      <c r="FF549" s="33"/>
      <c r="FG549" s="33"/>
      <c r="FH549" s="33"/>
      <c r="FI549" s="33"/>
      <c r="FJ549" s="33"/>
      <c r="FK549" s="33"/>
      <c r="FL549" s="33"/>
      <c r="FM549" s="33"/>
      <c r="FN549" s="33"/>
      <c r="FO549" s="34">
        <f t="shared" ref="FO549:FV549" si="542">IFERROR(R549*1,0)+IFERROR(AE549*1,0)+IFERROR(AR549*1,0)+IFERROR(BE549*1,0)+IFERROR(BR549*1,0)+IFERROR(CE549*1,0)+IFERROR(CR549*1,0)+IFERROR(DE549*1,0)+IFERROR(DR549*1,0)+IFERROR(EE549*1,0)+IFERROR(ER549*1,0)+IFERROR(FE549*1,0)</f>
        <v>0</v>
      </c>
      <c r="FP549" s="34">
        <f t="shared" si="542"/>
        <v>0</v>
      </c>
      <c r="FQ549" s="34">
        <f t="shared" si="542"/>
        <v>0</v>
      </c>
      <c r="FR549" s="34">
        <f t="shared" si="542"/>
        <v>0</v>
      </c>
      <c r="FS549" s="34">
        <f t="shared" si="542"/>
        <v>0</v>
      </c>
      <c r="FT549" s="34">
        <f t="shared" si="542"/>
        <v>0</v>
      </c>
      <c r="FU549" s="34">
        <f t="shared" si="542"/>
        <v>0</v>
      </c>
      <c r="FV549" s="34">
        <f t="shared" si="542"/>
        <v>0</v>
      </c>
      <c r="FW549" s="28"/>
      <c r="FX549" s="29">
        <f t="shared" si="3"/>
        <v>0</v>
      </c>
    </row>
    <row r="550" spans="1:180" ht="18" customHeight="1" x14ac:dyDescent="0.25">
      <c r="A550" s="3" t="str">
        <f>IF(C550&lt;&gt;"","DRG-"&amp;TEXT(545,"000"),"")</f>
        <v/>
      </c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38">
        <v>4</v>
      </c>
      <c r="M550" s="23" t="str">
        <f t="shared" si="0"/>
        <v>✘ Pending</v>
      </c>
      <c r="N550" s="23">
        <f t="shared" si="1"/>
        <v>0</v>
      </c>
      <c r="O550" s="25"/>
      <c r="P550" s="26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  <c r="AB550" s="25"/>
      <c r="AC550" s="26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5"/>
      <c r="AP550" s="26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5"/>
      <c r="BC550" s="26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5"/>
      <c r="BP550" s="26"/>
      <c r="BQ550" s="24"/>
      <c r="BR550" s="24"/>
      <c r="BS550" s="24"/>
      <c r="BT550" s="24"/>
      <c r="BU550" s="24"/>
      <c r="BV550" s="24"/>
      <c r="BW550" s="24"/>
      <c r="BX550" s="24"/>
      <c r="BY550" s="24"/>
      <c r="BZ550" s="24"/>
      <c r="CA550" s="24"/>
      <c r="CB550" s="25"/>
      <c r="CC550" s="26"/>
      <c r="CD550" s="24"/>
      <c r="CE550" s="24"/>
      <c r="CF550" s="24"/>
      <c r="CG550" s="24"/>
      <c r="CH550" s="24"/>
      <c r="CI550" s="24"/>
      <c r="CJ550" s="24"/>
      <c r="CK550" s="24"/>
      <c r="CL550" s="24"/>
      <c r="CM550" s="24"/>
      <c r="CN550" s="24"/>
      <c r="CO550" s="25"/>
      <c r="CP550" s="26"/>
      <c r="CQ550" s="24"/>
      <c r="CR550" s="24"/>
      <c r="CS550" s="24"/>
      <c r="CT550" s="24"/>
      <c r="CU550" s="24"/>
      <c r="CV550" s="24"/>
      <c r="CW550" s="24"/>
      <c r="CX550" s="24"/>
      <c r="CY550" s="24"/>
      <c r="CZ550" s="24"/>
      <c r="DA550" s="24"/>
      <c r="DB550" s="25"/>
      <c r="DC550" s="26"/>
      <c r="DD550" s="24"/>
      <c r="DE550" s="24"/>
      <c r="DF550" s="24"/>
      <c r="DG550" s="24"/>
      <c r="DH550" s="24"/>
      <c r="DI550" s="24"/>
      <c r="DJ550" s="24"/>
      <c r="DK550" s="24"/>
      <c r="DL550" s="24"/>
      <c r="DM550" s="24"/>
      <c r="DN550" s="24"/>
      <c r="DO550" s="25"/>
      <c r="DP550" s="26"/>
      <c r="DQ550" s="24"/>
      <c r="DR550" s="24"/>
      <c r="DS550" s="24"/>
      <c r="DT550" s="24"/>
      <c r="DU550" s="24"/>
      <c r="DV550" s="24"/>
      <c r="DW550" s="24"/>
      <c r="DX550" s="24"/>
      <c r="DY550" s="24"/>
      <c r="DZ550" s="24"/>
      <c r="EA550" s="24"/>
      <c r="EB550" s="25"/>
      <c r="EC550" s="26"/>
      <c r="ED550" s="24"/>
      <c r="EE550" s="24"/>
      <c r="EF550" s="24"/>
      <c r="EG550" s="24"/>
      <c r="EH550" s="24"/>
      <c r="EI550" s="24"/>
      <c r="EJ550" s="24"/>
      <c r="EK550" s="24"/>
      <c r="EL550" s="24"/>
      <c r="EM550" s="24"/>
      <c r="EN550" s="24"/>
      <c r="EO550" s="25"/>
      <c r="EP550" s="26"/>
      <c r="EQ550" s="24"/>
      <c r="ER550" s="24"/>
      <c r="ES550" s="24"/>
      <c r="ET550" s="24"/>
      <c r="EU550" s="24"/>
      <c r="EV550" s="24"/>
      <c r="EW550" s="24"/>
      <c r="EX550" s="24"/>
      <c r="EY550" s="24"/>
      <c r="EZ550" s="24"/>
      <c r="FA550" s="24"/>
      <c r="FB550" s="25"/>
      <c r="FC550" s="26"/>
      <c r="FD550" s="24"/>
      <c r="FE550" s="24"/>
      <c r="FF550" s="24"/>
      <c r="FG550" s="24"/>
      <c r="FH550" s="24"/>
      <c r="FI550" s="24"/>
      <c r="FJ550" s="24"/>
      <c r="FK550" s="24"/>
      <c r="FL550" s="24"/>
      <c r="FM550" s="24"/>
      <c r="FN550" s="24"/>
      <c r="FO550" s="27">
        <f t="shared" ref="FO550:FV550" si="543">IFERROR(R550*1,0)+IFERROR(AE550*1,0)+IFERROR(AR550*1,0)+IFERROR(BE550*1,0)+IFERROR(BR550*1,0)+IFERROR(CE550*1,0)+IFERROR(CR550*1,0)+IFERROR(DE550*1,0)+IFERROR(DR550*1,0)+IFERROR(EE550*1,0)+IFERROR(ER550*1,0)+IFERROR(FE550*1,0)</f>
        <v>0</v>
      </c>
      <c r="FP550" s="27">
        <f t="shared" si="543"/>
        <v>0</v>
      </c>
      <c r="FQ550" s="27">
        <f t="shared" si="543"/>
        <v>0</v>
      </c>
      <c r="FR550" s="27">
        <f t="shared" si="543"/>
        <v>0</v>
      </c>
      <c r="FS550" s="27">
        <f t="shared" si="543"/>
        <v>0</v>
      </c>
      <c r="FT550" s="27">
        <f t="shared" si="543"/>
        <v>0</v>
      </c>
      <c r="FU550" s="27">
        <f t="shared" si="543"/>
        <v>0</v>
      </c>
      <c r="FV550" s="27">
        <f t="shared" si="543"/>
        <v>0</v>
      </c>
      <c r="FW550" s="28"/>
      <c r="FX550" s="29">
        <f t="shared" si="3"/>
        <v>0</v>
      </c>
    </row>
    <row r="551" spans="1:180" ht="18" customHeight="1" x14ac:dyDescent="0.25">
      <c r="A551" s="3" t="str">
        <f>IF(C551&lt;&gt;"","DRG-"&amp;TEXT(546,"000"),"")</f>
        <v/>
      </c>
      <c r="B551" s="33"/>
      <c r="C551" s="33"/>
      <c r="D551" s="33"/>
      <c r="E551" s="33"/>
      <c r="F551" s="33"/>
      <c r="G551" s="33"/>
      <c r="H551" s="33"/>
      <c r="I551" s="33"/>
      <c r="J551" s="33"/>
      <c r="K551" s="33"/>
      <c r="L551" s="37">
        <v>4</v>
      </c>
      <c r="M551" s="30" t="str">
        <f t="shared" si="0"/>
        <v>✘ Pending</v>
      </c>
      <c r="N551" s="30">
        <f t="shared" si="1"/>
        <v>0</v>
      </c>
      <c r="O551" s="31"/>
      <c r="P551" s="32"/>
      <c r="Q551" s="33"/>
      <c r="R551" s="33"/>
      <c r="S551" s="33"/>
      <c r="T551" s="33"/>
      <c r="U551" s="33"/>
      <c r="V551" s="33"/>
      <c r="W551" s="33"/>
      <c r="X551" s="33"/>
      <c r="Y551" s="33"/>
      <c r="Z551" s="33"/>
      <c r="AA551" s="33"/>
      <c r="AB551" s="31"/>
      <c r="AC551" s="32"/>
      <c r="AD551" s="33"/>
      <c r="AE551" s="33"/>
      <c r="AF551" s="33"/>
      <c r="AG551" s="33"/>
      <c r="AH551" s="33"/>
      <c r="AI551" s="33"/>
      <c r="AJ551" s="33"/>
      <c r="AK551" s="33"/>
      <c r="AL551" s="33"/>
      <c r="AM551" s="33"/>
      <c r="AN551" s="33"/>
      <c r="AO551" s="31"/>
      <c r="AP551" s="32"/>
      <c r="AQ551" s="33"/>
      <c r="AR551" s="33"/>
      <c r="AS551" s="33"/>
      <c r="AT551" s="33"/>
      <c r="AU551" s="33"/>
      <c r="AV551" s="33"/>
      <c r="AW551" s="33"/>
      <c r="AX551" s="33"/>
      <c r="AY551" s="33"/>
      <c r="AZ551" s="33"/>
      <c r="BA551" s="33"/>
      <c r="BB551" s="31"/>
      <c r="BC551" s="32"/>
      <c r="BD551" s="33"/>
      <c r="BE551" s="33"/>
      <c r="BF551" s="33"/>
      <c r="BG551" s="33"/>
      <c r="BH551" s="33"/>
      <c r="BI551" s="33"/>
      <c r="BJ551" s="33"/>
      <c r="BK551" s="33"/>
      <c r="BL551" s="33"/>
      <c r="BM551" s="33"/>
      <c r="BN551" s="33"/>
      <c r="BO551" s="31"/>
      <c r="BP551" s="32"/>
      <c r="BQ551" s="33"/>
      <c r="BR551" s="33"/>
      <c r="BS551" s="33"/>
      <c r="BT551" s="33"/>
      <c r="BU551" s="33"/>
      <c r="BV551" s="33"/>
      <c r="BW551" s="33"/>
      <c r="BX551" s="33"/>
      <c r="BY551" s="33"/>
      <c r="BZ551" s="33"/>
      <c r="CA551" s="33"/>
      <c r="CB551" s="31"/>
      <c r="CC551" s="32"/>
      <c r="CD551" s="33"/>
      <c r="CE551" s="33"/>
      <c r="CF551" s="33"/>
      <c r="CG551" s="33"/>
      <c r="CH551" s="33"/>
      <c r="CI551" s="33"/>
      <c r="CJ551" s="33"/>
      <c r="CK551" s="33"/>
      <c r="CL551" s="33"/>
      <c r="CM551" s="33"/>
      <c r="CN551" s="33"/>
      <c r="CO551" s="31"/>
      <c r="CP551" s="32"/>
      <c r="CQ551" s="33"/>
      <c r="CR551" s="33"/>
      <c r="CS551" s="33"/>
      <c r="CT551" s="33"/>
      <c r="CU551" s="33"/>
      <c r="CV551" s="33"/>
      <c r="CW551" s="33"/>
      <c r="CX551" s="33"/>
      <c r="CY551" s="33"/>
      <c r="CZ551" s="33"/>
      <c r="DA551" s="33"/>
      <c r="DB551" s="31"/>
      <c r="DC551" s="32"/>
      <c r="DD551" s="33"/>
      <c r="DE551" s="33"/>
      <c r="DF551" s="33"/>
      <c r="DG551" s="33"/>
      <c r="DH551" s="33"/>
      <c r="DI551" s="33"/>
      <c r="DJ551" s="33"/>
      <c r="DK551" s="33"/>
      <c r="DL551" s="33"/>
      <c r="DM551" s="33"/>
      <c r="DN551" s="33"/>
      <c r="DO551" s="31"/>
      <c r="DP551" s="32"/>
      <c r="DQ551" s="33"/>
      <c r="DR551" s="33"/>
      <c r="DS551" s="33"/>
      <c r="DT551" s="33"/>
      <c r="DU551" s="33"/>
      <c r="DV551" s="33"/>
      <c r="DW551" s="33"/>
      <c r="DX551" s="33"/>
      <c r="DY551" s="33"/>
      <c r="DZ551" s="33"/>
      <c r="EA551" s="33"/>
      <c r="EB551" s="31"/>
      <c r="EC551" s="32"/>
      <c r="ED551" s="33"/>
      <c r="EE551" s="33"/>
      <c r="EF551" s="33"/>
      <c r="EG551" s="33"/>
      <c r="EH551" s="33"/>
      <c r="EI551" s="33"/>
      <c r="EJ551" s="33"/>
      <c r="EK551" s="33"/>
      <c r="EL551" s="33"/>
      <c r="EM551" s="33"/>
      <c r="EN551" s="33"/>
      <c r="EO551" s="31"/>
      <c r="EP551" s="32"/>
      <c r="EQ551" s="33"/>
      <c r="ER551" s="33"/>
      <c r="ES551" s="33"/>
      <c r="ET551" s="33"/>
      <c r="EU551" s="33"/>
      <c r="EV551" s="33"/>
      <c r="EW551" s="33"/>
      <c r="EX551" s="33"/>
      <c r="EY551" s="33"/>
      <c r="EZ551" s="33"/>
      <c r="FA551" s="33"/>
      <c r="FB551" s="31"/>
      <c r="FC551" s="32"/>
      <c r="FD551" s="33"/>
      <c r="FE551" s="33"/>
      <c r="FF551" s="33"/>
      <c r="FG551" s="33"/>
      <c r="FH551" s="33"/>
      <c r="FI551" s="33"/>
      <c r="FJ551" s="33"/>
      <c r="FK551" s="33"/>
      <c r="FL551" s="33"/>
      <c r="FM551" s="33"/>
      <c r="FN551" s="33"/>
      <c r="FO551" s="34">
        <f t="shared" ref="FO551:FV551" si="544">IFERROR(R551*1,0)+IFERROR(AE551*1,0)+IFERROR(AR551*1,0)+IFERROR(BE551*1,0)+IFERROR(BR551*1,0)+IFERROR(CE551*1,0)+IFERROR(CR551*1,0)+IFERROR(DE551*1,0)+IFERROR(DR551*1,0)+IFERROR(EE551*1,0)+IFERROR(ER551*1,0)+IFERROR(FE551*1,0)</f>
        <v>0</v>
      </c>
      <c r="FP551" s="34">
        <f t="shared" si="544"/>
        <v>0</v>
      </c>
      <c r="FQ551" s="34">
        <f t="shared" si="544"/>
        <v>0</v>
      </c>
      <c r="FR551" s="34">
        <f t="shared" si="544"/>
        <v>0</v>
      </c>
      <c r="FS551" s="34">
        <f t="shared" si="544"/>
        <v>0</v>
      </c>
      <c r="FT551" s="34">
        <f t="shared" si="544"/>
        <v>0</v>
      </c>
      <c r="FU551" s="34">
        <f t="shared" si="544"/>
        <v>0</v>
      </c>
      <c r="FV551" s="34">
        <f t="shared" si="544"/>
        <v>0</v>
      </c>
      <c r="FW551" s="28"/>
      <c r="FX551" s="29">
        <f t="shared" si="3"/>
        <v>0</v>
      </c>
    </row>
    <row r="552" spans="1:180" ht="18" customHeight="1" x14ac:dyDescent="0.25">
      <c r="A552" s="3" t="str">
        <f>IF(C552&lt;&gt;"","DRG-"&amp;TEXT(547,"000"),"")</f>
        <v/>
      </c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38">
        <v>4</v>
      </c>
      <c r="M552" s="23" t="str">
        <f t="shared" si="0"/>
        <v>✘ Pending</v>
      </c>
      <c r="N552" s="23">
        <f t="shared" si="1"/>
        <v>0</v>
      </c>
      <c r="O552" s="25"/>
      <c r="P552" s="26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  <c r="AB552" s="25"/>
      <c r="AC552" s="26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5"/>
      <c r="AP552" s="26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5"/>
      <c r="BC552" s="26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5"/>
      <c r="BP552" s="26"/>
      <c r="BQ552" s="24"/>
      <c r="BR552" s="24"/>
      <c r="BS552" s="24"/>
      <c r="BT552" s="24"/>
      <c r="BU552" s="24"/>
      <c r="BV552" s="24"/>
      <c r="BW552" s="24"/>
      <c r="BX552" s="24"/>
      <c r="BY552" s="24"/>
      <c r="BZ552" s="24"/>
      <c r="CA552" s="24"/>
      <c r="CB552" s="25"/>
      <c r="CC552" s="26"/>
      <c r="CD552" s="24"/>
      <c r="CE552" s="24"/>
      <c r="CF552" s="24"/>
      <c r="CG552" s="24"/>
      <c r="CH552" s="24"/>
      <c r="CI552" s="24"/>
      <c r="CJ552" s="24"/>
      <c r="CK552" s="24"/>
      <c r="CL552" s="24"/>
      <c r="CM552" s="24"/>
      <c r="CN552" s="24"/>
      <c r="CO552" s="25"/>
      <c r="CP552" s="26"/>
      <c r="CQ552" s="24"/>
      <c r="CR552" s="24"/>
      <c r="CS552" s="24"/>
      <c r="CT552" s="24"/>
      <c r="CU552" s="24"/>
      <c r="CV552" s="24"/>
      <c r="CW552" s="24"/>
      <c r="CX552" s="24"/>
      <c r="CY552" s="24"/>
      <c r="CZ552" s="24"/>
      <c r="DA552" s="24"/>
      <c r="DB552" s="25"/>
      <c r="DC552" s="26"/>
      <c r="DD552" s="24"/>
      <c r="DE552" s="24"/>
      <c r="DF552" s="24"/>
      <c r="DG552" s="24"/>
      <c r="DH552" s="24"/>
      <c r="DI552" s="24"/>
      <c r="DJ552" s="24"/>
      <c r="DK552" s="24"/>
      <c r="DL552" s="24"/>
      <c r="DM552" s="24"/>
      <c r="DN552" s="24"/>
      <c r="DO552" s="25"/>
      <c r="DP552" s="26"/>
      <c r="DQ552" s="24"/>
      <c r="DR552" s="24"/>
      <c r="DS552" s="24"/>
      <c r="DT552" s="24"/>
      <c r="DU552" s="24"/>
      <c r="DV552" s="24"/>
      <c r="DW552" s="24"/>
      <c r="DX552" s="24"/>
      <c r="DY552" s="24"/>
      <c r="DZ552" s="24"/>
      <c r="EA552" s="24"/>
      <c r="EB552" s="25"/>
      <c r="EC552" s="26"/>
      <c r="ED552" s="24"/>
      <c r="EE552" s="24"/>
      <c r="EF552" s="24"/>
      <c r="EG552" s="24"/>
      <c r="EH552" s="24"/>
      <c r="EI552" s="24"/>
      <c r="EJ552" s="24"/>
      <c r="EK552" s="24"/>
      <c r="EL552" s="24"/>
      <c r="EM552" s="24"/>
      <c r="EN552" s="24"/>
      <c r="EO552" s="25"/>
      <c r="EP552" s="26"/>
      <c r="EQ552" s="24"/>
      <c r="ER552" s="24"/>
      <c r="ES552" s="24"/>
      <c r="ET552" s="24"/>
      <c r="EU552" s="24"/>
      <c r="EV552" s="24"/>
      <c r="EW552" s="24"/>
      <c r="EX552" s="24"/>
      <c r="EY552" s="24"/>
      <c r="EZ552" s="24"/>
      <c r="FA552" s="24"/>
      <c r="FB552" s="25"/>
      <c r="FC552" s="26"/>
      <c r="FD552" s="24"/>
      <c r="FE552" s="24"/>
      <c r="FF552" s="24"/>
      <c r="FG552" s="24"/>
      <c r="FH552" s="24"/>
      <c r="FI552" s="24"/>
      <c r="FJ552" s="24"/>
      <c r="FK552" s="24"/>
      <c r="FL552" s="24"/>
      <c r="FM552" s="24"/>
      <c r="FN552" s="24"/>
      <c r="FO552" s="27">
        <f t="shared" ref="FO552:FV552" si="545">IFERROR(R552*1,0)+IFERROR(AE552*1,0)+IFERROR(AR552*1,0)+IFERROR(BE552*1,0)+IFERROR(BR552*1,0)+IFERROR(CE552*1,0)+IFERROR(CR552*1,0)+IFERROR(DE552*1,0)+IFERROR(DR552*1,0)+IFERROR(EE552*1,0)+IFERROR(ER552*1,0)+IFERROR(FE552*1,0)</f>
        <v>0</v>
      </c>
      <c r="FP552" s="27">
        <f t="shared" si="545"/>
        <v>0</v>
      </c>
      <c r="FQ552" s="27">
        <f t="shared" si="545"/>
        <v>0</v>
      </c>
      <c r="FR552" s="27">
        <f t="shared" si="545"/>
        <v>0</v>
      </c>
      <c r="FS552" s="27">
        <f t="shared" si="545"/>
        <v>0</v>
      </c>
      <c r="FT552" s="27">
        <f t="shared" si="545"/>
        <v>0</v>
      </c>
      <c r="FU552" s="27">
        <f t="shared" si="545"/>
        <v>0</v>
      </c>
      <c r="FV552" s="27">
        <f t="shared" si="545"/>
        <v>0</v>
      </c>
      <c r="FW552" s="28"/>
      <c r="FX552" s="29">
        <f t="shared" si="3"/>
        <v>0</v>
      </c>
    </row>
    <row r="553" spans="1:180" ht="18" customHeight="1" x14ac:dyDescent="0.25">
      <c r="A553" s="3" t="str">
        <f>IF(C553&lt;&gt;"","DRG-"&amp;TEXT(548,"000"),"")</f>
        <v/>
      </c>
      <c r="B553" s="33"/>
      <c r="C553" s="33"/>
      <c r="D553" s="33"/>
      <c r="E553" s="33"/>
      <c r="F553" s="33"/>
      <c r="G553" s="33"/>
      <c r="H553" s="33"/>
      <c r="I553" s="33"/>
      <c r="J553" s="33"/>
      <c r="K553" s="33"/>
      <c r="L553" s="37">
        <v>4</v>
      </c>
      <c r="M553" s="30" t="str">
        <f t="shared" si="0"/>
        <v>✘ Pending</v>
      </c>
      <c r="N553" s="30">
        <f t="shared" si="1"/>
        <v>0</v>
      </c>
      <c r="O553" s="31"/>
      <c r="P553" s="32"/>
      <c r="Q553" s="33"/>
      <c r="R553" s="33"/>
      <c r="S553" s="33"/>
      <c r="T553" s="33"/>
      <c r="U553" s="33"/>
      <c r="V553" s="33"/>
      <c r="W553" s="33"/>
      <c r="X553" s="33"/>
      <c r="Y553" s="33"/>
      <c r="Z553" s="33"/>
      <c r="AA553" s="33"/>
      <c r="AB553" s="31"/>
      <c r="AC553" s="32"/>
      <c r="AD553" s="33"/>
      <c r="AE553" s="33"/>
      <c r="AF553" s="33"/>
      <c r="AG553" s="33"/>
      <c r="AH553" s="33"/>
      <c r="AI553" s="33"/>
      <c r="AJ553" s="33"/>
      <c r="AK553" s="33"/>
      <c r="AL553" s="33"/>
      <c r="AM553" s="33"/>
      <c r="AN553" s="33"/>
      <c r="AO553" s="31"/>
      <c r="AP553" s="32"/>
      <c r="AQ553" s="33"/>
      <c r="AR553" s="33"/>
      <c r="AS553" s="33"/>
      <c r="AT553" s="33"/>
      <c r="AU553" s="33"/>
      <c r="AV553" s="33"/>
      <c r="AW553" s="33"/>
      <c r="AX553" s="33"/>
      <c r="AY553" s="33"/>
      <c r="AZ553" s="33"/>
      <c r="BA553" s="33"/>
      <c r="BB553" s="31"/>
      <c r="BC553" s="32"/>
      <c r="BD553" s="33"/>
      <c r="BE553" s="33"/>
      <c r="BF553" s="33"/>
      <c r="BG553" s="33"/>
      <c r="BH553" s="33"/>
      <c r="BI553" s="33"/>
      <c r="BJ553" s="33"/>
      <c r="BK553" s="33"/>
      <c r="BL553" s="33"/>
      <c r="BM553" s="33"/>
      <c r="BN553" s="33"/>
      <c r="BO553" s="31"/>
      <c r="BP553" s="32"/>
      <c r="BQ553" s="33"/>
      <c r="BR553" s="33"/>
      <c r="BS553" s="33"/>
      <c r="BT553" s="33"/>
      <c r="BU553" s="33"/>
      <c r="BV553" s="33"/>
      <c r="BW553" s="33"/>
      <c r="BX553" s="33"/>
      <c r="BY553" s="33"/>
      <c r="BZ553" s="33"/>
      <c r="CA553" s="33"/>
      <c r="CB553" s="31"/>
      <c r="CC553" s="32"/>
      <c r="CD553" s="33"/>
      <c r="CE553" s="33"/>
      <c r="CF553" s="33"/>
      <c r="CG553" s="33"/>
      <c r="CH553" s="33"/>
      <c r="CI553" s="33"/>
      <c r="CJ553" s="33"/>
      <c r="CK553" s="33"/>
      <c r="CL553" s="33"/>
      <c r="CM553" s="33"/>
      <c r="CN553" s="33"/>
      <c r="CO553" s="31"/>
      <c r="CP553" s="32"/>
      <c r="CQ553" s="33"/>
      <c r="CR553" s="33"/>
      <c r="CS553" s="33"/>
      <c r="CT553" s="33"/>
      <c r="CU553" s="33"/>
      <c r="CV553" s="33"/>
      <c r="CW553" s="33"/>
      <c r="CX553" s="33"/>
      <c r="CY553" s="33"/>
      <c r="CZ553" s="33"/>
      <c r="DA553" s="33"/>
      <c r="DB553" s="31"/>
      <c r="DC553" s="32"/>
      <c r="DD553" s="33"/>
      <c r="DE553" s="33"/>
      <c r="DF553" s="33"/>
      <c r="DG553" s="33"/>
      <c r="DH553" s="33"/>
      <c r="DI553" s="33"/>
      <c r="DJ553" s="33"/>
      <c r="DK553" s="33"/>
      <c r="DL553" s="33"/>
      <c r="DM553" s="33"/>
      <c r="DN553" s="33"/>
      <c r="DO553" s="31"/>
      <c r="DP553" s="32"/>
      <c r="DQ553" s="33"/>
      <c r="DR553" s="33"/>
      <c r="DS553" s="33"/>
      <c r="DT553" s="33"/>
      <c r="DU553" s="33"/>
      <c r="DV553" s="33"/>
      <c r="DW553" s="33"/>
      <c r="DX553" s="33"/>
      <c r="DY553" s="33"/>
      <c r="DZ553" s="33"/>
      <c r="EA553" s="33"/>
      <c r="EB553" s="31"/>
      <c r="EC553" s="32"/>
      <c r="ED553" s="33"/>
      <c r="EE553" s="33"/>
      <c r="EF553" s="33"/>
      <c r="EG553" s="33"/>
      <c r="EH553" s="33"/>
      <c r="EI553" s="33"/>
      <c r="EJ553" s="33"/>
      <c r="EK553" s="33"/>
      <c r="EL553" s="33"/>
      <c r="EM553" s="33"/>
      <c r="EN553" s="33"/>
      <c r="EO553" s="31"/>
      <c r="EP553" s="32"/>
      <c r="EQ553" s="33"/>
      <c r="ER553" s="33"/>
      <c r="ES553" s="33"/>
      <c r="ET553" s="33"/>
      <c r="EU553" s="33"/>
      <c r="EV553" s="33"/>
      <c r="EW553" s="33"/>
      <c r="EX553" s="33"/>
      <c r="EY553" s="33"/>
      <c r="EZ553" s="33"/>
      <c r="FA553" s="33"/>
      <c r="FB553" s="31"/>
      <c r="FC553" s="32"/>
      <c r="FD553" s="33"/>
      <c r="FE553" s="33"/>
      <c r="FF553" s="33"/>
      <c r="FG553" s="33"/>
      <c r="FH553" s="33"/>
      <c r="FI553" s="33"/>
      <c r="FJ553" s="33"/>
      <c r="FK553" s="33"/>
      <c r="FL553" s="33"/>
      <c r="FM553" s="33"/>
      <c r="FN553" s="33"/>
      <c r="FO553" s="34">
        <f t="shared" ref="FO553:FV553" si="546">IFERROR(R553*1,0)+IFERROR(AE553*1,0)+IFERROR(AR553*1,0)+IFERROR(BE553*1,0)+IFERROR(BR553*1,0)+IFERROR(CE553*1,0)+IFERROR(CR553*1,0)+IFERROR(DE553*1,0)+IFERROR(DR553*1,0)+IFERROR(EE553*1,0)+IFERROR(ER553*1,0)+IFERROR(FE553*1,0)</f>
        <v>0</v>
      </c>
      <c r="FP553" s="34">
        <f t="shared" si="546"/>
        <v>0</v>
      </c>
      <c r="FQ553" s="34">
        <f t="shared" si="546"/>
        <v>0</v>
      </c>
      <c r="FR553" s="34">
        <f t="shared" si="546"/>
        <v>0</v>
      </c>
      <c r="FS553" s="34">
        <f t="shared" si="546"/>
        <v>0</v>
      </c>
      <c r="FT553" s="34">
        <f t="shared" si="546"/>
        <v>0</v>
      </c>
      <c r="FU553" s="34">
        <f t="shared" si="546"/>
        <v>0</v>
      </c>
      <c r="FV553" s="34">
        <f t="shared" si="546"/>
        <v>0</v>
      </c>
      <c r="FW553" s="28"/>
      <c r="FX553" s="29">
        <f t="shared" si="3"/>
        <v>0</v>
      </c>
    </row>
    <row r="554" spans="1:180" ht="18" customHeight="1" x14ac:dyDescent="0.25">
      <c r="A554" s="3" t="str">
        <f>IF(C554&lt;&gt;"","DRG-"&amp;TEXT(549,"000"),"")</f>
        <v/>
      </c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38">
        <v>4</v>
      </c>
      <c r="M554" s="23" t="str">
        <f t="shared" si="0"/>
        <v>✘ Pending</v>
      </c>
      <c r="N554" s="23">
        <f t="shared" si="1"/>
        <v>0</v>
      </c>
      <c r="O554" s="25"/>
      <c r="P554" s="26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  <c r="AB554" s="25"/>
      <c r="AC554" s="26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5"/>
      <c r="AP554" s="26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5"/>
      <c r="BC554" s="26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5"/>
      <c r="BP554" s="26"/>
      <c r="BQ554" s="24"/>
      <c r="BR554" s="24"/>
      <c r="BS554" s="24"/>
      <c r="BT554" s="24"/>
      <c r="BU554" s="24"/>
      <c r="BV554" s="24"/>
      <c r="BW554" s="24"/>
      <c r="BX554" s="24"/>
      <c r="BY554" s="24"/>
      <c r="BZ554" s="24"/>
      <c r="CA554" s="24"/>
      <c r="CB554" s="25"/>
      <c r="CC554" s="26"/>
      <c r="CD554" s="24"/>
      <c r="CE554" s="24"/>
      <c r="CF554" s="24"/>
      <c r="CG554" s="24"/>
      <c r="CH554" s="24"/>
      <c r="CI554" s="24"/>
      <c r="CJ554" s="24"/>
      <c r="CK554" s="24"/>
      <c r="CL554" s="24"/>
      <c r="CM554" s="24"/>
      <c r="CN554" s="24"/>
      <c r="CO554" s="25"/>
      <c r="CP554" s="26"/>
      <c r="CQ554" s="24"/>
      <c r="CR554" s="24"/>
      <c r="CS554" s="24"/>
      <c r="CT554" s="24"/>
      <c r="CU554" s="24"/>
      <c r="CV554" s="24"/>
      <c r="CW554" s="24"/>
      <c r="CX554" s="24"/>
      <c r="CY554" s="24"/>
      <c r="CZ554" s="24"/>
      <c r="DA554" s="24"/>
      <c r="DB554" s="25"/>
      <c r="DC554" s="26"/>
      <c r="DD554" s="24"/>
      <c r="DE554" s="24"/>
      <c r="DF554" s="24"/>
      <c r="DG554" s="24"/>
      <c r="DH554" s="24"/>
      <c r="DI554" s="24"/>
      <c r="DJ554" s="24"/>
      <c r="DK554" s="24"/>
      <c r="DL554" s="24"/>
      <c r="DM554" s="24"/>
      <c r="DN554" s="24"/>
      <c r="DO554" s="25"/>
      <c r="DP554" s="26"/>
      <c r="DQ554" s="24"/>
      <c r="DR554" s="24"/>
      <c r="DS554" s="24"/>
      <c r="DT554" s="24"/>
      <c r="DU554" s="24"/>
      <c r="DV554" s="24"/>
      <c r="DW554" s="24"/>
      <c r="DX554" s="24"/>
      <c r="DY554" s="24"/>
      <c r="DZ554" s="24"/>
      <c r="EA554" s="24"/>
      <c r="EB554" s="25"/>
      <c r="EC554" s="26"/>
      <c r="ED554" s="24"/>
      <c r="EE554" s="24"/>
      <c r="EF554" s="24"/>
      <c r="EG554" s="24"/>
      <c r="EH554" s="24"/>
      <c r="EI554" s="24"/>
      <c r="EJ554" s="24"/>
      <c r="EK554" s="24"/>
      <c r="EL554" s="24"/>
      <c r="EM554" s="24"/>
      <c r="EN554" s="24"/>
      <c r="EO554" s="25"/>
      <c r="EP554" s="26"/>
      <c r="EQ554" s="24"/>
      <c r="ER554" s="24"/>
      <c r="ES554" s="24"/>
      <c r="ET554" s="24"/>
      <c r="EU554" s="24"/>
      <c r="EV554" s="24"/>
      <c r="EW554" s="24"/>
      <c r="EX554" s="24"/>
      <c r="EY554" s="24"/>
      <c r="EZ554" s="24"/>
      <c r="FA554" s="24"/>
      <c r="FB554" s="25"/>
      <c r="FC554" s="26"/>
      <c r="FD554" s="24"/>
      <c r="FE554" s="24"/>
      <c r="FF554" s="24"/>
      <c r="FG554" s="24"/>
      <c r="FH554" s="24"/>
      <c r="FI554" s="24"/>
      <c r="FJ554" s="24"/>
      <c r="FK554" s="24"/>
      <c r="FL554" s="24"/>
      <c r="FM554" s="24"/>
      <c r="FN554" s="24"/>
      <c r="FO554" s="27">
        <f t="shared" ref="FO554:FV554" si="547">IFERROR(R554*1,0)+IFERROR(AE554*1,0)+IFERROR(AR554*1,0)+IFERROR(BE554*1,0)+IFERROR(BR554*1,0)+IFERROR(CE554*1,0)+IFERROR(CR554*1,0)+IFERROR(DE554*1,0)+IFERROR(DR554*1,0)+IFERROR(EE554*1,0)+IFERROR(ER554*1,0)+IFERROR(FE554*1,0)</f>
        <v>0</v>
      </c>
      <c r="FP554" s="27">
        <f t="shared" si="547"/>
        <v>0</v>
      </c>
      <c r="FQ554" s="27">
        <f t="shared" si="547"/>
        <v>0</v>
      </c>
      <c r="FR554" s="27">
        <f t="shared" si="547"/>
        <v>0</v>
      </c>
      <c r="FS554" s="27">
        <f t="shared" si="547"/>
        <v>0</v>
      </c>
      <c r="FT554" s="27">
        <f t="shared" si="547"/>
        <v>0</v>
      </c>
      <c r="FU554" s="27">
        <f t="shared" si="547"/>
        <v>0</v>
      </c>
      <c r="FV554" s="27">
        <f t="shared" si="547"/>
        <v>0</v>
      </c>
      <c r="FW554" s="28"/>
      <c r="FX554" s="29">
        <f t="shared" si="3"/>
        <v>0</v>
      </c>
    </row>
    <row r="555" spans="1:180" ht="18" customHeight="1" x14ac:dyDescent="0.25">
      <c r="A555" s="3" t="str">
        <f>IF(C555&lt;&gt;"","DRG-"&amp;TEXT(550,"000"),"")</f>
        <v/>
      </c>
      <c r="B555" s="33"/>
      <c r="C555" s="33"/>
      <c r="D555" s="33"/>
      <c r="E555" s="33"/>
      <c r="F555" s="33"/>
      <c r="G555" s="33"/>
      <c r="H555" s="33"/>
      <c r="I555" s="33"/>
      <c r="J555" s="33"/>
      <c r="K555" s="33"/>
      <c r="L555" s="37">
        <v>4</v>
      </c>
      <c r="M555" s="30" t="str">
        <f t="shared" si="0"/>
        <v>✘ Pending</v>
      </c>
      <c r="N555" s="30">
        <f t="shared" si="1"/>
        <v>0</v>
      </c>
      <c r="O555" s="31"/>
      <c r="P555" s="32"/>
      <c r="Q555" s="33"/>
      <c r="R555" s="33"/>
      <c r="S555" s="33"/>
      <c r="T555" s="33"/>
      <c r="U555" s="33"/>
      <c r="V555" s="33"/>
      <c r="W555" s="33"/>
      <c r="X555" s="33"/>
      <c r="Y555" s="33"/>
      <c r="Z555" s="33"/>
      <c r="AA555" s="33"/>
      <c r="AB555" s="31"/>
      <c r="AC555" s="32"/>
      <c r="AD555" s="33"/>
      <c r="AE555" s="33"/>
      <c r="AF555" s="33"/>
      <c r="AG555" s="33"/>
      <c r="AH555" s="33"/>
      <c r="AI555" s="33"/>
      <c r="AJ555" s="33"/>
      <c r="AK555" s="33"/>
      <c r="AL555" s="33"/>
      <c r="AM555" s="33"/>
      <c r="AN555" s="33"/>
      <c r="AO555" s="31"/>
      <c r="AP555" s="32"/>
      <c r="AQ555" s="33"/>
      <c r="AR555" s="33"/>
      <c r="AS555" s="33"/>
      <c r="AT555" s="33"/>
      <c r="AU555" s="33"/>
      <c r="AV555" s="33"/>
      <c r="AW555" s="33"/>
      <c r="AX555" s="33"/>
      <c r="AY555" s="33"/>
      <c r="AZ555" s="33"/>
      <c r="BA555" s="33"/>
      <c r="BB555" s="31"/>
      <c r="BC555" s="32"/>
      <c r="BD555" s="33"/>
      <c r="BE555" s="33"/>
      <c r="BF555" s="33"/>
      <c r="BG555" s="33"/>
      <c r="BH555" s="33"/>
      <c r="BI555" s="33"/>
      <c r="BJ555" s="33"/>
      <c r="BK555" s="33"/>
      <c r="BL555" s="33"/>
      <c r="BM555" s="33"/>
      <c r="BN555" s="33"/>
      <c r="BO555" s="31"/>
      <c r="BP555" s="32"/>
      <c r="BQ555" s="33"/>
      <c r="BR555" s="33"/>
      <c r="BS555" s="33"/>
      <c r="BT555" s="33"/>
      <c r="BU555" s="33"/>
      <c r="BV555" s="33"/>
      <c r="BW555" s="33"/>
      <c r="BX555" s="33"/>
      <c r="BY555" s="33"/>
      <c r="BZ555" s="33"/>
      <c r="CA555" s="33"/>
      <c r="CB555" s="31"/>
      <c r="CC555" s="32"/>
      <c r="CD555" s="33"/>
      <c r="CE555" s="33"/>
      <c r="CF555" s="33"/>
      <c r="CG555" s="33"/>
      <c r="CH555" s="33"/>
      <c r="CI555" s="33"/>
      <c r="CJ555" s="33"/>
      <c r="CK555" s="33"/>
      <c r="CL555" s="33"/>
      <c r="CM555" s="33"/>
      <c r="CN555" s="33"/>
      <c r="CO555" s="31"/>
      <c r="CP555" s="32"/>
      <c r="CQ555" s="33"/>
      <c r="CR555" s="33"/>
      <c r="CS555" s="33"/>
      <c r="CT555" s="33"/>
      <c r="CU555" s="33"/>
      <c r="CV555" s="33"/>
      <c r="CW555" s="33"/>
      <c r="CX555" s="33"/>
      <c r="CY555" s="33"/>
      <c r="CZ555" s="33"/>
      <c r="DA555" s="33"/>
      <c r="DB555" s="31"/>
      <c r="DC555" s="32"/>
      <c r="DD555" s="33"/>
      <c r="DE555" s="33"/>
      <c r="DF555" s="33"/>
      <c r="DG555" s="33"/>
      <c r="DH555" s="33"/>
      <c r="DI555" s="33"/>
      <c r="DJ555" s="33"/>
      <c r="DK555" s="33"/>
      <c r="DL555" s="33"/>
      <c r="DM555" s="33"/>
      <c r="DN555" s="33"/>
      <c r="DO555" s="31"/>
      <c r="DP555" s="32"/>
      <c r="DQ555" s="33"/>
      <c r="DR555" s="33"/>
      <c r="DS555" s="33"/>
      <c r="DT555" s="33"/>
      <c r="DU555" s="33"/>
      <c r="DV555" s="33"/>
      <c r="DW555" s="33"/>
      <c r="DX555" s="33"/>
      <c r="DY555" s="33"/>
      <c r="DZ555" s="33"/>
      <c r="EA555" s="33"/>
      <c r="EB555" s="31"/>
      <c r="EC555" s="32"/>
      <c r="ED555" s="33"/>
      <c r="EE555" s="33"/>
      <c r="EF555" s="33"/>
      <c r="EG555" s="33"/>
      <c r="EH555" s="33"/>
      <c r="EI555" s="33"/>
      <c r="EJ555" s="33"/>
      <c r="EK555" s="33"/>
      <c r="EL555" s="33"/>
      <c r="EM555" s="33"/>
      <c r="EN555" s="33"/>
      <c r="EO555" s="31"/>
      <c r="EP555" s="32"/>
      <c r="EQ555" s="33"/>
      <c r="ER555" s="33"/>
      <c r="ES555" s="33"/>
      <c r="ET555" s="33"/>
      <c r="EU555" s="33"/>
      <c r="EV555" s="33"/>
      <c r="EW555" s="33"/>
      <c r="EX555" s="33"/>
      <c r="EY555" s="33"/>
      <c r="EZ555" s="33"/>
      <c r="FA555" s="33"/>
      <c r="FB555" s="31"/>
      <c r="FC555" s="32"/>
      <c r="FD555" s="33"/>
      <c r="FE555" s="33"/>
      <c r="FF555" s="33"/>
      <c r="FG555" s="33"/>
      <c r="FH555" s="33"/>
      <c r="FI555" s="33"/>
      <c r="FJ555" s="33"/>
      <c r="FK555" s="33"/>
      <c r="FL555" s="33"/>
      <c r="FM555" s="33"/>
      <c r="FN555" s="33"/>
      <c r="FO555" s="34">
        <f t="shared" ref="FO555:FV555" si="548">IFERROR(R555*1,0)+IFERROR(AE555*1,0)+IFERROR(AR555*1,0)+IFERROR(BE555*1,0)+IFERROR(BR555*1,0)+IFERROR(CE555*1,0)+IFERROR(CR555*1,0)+IFERROR(DE555*1,0)+IFERROR(DR555*1,0)+IFERROR(EE555*1,0)+IFERROR(ER555*1,0)+IFERROR(FE555*1,0)</f>
        <v>0</v>
      </c>
      <c r="FP555" s="34">
        <f t="shared" si="548"/>
        <v>0</v>
      </c>
      <c r="FQ555" s="34">
        <f t="shared" si="548"/>
        <v>0</v>
      </c>
      <c r="FR555" s="34">
        <f t="shared" si="548"/>
        <v>0</v>
      </c>
      <c r="FS555" s="34">
        <f t="shared" si="548"/>
        <v>0</v>
      </c>
      <c r="FT555" s="34">
        <f t="shared" si="548"/>
        <v>0</v>
      </c>
      <c r="FU555" s="34">
        <f t="shared" si="548"/>
        <v>0</v>
      </c>
      <c r="FV555" s="34">
        <f t="shared" si="548"/>
        <v>0</v>
      </c>
      <c r="FW555" s="28"/>
      <c r="FX555" s="29">
        <f t="shared" si="3"/>
        <v>0</v>
      </c>
    </row>
    <row r="556" spans="1:180" ht="18" customHeight="1" x14ac:dyDescent="0.25">
      <c r="A556" s="3" t="str">
        <f>IF(C556&lt;&gt;"","DRG-"&amp;TEXT(551,"000"),"")</f>
        <v/>
      </c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38">
        <v>4</v>
      </c>
      <c r="M556" s="23" t="str">
        <f t="shared" si="0"/>
        <v>✘ Pending</v>
      </c>
      <c r="N556" s="23">
        <f t="shared" si="1"/>
        <v>0</v>
      </c>
      <c r="O556" s="25"/>
      <c r="P556" s="26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  <c r="AB556" s="25"/>
      <c r="AC556" s="26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5"/>
      <c r="AP556" s="26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5"/>
      <c r="BC556" s="26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5"/>
      <c r="BP556" s="26"/>
      <c r="BQ556" s="24"/>
      <c r="BR556" s="24"/>
      <c r="BS556" s="24"/>
      <c r="BT556" s="24"/>
      <c r="BU556" s="24"/>
      <c r="BV556" s="24"/>
      <c r="BW556" s="24"/>
      <c r="BX556" s="24"/>
      <c r="BY556" s="24"/>
      <c r="BZ556" s="24"/>
      <c r="CA556" s="24"/>
      <c r="CB556" s="25"/>
      <c r="CC556" s="26"/>
      <c r="CD556" s="24"/>
      <c r="CE556" s="24"/>
      <c r="CF556" s="24"/>
      <c r="CG556" s="24"/>
      <c r="CH556" s="24"/>
      <c r="CI556" s="24"/>
      <c r="CJ556" s="24"/>
      <c r="CK556" s="24"/>
      <c r="CL556" s="24"/>
      <c r="CM556" s="24"/>
      <c r="CN556" s="24"/>
      <c r="CO556" s="25"/>
      <c r="CP556" s="26"/>
      <c r="CQ556" s="24"/>
      <c r="CR556" s="24"/>
      <c r="CS556" s="24"/>
      <c r="CT556" s="24"/>
      <c r="CU556" s="24"/>
      <c r="CV556" s="24"/>
      <c r="CW556" s="24"/>
      <c r="CX556" s="24"/>
      <c r="CY556" s="24"/>
      <c r="CZ556" s="24"/>
      <c r="DA556" s="24"/>
      <c r="DB556" s="25"/>
      <c r="DC556" s="26"/>
      <c r="DD556" s="24"/>
      <c r="DE556" s="24"/>
      <c r="DF556" s="24"/>
      <c r="DG556" s="24"/>
      <c r="DH556" s="24"/>
      <c r="DI556" s="24"/>
      <c r="DJ556" s="24"/>
      <c r="DK556" s="24"/>
      <c r="DL556" s="24"/>
      <c r="DM556" s="24"/>
      <c r="DN556" s="24"/>
      <c r="DO556" s="25"/>
      <c r="DP556" s="26"/>
      <c r="DQ556" s="24"/>
      <c r="DR556" s="24"/>
      <c r="DS556" s="24"/>
      <c r="DT556" s="24"/>
      <c r="DU556" s="24"/>
      <c r="DV556" s="24"/>
      <c r="DW556" s="24"/>
      <c r="DX556" s="24"/>
      <c r="DY556" s="24"/>
      <c r="DZ556" s="24"/>
      <c r="EA556" s="24"/>
      <c r="EB556" s="25"/>
      <c r="EC556" s="26"/>
      <c r="ED556" s="24"/>
      <c r="EE556" s="24"/>
      <c r="EF556" s="24"/>
      <c r="EG556" s="24"/>
      <c r="EH556" s="24"/>
      <c r="EI556" s="24"/>
      <c r="EJ556" s="24"/>
      <c r="EK556" s="24"/>
      <c r="EL556" s="24"/>
      <c r="EM556" s="24"/>
      <c r="EN556" s="24"/>
      <c r="EO556" s="25"/>
      <c r="EP556" s="26"/>
      <c r="EQ556" s="24"/>
      <c r="ER556" s="24"/>
      <c r="ES556" s="24"/>
      <c r="ET556" s="24"/>
      <c r="EU556" s="24"/>
      <c r="EV556" s="24"/>
      <c r="EW556" s="24"/>
      <c r="EX556" s="24"/>
      <c r="EY556" s="24"/>
      <c r="EZ556" s="24"/>
      <c r="FA556" s="24"/>
      <c r="FB556" s="25"/>
      <c r="FC556" s="26"/>
      <c r="FD556" s="24"/>
      <c r="FE556" s="24"/>
      <c r="FF556" s="24"/>
      <c r="FG556" s="24"/>
      <c r="FH556" s="24"/>
      <c r="FI556" s="24"/>
      <c r="FJ556" s="24"/>
      <c r="FK556" s="24"/>
      <c r="FL556" s="24"/>
      <c r="FM556" s="24"/>
      <c r="FN556" s="24"/>
      <c r="FO556" s="27">
        <f t="shared" ref="FO556:FV556" si="549">IFERROR(R556*1,0)+IFERROR(AE556*1,0)+IFERROR(AR556*1,0)+IFERROR(BE556*1,0)+IFERROR(BR556*1,0)+IFERROR(CE556*1,0)+IFERROR(CR556*1,0)+IFERROR(DE556*1,0)+IFERROR(DR556*1,0)+IFERROR(EE556*1,0)+IFERROR(ER556*1,0)+IFERROR(FE556*1,0)</f>
        <v>0</v>
      </c>
      <c r="FP556" s="27">
        <f t="shared" si="549"/>
        <v>0</v>
      </c>
      <c r="FQ556" s="27">
        <f t="shared" si="549"/>
        <v>0</v>
      </c>
      <c r="FR556" s="27">
        <f t="shared" si="549"/>
        <v>0</v>
      </c>
      <c r="FS556" s="27">
        <f t="shared" si="549"/>
        <v>0</v>
      </c>
      <c r="FT556" s="27">
        <f t="shared" si="549"/>
        <v>0</v>
      </c>
      <c r="FU556" s="27">
        <f t="shared" si="549"/>
        <v>0</v>
      </c>
      <c r="FV556" s="27">
        <f t="shared" si="549"/>
        <v>0</v>
      </c>
      <c r="FW556" s="28"/>
      <c r="FX556" s="29">
        <f t="shared" si="3"/>
        <v>0</v>
      </c>
    </row>
    <row r="557" spans="1:180" ht="18" customHeight="1" x14ac:dyDescent="0.25">
      <c r="A557" s="3" t="str">
        <f>IF(C557&lt;&gt;"","DRG-"&amp;TEXT(552,"000"),"")</f>
        <v/>
      </c>
      <c r="B557" s="33"/>
      <c r="C557" s="33"/>
      <c r="D557" s="33"/>
      <c r="E557" s="33"/>
      <c r="F557" s="33"/>
      <c r="G557" s="33"/>
      <c r="H557" s="33"/>
      <c r="I557" s="33"/>
      <c r="J557" s="33"/>
      <c r="K557" s="33"/>
      <c r="L557" s="37">
        <v>4</v>
      </c>
      <c r="M557" s="30" t="str">
        <f t="shared" si="0"/>
        <v>✘ Pending</v>
      </c>
      <c r="N557" s="30">
        <f t="shared" si="1"/>
        <v>0</v>
      </c>
      <c r="O557" s="31"/>
      <c r="P557" s="32"/>
      <c r="Q557" s="33"/>
      <c r="R557" s="33"/>
      <c r="S557" s="33"/>
      <c r="T557" s="33"/>
      <c r="U557" s="33"/>
      <c r="V557" s="33"/>
      <c r="W557" s="33"/>
      <c r="X557" s="33"/>
      <c r="Y557" s="33"/>
      <c r="Z557" s="33"/>
      <c r="AA557" s="33"/>
      <c r="AB557" s="31"/>
      <c r="AC557" s="32"/>
      <c r="AD557" s="33"/>
      <c r="AE557" s="33"/>
      <c r="AF557" s="33"/>
      <c r="AG557" s="33"/>
      <c r="AH557" s="33"/>
      <c r="AI557" s="33"/>
      <c r="AJ557" s="33"/>
      <c r="AK557" s="33"/>
      <c r="AL557" s="33"/>
      <c r="AM557" s="33"/>
      <c r="AN557" s="33"/>
      <c r="AO557" s="31"/>
      <c r="AP557" s="32"/>
      <c r="AQ557" s="33"/>
      <c r="AR557" s="33"/>
      <c r="AS557" s="33"/>
      <c r="AT557" s="33"/>
      <c r="AU557" s="33"/>
      <c r="AV557" s="33"/>
      <c r="AW557" s="33"/>
      <c r="AX557" s="33"/>
      <c r="AY557" s="33"/>
      <c r="AZ557" s="33"/>
      <c r="BA557" s="33"/>
      <c r="BB557" s="31"/>
      <c r="BC557" s="32"/>
      <c r="BD557" s="33"/>
      <c r="BE557" s="33"/>
      <c r="BF557" s="33"/>
      <c r="BG557" s="33"/>
      <c r="BH557" s="33"/>
      <c r="BI557" s="33"/>
      <c r="BJ557" s="33"/>
      <c r="BK557" s="33"/>
      <c r="BL557" s="33"/>
      <c r="BM557" s="33"/>
      <c r="BN557" s="33"/>
      <c r="BO557" s="31"/>
      <c r="BP557" s="32"/>
      <c r="BQ557" s="33"/>
      <c r="BR557" s="33"/>
      <c r="BS557" s="33"/>
      <c r="BT557" s="33"/>
      <c r="BU557" s="33"/>
      <c r="BV557" s="33"/>
      <c r="BW557" s="33"/>
      <c r="BX557" s="33"/>
      <c r="BY557" s="33"/>
      <c r="BZ557" s="33"/>
      <c r="CA557" s="33"/>
      <c r="CB557" s="31"/>
      <c r="CC557" s="32"/>
      <c r="CD557" s="33"/>
      <c r="CE557" s="33"/>
      <c r="CF557" s="33"/>
      <c r="CG557" s="33"/>
      <c r="CH557" s="33"/>
      <c r="CI557" s="33"/>
      <c r="CJ557" s="33"/>
      <c r="CK557" s="33"/>
      <c r="CL557" s="33"/>
      <c r="CM557" s="33"/>
      <c r="CN557" s="33"/>
      <c r="CO557" s="31"/>
      <c r="CP557" s="32"/>
      <c r="CQ557" s="33"/>
      <c r="CR557" s="33"/>
      <c r="CS557" s="33"/>
      <c r="CT557" s="33"/>
      <c r="CU557" s="33"/>
      <c r="CV557" s="33"/>
      <c r="CW557" s="33"/>
      <c r="CX557" s="33"/>
      <c r="CY557" s="33"/>
      <c r="CZ557" s="33"/>
      <c r="DA557" s="33"/>
      <c r="DB557" s="31"/>
      <c r="DC557" s="32"/>
      <c r="DD557" s="33"/>
      <c r="DE557" s="33"/>
      <c r="DF557" s="33"/>
      <c r="DG557" s="33"/>
      <c r="DH557" s="33"/>
      <c r="DI557" s="33"/>
      <c r="DJ557" s="33"/>
      <c r="DK557" s="33"/>
      <c r="DL557" s="33"/>
      <c r="DM557" s="33"/>
      <c r="DN557" s="33"/>
      <c r="DO557" s="31"/>
      <c r="DP557" s="32"/>
      <c r="DQ557" s="33"/>
      <c r="DR557" s="33"/>
      <c r="DS557" s="33"/>
      <c r="DT557" s="33"/>
      <c r="DU557" s="33"/>
      <c r="DV557" s="33"/>
      <c r="DW557" s="33"/>
      <c r="DX557" s="33"/>
      <c r="DY557" s="33"/>
      <c r="DZ557" s="33"/>
      <c r="EA557" s="33"/>
      <c r="EB557" s="31"/>
      <c r="EC557" s="32"/>
      <c r="ED557" s="33"/>
      <c r="EE557" s="33"/>
      <c r="EF557" s="33"/>
      <c r="EG557" s="33"/>
      <c r="EH557" s="33"/>
      <c r="EI557" s="33"/>
      <c r="EJ557" s="33"/>
      <c r="EK557" s="33"/>
      <c r="EL557" s="33"/>
      <c r="EM557" s="33"/>
      <c r="EN557" s="33"/>
      <c r="EO557" s="31"/>
      <c r="EP557" s="32"/>
      <c r="EQ557" s="33"/>
      <c r="ER557" s="33"/>
      <c r="ES557" s="33"/>
      <c r="ET557" s="33"/>
      <c r="EU557" s="33"/>
      <c r="EV557" s="33"/>
      <c r="EW557" s="33"/>
      <c r="EX557" s="33"/>
      <c r="EY557" s="33"/>
      <c r="EZ557" s="33"/>
      <c r="FA557" s="33"/>
      <c r="FB557" s="31"/>
      <c r="FC557" s="32"/>
      <c r="FD557" s="33"/>
      <c r="FE557" s="33"/>
      <c r="FF557" s="33"/>
      <c r="FG557" s="33"/>
      <c r="FH557" s="33"/>
      <c r="FI557" s="33"/>
      <c r="FJ557" s="33"/>
      <c r="FK557" s="33"/>
      <c r="FL557" s="33"/>
      <c r="FM557" s="33"/>
      <c r="FN557" s="33"/>
      <c r="FO557" s="34">
        <f t="shared" ref="FO557:FV557" si="550">IFERROR(R557*1,0)+IFERROR(AE557*1,0)+IFERROR(AR557*1,0)+IFERROR(BE557*1,0)+IFERROR(BR557*1,0)+IFERROR(CE557*1,0)+IFERROR(CR557*1,0)+IFERROR(DE557*1,0)+IFERROR(DR557*1,0)+IFERROR(EE557*1,0)+IFERROR(ER557*1,0)+IFERROR(FE557*1,0)</f>
        <v>0</v>
      </c>
      <c r="FP557" s="34">
        <f t="shared" si="550"/>
        <v>0</v>
      </c>
      <c r="FQ557" s="34">
        <f t="shared" si="550"/>
        <v>0</v>
      </c>
      <c r="FR557" s="34">
        <f t="shared" si="550"/>
        <v>0</v>
      </c>
      <c r="FS557" s="34">
        <f t="shared" si="550"/>
        <v>0</v>
      </c>
      <c r="FT557" s="34">
        <f t="shared" si="550"/>
        <v>0</v>
      </c>
      <c r="FU557" s="34">
        <f t="shared" si="550"/>
        <v>0</v>
      </c>
      <c r="FV557" s="34">
        <f t="shared" si="550"/>
        <v>0</v>
      </c>
      <c r="FW557" s="28"/>
      <c r="FX557" s="29">
        <f t="shared" si="3"/>
        <v>0</v>
      </c>
    </row>
    <row r="558" spans="1:180" ht="18" customHeight="1" x14ac:dyDescent="0.25">
      <c r="A558" s="3" t="str">
        <f>IF(C558&lt;&gt;"","DRG-"&amp;TEXT(553,"000"),"")</f>
        <v/>
      </c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38">
        <v>4</v>
      </c>
      <c r="M558" s="23" t="str">
        <f t="shared" si="0"/>
        <v>✘ Pending</v>
      </c>
      <c r="N558" s="23">
        <f t="shared" si="1"/>
        <v>0</v>
      </c>
      <c r="O558" s="25"/>
      <c r="P558" s="26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  <c r="AB558" s="25"/>
      <c r="AC558" s="26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5"/>
      <c r="AP558" s="26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5"/>
      <c r="BC558" s="26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5"/>
      <c r="BP558" s="26"/>
      <c r="BQ558" s="24"/>
      <c r="BR558" s="24"/>
      <c r="BS558" s="24"/>
      <c r="BT558" s="24"/>
      <c r="BU558" s="24"/>
      <c r="BV558" s="24"/>
      <c r="BW558" s="24"/>
      <c r="BX558" s="24"/>
      <c r="BY558" s="24"/>
      <c r="BZ558" s="24"/>
      <c r="CA558" s="24"/>
      <c r="CB558" s="25"/>
      <c r="CC558" s="26"/>
      <c r="CD558" s="24"/>
      <c r="CE558" s="24"/>
      <c r="CF558" s="24"/>
      <c r="CG558" s="24"/>
      <c r="CH558" s="24"/>
      <c r="CI558" s="24"/>
      <c r="CJ558" s="24"/>
      <c r="CK558" s="24"/>
      <c r="CL558" s="24"/>
      <c r="CM558" s="24"/>
      <c r="CN558" s="24"/>
      <c r="CO558" s="25"/>
      <c r="CP558" s="26"/>
      <c r="CQ558" s="24"/>
      <c r="CR558" s="24"/>
      <c r="CS558" s="24"/>
      <c r="CT558" s="24"/>
      <c r="CU558" s="24"/>
      <c r="CV558" s="24"/>
      <c r="CW558" s="24"/>
      <c r="CX558" s="24"/>
      <c r="CY558" s="24"/>
      <c r="CZ558" s="24"/>
      <c r="DA558" s="24"/>
      <c r="DB558" s="25"/>
      <c r="DC558" s="26"/>
      <c r="DD558" s="24"/>
      <c r="DE558" s="24"/>
      <c r="DF558" s="24"/>
      <c r="DG558" s="24"/>
      <c r="DH558" s="24"/>
      <c r="DI558" s="24"/>
      <c r="DJ558" s="24"/>
      <c r="DK558" s="24"/>
      <c r="DL558" s="24"/>
      <c r="DM558" s="24"/>
      <c r="DN558" s="24"/>
      <c r="DO558" s="25"/>
      <c r="DP558" s="26"/>
      <c r="DQ558" s="24"/>
      <c r="DR558" s="24"/>
      <c r="DS558" s="24"/>
      <c r="DT558" s="24"/>
      <c r="DU558" s="24"/>
      <c r="DV558" s="24"/>
      <c r="DW558" s="24"/>
      <c r="DX558" s="24"/>
      <c r="DY558" s="24"/>
      <c r="DZ558" s="24"/>
      <c r="EA558" s="24"/>
      <c r="EB558" s="25"/>
      <c r="EC558" s="26"/>
      <c r="ED558" s="24"/>
      <c r="EE558" s="24"/>
      <c r="EF558" s="24"/>
      <c r="EG558" s="24"/>
      <c r="EH558" s="24"/>
      <c r="EI558" s="24"/>
      <c r="EJ558" s="24"/>
      <c r="EK558" s="24"/>
      <c r="EL558" s="24"/>
      <c r="EM558" s="24"/>
      <c r="EN558" s="24"/>
      <c r="EO558" s="25"/>
      <c r="EP558" s="26"/>
      <c r="EQ558" s="24"/>
      <c r="ER558" s="24"/>
      <c r="ES558" s="24"/>
      <c r="ET558" s="24"/>
      <c r="EU558" s="24"/>
      <c r="EV558" s="24"/>
      <c r="EW558" s="24"/>
      <c r="EX558" s="24"/>
      <c r="EY558" s="24"/>
      <c r="EZ558" s="24"/>
      <c r="FA558" s="24"/>
      <c r="FB558" s="25"/>
      <c r="FC558" s="26"/>
      <c r="FD558" s="24"/>
      <c r="FE558" s="24"/>
      <c r="FF558" s="24"/>
      <c r="FG558" s="24"/>
      <c r="FH558" s="24"/>
      <c r="FI558" s="24"/>
      <c r="FJ558" s="24"/>
      <c r="FK558" s="24"/>
      <c r="FL558" s="24"/>
      <c r="FM558" s="24"/>
      <c r="FN558" s="24"/>
      <c r="FO558" s="27">
        <f t="shared" ref="FO558:FV558" si="551">IFERROR(R558*1,0)+IFERROR(AE558*1,0)+IFERROR(AR558*1,0)+IFERROR(BE558*1,0)+IFERROR(BR558*1,0)+IFERROR(CE558*1,0)+IFERROR(CR558*1,0)+IFERROR(DE558*1,0)+IFERROR(DR558*1,0)+IFERROR(EE558*1,0)+IFERROR(ER558*1,0)+IFERROR(FE558*1,0)</f>
        <v>0</v>
      </c>
      <c r="FP558" s="27">
        <f t="shared" si="551"/>
        <v>0</v>
      </c>
      <c r="FQ558" s="27">
        <f t="shared" si="551"/>
        <v>0</v>
      </c>
      <c r="FR558" s="27">
        <f t="shared" si="551"/>
        <v>0</v>
      </c>
      <c r="FS558" s="27">
        <f t="shared" si="551"/>
        <v>0</v>
      </c>
      <c r="FT558" s="27">
        <f t="shared" si="551"/>
        <v>0</v>
      </c>
      <c r="FU558" s="27">
        <f t="shared" si="551"/>
        <v>0</v>
      </c>
      <c r="FV558" s="27">
        <f t="shared" si="551"/>
        <v>0</v>
      </c>
      <c r="FW558" s="28"/>
      <c r="FX558" s="29">
        <f t="shared" si="3"/>
        <v>0</v>
      </c>
    </row>
    <row r="559" spans="1:180" ht="18" customHeight="1" x14ac:dyDescent="0.25">
      <c r="A559" s="3" t="str">
        <f>IF(C559&lt;&gt;"","DRG-"&amp;TEXT(554,"000"),"")</f>
        <v/>
      </c>
      <c r="B559" s="33"/>
      <c r="C559" s="33"/>
      <c r="D559" s="33"/>
      <c r="E559" s="33"/>
      <c r="F559" s="33"/>
      <c r="G559" s="33"/>
      <c r="H559" s="33"/>
      <c r="I559" s="33"/>
      <c r="J559" s="33"/>
      <c r="K559" s="33"/>
      <c r="L559" s="37">
        <v>4</v>
      </c>
      <c r="M559" s="30" t="str">
        <f t="shared" si="0"/>
        <v>✘ Pending</v>
      </c>
      <c r="N559" s="30">
        <f t="shared" si="1"/>
        <v>0</v>
      </c>
      <c r="O559" s="31"/>
      <c r="P559" s="32"/>
      <c r="Q559" s="33"/>
      <c r="R559" s="33"/>
      <c r="S559" s="33"/>
      <c r="T559" s="33"/>
      <c r="U559" s="33"/>
      <c r="V559" s="33"/>
      <c r="W559" s="33"/>
      <c r="X559" s="33"/>
      <c r="Y559" s="33"/>
      <c r="Z559" s="33"/>
      <c r="AA559" s="33"/>
      <c r="AB559" s="31"/>
      <c r="AC559" s="32"/>
      <c r="AD559" s="33"/>
      <c r="AE559" s="33"/>
      <c r="AF559" s="33"/>
      <c r="AG559" s="33"/>
      <c r="AH559" s="33"/>
      <c r="AI559" s="33"/>
      <c r="AJ559" s="33"/>
      <c r="AK559" s="33"/>
      <c r="AL559" s="33"/>
      <c r="AM559" s="33"/>
      <c r="AN559" s="33"/>
      <c r="AO559" s="31"/>
      <c r="AP559" s="32"/>
      <c r="AQ559" s="33"/>
      <c r="AR559" s="33"/>
      <c r="AS559" s="33"/>
      <c r="AT559" s="33"/>
      <c r="AU559" s="33"/>
      <c r="AV559" s="33"/>
      <c r="AW559" s="33"/>
      <c r="AX559" s="33"/>
      <c r="AY559" s="33"/>
      <c r="AZ559" s="33"/>
      <c r="BA559" s="33"/>
      <c r="BB559" s="31"/>
      <c r="BC559" s="32"/>
      <c r="BD559" s="33"/>
      <c r="BE559" s="33"/>
      <c r="BF559" s="33"/>
      <c r="BG559" s="33"/>
      <c r="BH559" s="33"/>
      <c r="BI559" s="33"/>
      <c r="BJ559" s="33"/>
      <c r="BK559" s="33"/>
      <c r="BL559" s="33"/>
      <c r="BM559" s="33"/>
      <c r="BN559" s="33"/>
      <c r="BO559" s="31"/>
      <c r="BP559" s="32"/>
      <c r="BQ559" s="33"/>
      <c r="BR559" s="33"/>
      <c r="BS559" s="33"/>
      <c r="BT559" s="33"/>
      <c r="BU559" s="33"/>
      <c r="BV559" s="33"/>
      <c r="BW559" s="33"/>
      <c r="BX559" s="33"/>
      <c r="BY559" s="33"/>
      <c r="BZ559" s="33"/>
      <c r="CA559" s="33"/>
      <c r="CB559" s="31"/>
      <c r="CC559" s="32"/>
      <c r="CD559" s="33"/>
      <c r="CE559" s="33"/>
      <c r="CF559" s="33"/>
      <c r="CG559" s="33"/>
      <c r="CH559" s="33"/>
      <c r="CI559" s="33"/>
      <c r="CJ559" s="33"/>
      <c r="CK559" s="33"/>
      <c r="CL559" s="33"/>
      <c r="CM559" s="33"/>
      <c r="CN559" s="33"/>
      <c r="CO559" s="31"/>
      <c r="CP559" s="32"/>
      <c r="CQ559" s="33"/>
      <c r="CR559" s="33"/>
      <c r="CS559" s="33"/>
      <c r="CT559" s="33"/>
      <c r="CU559" s="33"/>
      <c r="CV559" s="33"/>
      <c r="CW559" s="33"/>
      <c r="CX559" s="33"/>
      <c r="CY559" s="33"/>
      <c r="CZ559" s="33"/>
      <c r="DA559" s="33"/>
      <c r="DB559" s="31"/>
      <c r="DC559" s="32"/>
      <c r="DD559" s="33"/>
      <c r="DE559" s="33"/>
      <c r="DF559" s="33"/>
      <c r="DG559" s="33"/>
      <c r="DH559" s="33"/>
      <c r="DI559" s="33"/>
      <c r="DJ559" s="33"/>
      <c r="DK559" s="33"/>
      <c r="DL559" s="33"/>
      <c r="DM559" s="33"/>
      <c r="DN559" s="33"/>
      <c r="DO559" s="31"/>
      <c r="DP559" s="32"/>
      <c r="DQ559" s="33"/>
      <c r="DR559" s="33"/>
      <c r="DS559" s="33"/>
      <c r="DT559" s="33"/>
      <c r="DU559" s="33"/>
      <c r="DV559" s="33"/>
      <c r="DW559" s="33"/>
      <c r="DX559" s="33"/>
      <c r="DY559" s="33"/>
      <c r="DZ559" s="33"/>
      <c r="EA559" s="33"/>
      <c r="EB559" s="31"/>
      <c r="EC559" s="32"/>
      <c r="ED559" s="33"/>
      <c r="EE559" s="33"/>
      <c r="EF559" s="33"/>
      <c r="EG559" s="33"/>
      <c r="EH559" s="33"/>
      <c r="EI559" s="33"/>
      <c r="EJ559" s="33"/>
      <c r="EK559" s="33"/>
      <c r="EL559" s="33"/>
      <c r="EM559" s="33"/>
      <c r="EN559" s="33"/>
      <c r="EO559" s="31"/>
      <c r="EP559" s="32"/>
      <c r="EQ559" s="33"/>
      <c r="ER559" s="33"/>
      <c r="ES559" s="33"/>
      <c r="ET559" s="33"/>
      <c r="EU559" s="33"/>
      <c r="EV559" s="33"/>
      <c r="EW559" s="33"/>
      <c r="EX559" s="33"/>
      <c r="EY559" s="33"/>
      <c r="EZ559" s="33"/>
      <c r="FA559" s="33"/>
      <c r="FB559" s="31"/>
      <c r="FC559" s="32"/>
      <c r="FD559" s="33"/>
      <c r="FE559" s="33"/>
      <c r="FF559" s="33"/>
      <c r="FG559" s="33"/>
      <c r="FH559" s="33"/>
      <c r="FI559" s="33"/>
      <c r="FJ559" s="33"/>
      <c r="FK559" s="33"/>
      <c r="FL559" s="33"/>
      <c r="FM559" s="33"/>
      <c r="FN559" s="33"/>
      <c r="FO559" s="34">
        <f t="shared" ref="FO559:FV559" si="552">IFERROR(R559*1,0)+IFERROR(AE559*1,0)+IFERROR(AR559*1,0)+IFERROR(BE559*1,0)+IFERROR(BR559*1,0)+IFERROR(CE559*1,0)+IFERROR(CR559*1,0)+IFERROR(DE559*1,0)+IFERROR(DR559*1,0)+IFERROR(EE559*1,0)+IFERROR(ER559*1,0)+IFERROR(FE559*1,0)</f>
        <v>0</v>
      </c>
      <c r="FP559" s="34">
        <f t="shared" si="552"/>
        <v>0</v>
      </c>
      <c r="FQ559" s="34">
        <f t="shared" si="552"/>
        <v>0</v>
      </c>
      <c r="FR559" s="34">
        <f t="shared" si="552"/>
        <v>0</v>
      </c>
      <c r="FS559" s="34">
        <f t="shared" si="552"/>
        <v>0</v>
      </c>
      <c r="FT559" s="34">
        <f t="shared" si="552"/>
        <v>0</v>
      </c>
      <c r="FU559" s="34">
        <f t="shared" si="552"/>
        <v>0</v>
      </c>
      <c r="FV559" s="34">
        <f t="shared" si="552"/>
        <v>0</v>
      </c>
      <c r="FW559" s="28"/>
      <c r="FX559" s="29">
        <f t="shared" si="3"/>
        <v>0</v>
      </c>
    </row>
    <row r="560" spans="1:180" ht="18" customHeight="1" x14ac:dyDescent="0.25">
      <c r="A560" s="3" t="str">
        <f>IF(C560&lt;&gt;"","DRG-"&amp;TEXT(555,"000"),"")</f>
        <v/>
      </c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38">
        <v>4</v>
      </c>
      <c r="M560" s="23" t="str">
        <f t="shared" si="0"/>
        <v>✘ Pending</v>
      </c>
      <c r="N560" s="23">
        <f t="shared" si="1"/>
        <v>0</v>
      </c>
      <c r="O560" s="25"/>
      <c r="P560" s="26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  <c r="AB560" s="25"/>
      <c r="AC560" s="26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5"/>
      <c r="AP560" s="26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5"/>
      <c r="BC560" s="26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5"/>
      <c r="BP560" s="26"/>
      <c r="BQ560" s="24"/>
      <c r="BR560" s="24"/>
      <c r="BS560" s="24"/>
      <c r="BT560" s="24"/>
      <c r="BU560" s="24"/>
      <c r="BV560" s="24"/>
      <c r="BW560" s="24"/>
      <c r="BX560" s="24"/>
      <c r="BY560" s="24"/>
      <c r="BZ560" s="24"/>
      <c r="CA560" s="24"/>
      <c r="CB560" s="25"/>
      <c r="CC560" s="26"/>
      <c r="CD560" s="24"/>
      <c r="CE560" s="24"/>
      <c r="CF560" s="24"/>
      <c r="CG560" s="24"/>
      <c r="CH560" s="24"/>
      <c r="CI560" s="24"/>
      <c r="CJ560" s="24"/>
      <c r="CK560" s="24"/>
      <c r="CL560" s="24"/>
      <c r="CM560" s="24"/>
      <c r="CN560" s="24"/>
      <c r="CO560" s="25"/>
      <c r="CP560" s="26"/>
      <c r="CQ560" s="24"/>
      <c r="CR560" s="24"/>
      <c r="CS560" s="24"/>
      <c r="CT560" s="24"/>
      <c r="CU560" s="24"/>
      <c r="CV560" s="24"/>
      <c r="CW560" s="24"/>
      <c r="CX560" s="24"/>
      <c r="CY560" s="24"/>
      <c r="CZ560" s="24"/>
      <c r="DA560" s="24"/>
      <c r="DB560" s="25"/>
      <c r="DC560" s="26"/>
      <c r="DD560" s="24"/>
      <c r="DE560" s="24"/>
      <c r="DF560" s="24"/>
      <c r="DG560" s="24"/>
      <c r="DH560" s="24"/>
      <c r="DI560" s="24"/>
      <c r="DJ560" s="24"/>
      <c r="DK560" s="24"/>
      <c r="DL560" s="24"/>
      <c r="DM560" s="24"/>
      <c r="DN560" s="24"/>
      <c r="DO560" s="25"/>
      <c r="DP560" s="26"/>
      <c r="DQ560" s="24"/>
      <c r="DR560" s="24"/>
      <c r="DS560" s="24"/>
      <c r="DT560" s="24"/>
      <c r="DU560" s="24"/>
      <c r="DV560" s="24"/>
      <c r="DW560" s="24"/>
      <c r="DX560" s="24"/>
      <c r="DY560" s="24"/>
      <c r="DZ560" s="24"/>
      <c r="EA560" s="24"/>
      <c r="EB560" s="25"/>
      <c r="EC560" s="26"/>
      <c r="ED560" s="24"/>
      <c r="EE560" s="24"/>
      <c r="EF560" s="24"/>
      <c r="EG560" s="24"/>
      <c r="EH560" s="24"/>
      <c r="EI560" s="24"/>
      <c r="EJ560" s="24"/>
      <c r="EK560" s="24"/>
      <c r="EL560" s="24"/>
      <c r="EM560" s="24"/>
      <c r="EN560" s="24"/>
      <c r="EO560" s="25"/>
      <c r="EP560" s="26"/>
      <c r="EQ560" s="24"/>
      <c r="ER560" s="24"/>
      <c r="ES560" s="24"/>
      <c r="ET560" s="24"/>
      <c r="EU560" s="24"/>
      <c r="EV560" s="24"/>
      <c r="EW560" s="24"/>
      <c r="EX560" s="24"/>
      <c r="EY560" s="24"/>
      <c r="EZ560" s="24"/>
      <c r="FA560" s="24"/>
      <c r="FB560" s="25"/>
      <c r="FC560" s="26"/>
      <c r="FD560" s="24"/>
      <c r="FE560" s="24"/>
      <c r="FF560" s="24"/>
      <c r="FG560" s="24"/>
      <c r="FH560" s="24"/>
      <c r="FI560" s="24"/>
      <c r="FJ560" s="24"/>
      <c r="FK560" s="24"/>
      <c r="FL560" s="24"/>
      <c r="FM560" s="24"/>
      <c r="FN560" s="24"/>
      <c r="FO560" s="27">
        <f t="shared" ref="FO560:FV560" si="553">IFERROR(R560*1,0)+IFERROR(AE560*1,0)+IFERROR(AR560*1,0)+IFERROR(BE560*1,0)+IFERROR(BR560*1,0)+IFERROR(CE560*1,0)+IFERROR(CR560*1,0)+IFERROR(DE560*1,0)+IFERROR(DR560*1,0)+IFERROR(EE560*1,0)+IFERROR(ER560*1,0)+IFERROR(FE560*1,0)</f>
        <v>0</v>
      </c>
      <c r="FP560" s="27">
        <f t="shared" si="553"/>
        <v>0</v>
      </c>
      <c r="FQ560" s="27">
        <f t="shared" si="553"/>
        <v>0</v>
      </c>
      <c r="FR560" s="27">
        <f t="shared" si="553"/>
        <v>0</v>
      </c>
      <c r="FS560" s="27">
        <f t="shared" si="553"/>
        <v>0</v>
      </c>
      <c r="FT560" s="27">
        <f t="shared" si="553"/>
        <v>0</v>
      </c>
      <c r="FU560" s="27">
        <f t="shared" si="553"/>
        <v>0</v>
      </c>
      <c r="FV560" s="27">
        <f t="shared" si="553"/>
        <v>0</v>
      </c>
      <c r="FW560" s="28"/>
      <c r="FX560" s="29">
        <f t="shared" si="3"/>
        <v>0</v>
      </c>
    </row>
    <row r="561" spans="1:180" ht="18" customHeight="1" x14ac:dyDescent="0.25">
      <c r="A561" s="3" t="str">
        <f>IF(C561&lt;&gt;"","DRG-"&amp;TEXT(556,"000"),"")</f>
        <v/>
      </c>
      <c r="B561" s="33"/>
      <c r="C561" s="33"/>
      <c r="D561" s="33"/>
      <c r="E561" s="33"/>
      <c r="F561" s="33"/>
      <c r="G561" s="33"/>
      <c r="H561" s="33"/>
      <c r="I561" s="33"/>
      <c r="J561" s="33"/>
      <c r="K561" s="33"/>
      <c r="L561" s="37">
        <v>4</v>
      </c>
      <c r="M561" s="30" t="str">
        <f t="shared" si="0"/>
        <v>✘ Pending</v>
      </c>
      <c r="N561" s="30">
        <f t="shared" si="1"/>
        <v>0</v>
      </c>
      <c r="O561" s="31"/>
      <c r="P561" s="32"/>
      <c r="Q561" s="33"/>
      <c r="R561" s="33"/>
      <c r="S561" s="33"/>
      <c r="T561" s="33"/>
      <c r="U561" s="33"/>
      <c r="V561" s="33"/>
      <c r="W561" s="33"/>
      <c r="X561" s="33"/>
      <c r="Y561" s="33"/>
      <c r="Z561" s="33"/>
      <c r="AA561" s="33"/>
      <c r="AB561" s="31"/>
      <c r="AC561" s="32"/>
      <c r="AD561" s="33"/>
      <c r="AE561" s="33"/>
      <c r="AF561" s="33"/>
      <c r="AG561" s="33"/>
      <c r="AH561" s="33"/>
      <c r="AI561" s="33"/>
      <c r="AJ561" s="33"/>
      <c r="AK561" s="33"/>
      <c r="AL561" s="33"/>
      <c r="AM561" s="33"/>
      <c r="AN561" s="33"/>
      <c r="AO561" s="31"/>
      <c r="AP561" s="32"/>
      <c r="AQ561" s="33"/>
      <c r="AR561" s="33"/>
      <c r="AS561" s="33"/>
      <c r="AT561" s="33"/>
      <c r="AU561" s="33"/>
      <c r="AV561" s="33"/>
      <c r="AW561" s="33"/>
      <c r="AX561" s="33"/>
      <c r="AY561" s="33"/>
      <c r="AZ561" s="33"/>
      <c r="BA561" s="33"/>
      <c r="BB561" s="31"/>
      <c r="BC561" s="32"/>
      <c r="BD561" s="33"/>
      <c r="BE561" s="33"/>
      <c r="BF561" s="33"/>
      <c r="BG561" s="33"/>
      <c r="BH561" s="33"/>
      <c r="BI561" s="33"/>
      <c r="BJ561" s="33"/>
      <c r="BK561" s="33"/>
      <c r="BL561" s="33"/>
      <c r="BM561" s="33"/>
      <c r="BN561" s="33"/>
      <c r="BO561" s="31"/>
      <c r="BP561" s="32"/>
      <c r="BQ561" s="33"/>
      <c r="BR561" s="33"/>
      <c r="BS561" s="33"/>
      <c r="BT561" s="33"/>
      <c r="BU561" s="33"/>
      <c r="BV561" s="33"/>
      <c r="BW561" s="33"/>
      <c r="BX561" s="33"/>
      <c r="BY561" s="33"/>
      <c r="BZ561" s="33"/>
      <c r="CA561" s="33"/>
      <c r="CB561" s="31"/>
      <c r="CC561" s="32"/>
      <c r="CD561" s="33"/>
      <c r="CE561" s="33"/>
      <c r="CF561" s="33"/>
      <c r="CG561" s="33"/>
      <c r="CH561" s="33"/>
      <c r="CI561" s="33"/>
      <c r="CJ561" s="33"/>
      <c r="CK561" s="33"/>
      <c r="CL561" s="33"/>
      <c r="CM561" s="33"/>
      <c r="CN561" s="33"/>
      <c r="CO561" s="31"/>
      <c r="CP561" s="32"/>
      <c r="CQ561" s="33"/>
      <c r="CR561" s="33"/>
      <c r="CS561" s="33"/>
      <c r="CT561" s="33"/>
      <c r="CU561" s="33"/>
      <c r="CV561" s="33"/>
      <c r="CW561" s="33"/>
      <c r="CX561" s="33"/>
      <c r="CY561" s="33"/>
      <c r="CZ561" s="33"/>
      <c r="DA561" s="33"/>
      <c r="DB561" s="31"/>
      <c r="DC561" s="32"/>
      <c r="DD561" s="33"/>
      <c r="DE561" s="33"/>
      <c r="DF561" s="33"/>
      <c r="DG561" s="33"/>
      <c r="DH561" s="33"/>
      <c r="DI561" s="33"/>
      <c r="DJ561" s="33"/>
      <c r="DK561" s="33"/>
      <c r="DL561" s="33"/>
      <c r="DM561" s="33"/>
      <c r="DN561" s="33"/>
      <c r="DO561" s="31"/>
      <c r="DP561" s="32"/>
      <c r="DQ561" s="33"/>
      <c r="DR561" s="33"/>
      <c r="DS561" s="33"/>
      <c r="DT561" s="33"/>
      <c r="DU561" s="33"/>
      <c r="DV561" s="33"/>
      <c r="DW561" s="33"/>
      <c r="DX561" s="33"/>
      <c r="DY561" s="33"/>
      <c r="DZ561" s="33"/>
      <c r="EA561" s="33"/>
      <c r="EB561" s="31"/>
      <c r="EC561" s="32"/>
      <c r="ED561" s="33"/>
      <c r="EE561" s="33"/>
      <c r="EF561" s="33"/>
      <c r="EG561" s="33"/>
      <c r="EH561" s="33"/>
      <c r="EI561" s="33"/>
      <c r="EJ561" s="33"/>
      <c r="EK561" s="33"/>
      <c r="EL561" s="33"/>
      <c r="EM561" s="33"/>
      <c r="EN561" s="33"/>
      <c r="EO561" s="31"/>
      <c r="EP561" s="32"/>
      <c r="EQ561" s="33"/>
      <c r="ER561" s="33"/>
      <c r="ES561" s="33"/>
      <c r="ET561" s="33"/>
      <c r="EU561" s="33"/>
      <c r="EV561" s="33"/>
      <c r="EW561" s="33"/>
      <c r="EX561" s="33"/>
      <c r="EY561" s="33"/>
      <c r="EZ561" s="33"/>
      <c r="FA561" s="33"/>
      <c r="FB561" s="31"/>
      <c r="FC561" s="32"/>
      <c r="FD561" s="33"/>
      <c r="FE561" s="33"/>
      <c r="FF561" s="33"/>
      <c r="FG561" s="33"/>
      <c r="FH561" s="33"/>
      <c r="FI561" s="33"/>
      <c r="FJ561" s="33"/>
      <c r="FK561" s="33"/>
      <c r="FL561" s="33"/>
      <c r="FM561" s="33"/>
      <c r="FN561" s="33"/>
      <c r="FO561" s="34">
        <f t="shared" ref="FO561:FV561" si="554">IFERROR(R561*1,0)+IFERROR(AE561*1,0)+IFERROR(AR561*1,0)+IFERROR(BE561*1,0)+IFERROR(BR561*1,0)+IFERROR(CE561*1,0)+IFERROR(CR561*1,0)+IFERROR(DE561*1,0)+IFERROR(DR561*1,0)+IFERROR(EE561*1,0)+IFERROR(ER561*1,0)+IFERROR(FE561*1,0)</f>
        <v>0</v>
      </c>
      <c r="FP561" s="34">
        <f t="shared" si="554"/>
        <v>0</v>
      </c>
      <c r="FQ561" s="34">
        <f t="shared" si="554"/>
        <v>0</v>
      </c>
      <c r="FR561" s="34">
        <f t="shared" si="554"/>
        <v>0</v>
      </c>
      <c r="FS561" s="34">
        <f t="shared" si="554"/>
        <v>0</v>
      </c>
      <c r="FT561" s="34">
        <f t="shared" si="554"/>
        <v>0</v>
      </c>
      <c r="FU561" s="34">
        <f t="shared" si="554"/>
        <v>0</v>
      </c>
      <c r="FV561" s="34">
        <f t="shared" si="554"/>
        <v>0</v>
      </c>
      <c r="FW561" s="28"/>
      <c r="FX561" s="29">
        <f t="shared" si="3"/>
        <v>0</v>
      </c>
    </row>
    <row r="562" spans="1:180" ht="18" customHeight="1" x14ac:dyDescent="0.25">
      <c r="A562" s="3" t="str">
        <f>IF(C562&lt;&gt;"","DRG-"&amp;TEXT(557,"000"),"")</f>
        <v/>
      </c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38">
        <v>4</v>
      </c>
      <c r="M562" s="23" t="str">
        <f t="shared" si="0"/>
        <v>✘ Pending</v>
      </c>
      <c r="N562" s="23">
        <f t="shared" si="1"/>
        <v>0</v>
      </c>
      <c r="O562" s="25"/>
      <c r="P562" s="26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  <c r="AB562" s="25"/>
      <c r="AC562" s="26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5"/>
      <c r="AP562" s="26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5"/>
      <c r="BC562" s="26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5"/>
      <c r="BP562" s="26"/>
      <c r="BQ562" s="24"/>
      <c r="BR562" s="24"/>
      <c r="BS562" s="24"/>
      <c r="BT562" s="24"/>
      <c r="BU562" s="24"/>
      <c r="BV562" s="24"/>
      <c r="BW562" s="24"/>
      <c r="BX562" s="24"/>
      <c r="BY562" s="24"/>
      <c r="BZ562" s="24"/>
      <c r="CA562" s="24"/>
      <c r="CB562" s="25"/>
      <c r="CC562" s="26"/>
      <c r="CD562" s="24"/>
      <c r="CE562" s="24"/>
      <c r="CF562" s="24"/>
      <c r="CG562" s="24"/>
      <c r="CH562" s="24"/>
      <c r="CI562" s="24"/>
      <c r="CJ562" s="24"/>
      <c r="CK562" s="24"/>
      <c r="CL562" s="24"/>
      <c r="CM562" s="24"/>
      <c r="CN562" s="24"/>
      <c r="CO562" s="25"/>
      <c r="CP562" s="26"/>
      <c r="CQ562" s="24"/>
      <c r="CR562" s="24"/>
      <c r="CS562" s="24"/>
      <c r="CT562" s="24"/>
      <c r="CU562" s="24"/>
      <c r="CV562" s="24"/>
      <c r="CW562" s="24"/>
      <c r="CX562" s="24"/>
      <c r="CY562" s="24"/>
      <c r="CZ562" s="24"/>
      <c r="DA562" s="24"/>
      <c r="DB562" s="25"/>
      <c r="DC562" s="26"/>
      <c r="DD562" s="24"/>
      <c r="DE562" s="24"/>
      <c r="DF562" s="24"/>
      <c r="DG562" s="24"/>
      <c r="DH562" s="24"/>
      <c r="DI562" s="24"/>
      <c r="DJ562" s="24"/>
      <c r="DK562" s="24"/>
      <c r="DL562" s="24"/>
      <c r="DM562" s="24"/>
      <c r="DN562" s="24"/>
      <c r="DO562" s="25"/>
      <c r="DP562" s="26"/>
      <c r="DQ562" s="24"/>
      <c r="DR562" s="24"/>
      <c r="DS562" s="24"/>
      <c r="DT562" s="24"/>
      <c r="DU562" s="24"/>
      <c r="DV562" s="24"/>
      <c r="DW562" s="24"/>
      <c r="DX562" s="24"/>
      <c r="DY562" s="24"/>
      <c r="DZ562" s="24"/>
      <c r="EA562" s="24"/>
      <c r="EB562" s="25"/>
      <c r="EC562" s="26"/>
      <c r="ED562" s="24"/>
      <c r="EE562" s="24"/>
      <c r="EF562" s="24"/>
      <c r="EG562" s="24"/>
      <c r="EH562" s="24"/>
      <c r="EI562" s="24"/>
      <c r="EJ562" s="24"/>
      <c r="EK562" s="24"/>
      <c r="EL562" s="24"/>
      <c r="EM562" s="24"/>
      <c r="EN562" s="24"/>
      <c r="EO562" s="25"/>
      <c r="EP562" s="26"/>
      <c r="EQ562" s="24"/>
      <c r="ER562" s="24"/>
      <c r="ES562" s="24"/>
      <c r="ET562" s="24"/>
      <c r="EU562" s="24"/>
      <c r="EV562" s="24"/>
      <c r="EW562" s="24"/>
      <c r="EX562" s="24"/>
      <c r="EY562" s="24"/>
      <c r="EZ562" s="24"/>
      <c r="FA562" s="24"/>
      <c r="FB562" s="25"/>
      <c r="FC562" s="26"/>
      <c r="FD562" s="24"/>
      <c r="FE562" s="24"/>
      <c r="FF562" s="24"/>
      <c r="FG562" s="24"/>
      <c r="FH562" s="24"/>
      <c r="FI562" s="24"/>
      <c r="FJ562" s="24"/>
      <c r="FK562" s="24"/>
      <c r="FL562" s="24"/>
      <c r="FM562" s="24"/>
      <c r="FN562" s="24"/>
      <c r="FO562" s="27">
        <f t="shared" ref="FO562:FV562" si="555">IFERROR(R562*1,0)+IFERROR(AE562*1,0)+IFERROR(AR562*1,0)+IFERROR(BE562*1,0)+IFERROR(BR562*1,0)+IFERROR(CE562*1,0)+IFERROR(CR562*1,0)+IFERROR(DE562*1,0)+IFERROR(DR562*1,0)+IFERROR(EE562*1,0)+IFERROR(ER562*1,0)+IFERROR(FE562*1,0)</f>
        <v>0</v>
      </c>
      <c r="FP562" s="27">
        <f t="shared" si="555"/>
        <v>0</v>
      </c>
      <c r="FQ562" s="27">
        <f t="shared" si="555"/>
        <v>0</v>
      </c>
      <c r="FR562" s="27">
        <f t="shared" si="555"/>
        <v>0</v>
      </c>
      <c r="FS562" s="27">
        <f t="shared" si="555"/>
        <v>0</v>
      </c>
      <c r="FT562" s="27">
        <f t="shared" si="555"/>
        <v>0</v>
      </c>
      <c r="FU562" s="27">
        <f t="shared" si="555"/>
        <v>0</v>
      </c>
      <c r="FV562" s="27">
        <f t="shared" si="555"/>
        <v>0</v>
      </c>
      <c r="FW562" s="28"/>
      <c r="FX562" s="29">
        <f t="shared" si="3"/>
        <v>0</v>
      </c>
    </row>
    <row r="563" spans="1:180" ht="18" customHeight="1" x14ac:dyDescent="0.25">
      <c r="A563" s="3" t="str">
        <f>IF(C563&lt;&gt;"","DRG-"&amp;TEXT(558,"000"),"")</f>
        <v/>
      </c>
      <c r="B563" s="33"/>
      <c r="C563" s="33"/>
      <c r="D563" s="33"/>
      <c r="E563" s="33"/>
      <c r="F563" s="33"/>
      <c r="G563" s="33"/>
      <c r="H563" s="33"/>
      <c r="I563" s="33"/>
      <c r="J563" s="33"/>
      <c r="K563" s="33"/>
      <c r="L563" s="37">
        <v>4</v>
      </c>
      <c r="M563" s="30" t="str">
        <f t="shared" si="0"/>
        <v>✘ Pending</v>
      </c>
      <c r="N563" s="30">
        <f t="shared" si="1"/>
        <v>0</v>
      </c>
      <c r="O563" s="31"/>
      <c r="P563" s="32"/>
      <c r="Q563" s="33"/>
      <c r="R563" s="33"/>
      <c r="S563" s="33"/>
      <c r="T563" s="33"/>
      <c r="U563" s="33"/>
      <c r="V563" s="33"/>
      <c r="W563" s="33"/>
      <c r="X563" s="33"/>
      <c r="Y563" s="33"/>
      <c r="Z563" s="33"/>
      <c r="AA563" s="33"/>
      <c r="AB563" s="31"/>
      <c r="AC563" s="32"/>
      <c r="AD563" s="33"/>
      <c r="AE563" s="33"/>
      <c r="AF563" s="33"/>
      <c r="AG563" s="33"/>
      <c r="AH563" s="33"/>
      <c r="AI563" s="33"/>
      <c r="AJ563" s="33"/>
      <c r="AK563" s="33"/>
      <c r="AL563" s="33"/>
      <c r="AM563" s="33"/>
      <c r="AN563" s="33"/>
      <c r="AO563" s="31"/>
      <c r="AP563" s="32"/>
      <c r="AQ563" s="33"/>
      <c r="AR563" s="33"/>
      <c r="AS563" s="33"/>
      <c r="AT563" s="33"/>
      <c r="AU563" s="33"/>
      <c r="AV563" s="33"/>
      <c r="AW563" s="33"/>
      <c r="AX563" s="33"/>
      <c r="AY563" s="33"/>
      <c r="AZ563" s="33"/>
      <c r="BA563" s="33"/>
      <c r="BB563" s="31"/>
      <c r="BC563" s="32"/>
      <c r="BD563" s="33"/>
      <c r="BE563" s="33"/>
      <c r="BF563" s="33"/>
      <c r="BG563" s="33"/>
      <c r="BH563" s="33"/>
      <c r="BI563" s="33"/>
      <c r="BJ563" s="33"/>
      <c r="BK563" s="33"/>
      <c r="BL563" s="33"/>
      <c r="BM563" s="33"/>
      <c r="BN563" s="33"/>
      <c r="BO563" s="31"/>
      <c r="BP563" s="32"/>
      <c r="BQ563" s="33"/>
      <c r="BR563" s="33"/>
      <c r="BS563" s="33"/>
      <c r="BT563" s="33"/>
      <c r="BU563" s="33"/>
      <c r="BV563" s="33"/>
      <c r="BW563" s="33"/>
      <c r="BX563" s="33"/>
      <c r="BY563" s="33"/>
      <c r="BZ563" s="33"/>
      <c r="CA563" s="33"/>
      <c r="CB563" s="31"/>
      <c r="CC563" s="32"/>
      <c r="CD563" s="33"/>
      <c r="CE563" s="33"/>
      <c r="CF563" s="33"/>
      <c r="CG563" s="33"/>
      <c r="CH563" s="33"/>
      <c r="CI563" s="33"/>
      <c r="CJ563" s="33"/>
      <c r="CK563" s="33"/>
      <c r="CL563" s="33"/>
      <c r="CM563" s="33"/>
      <c r="CN563" s="33"/>
      <c r="CO563" s="31"/>
      <c r="CP563" s="32"/>
      <c r="CQ563" s="33"/>
      <c r="CR563" s="33"/>
      <c r="CS563" s="33"/>
      <c r="CT563" s="33"/>
      <c r="CU563" s="33"/>
      <c r="CV563" s="33"/>
      <c r="CW563" s="33"/>
      <c r="CX563" s="33"/>
      <c r="CY563" s="33"/>
      <c r="CZ563" s="33"/>
      <c r="DA563" s="33"/>
      <c r="DB563" s="31"/>
      <c r="DC563" s="32"/>
      <c r="DD563" s="33"/>
      <c r="DE563" s="33"/>
      <c r="DF563" s="33"/>
      <c r="DG563" s="33"/>
      <c r="DH563" s="33"/>
      <c r="DI563" s="33"/>
      <c r="DJ563" s="33"/>
      <c r="DK563" s="33"/>
      <c r="DL563" s="33"/>
      <c r="DM563" s="33"/>
      <c r="DN563" s="33"/>
      <c r="DO563" s="31"/>
      <c r="DP563" s="32"/>
      <c r="DQ563" s="33"/>
      <c r="DR563" s="33"/>
      <c r="DS563" s="33"/>
      <c r="DT563" s="33"/>
      <c r="DU563" s="33"/>
      <c r="DV563" s="33"/>
      <c r="DW563" s="33"/>
      <c r="DX563" s="33"/>
      <c r="DY563" s="33"/>
      <c r="DZ563" s="33"/>
      <c r="EA563" s="33"/>
      <c r="EB563" s="31"/>
      <c r="EC563" s="32"/>
      <c r="ED563" s="33"/>
      <c r="EE563" s="33"/>
      <c r="EF563" s="33"/>
      <c r="EG563" s="33"/>
      <c r="EH563" s="33"/>
      <c r="EI563" s="33"/>
      <c r="EJ563" s="33"/>
      <c r="EK563" s="33"/>
      <c r="EL563" s="33"/>
      <c r="EM563" s="33"/>
      <c r="EN563" s="33"/>
      <c r="EO563" s="31"/>
      <c r="EP563" s="32"/>
      <c r="EQ563" s="33"/>
      <c r="ER563" s="33"/>
      <c r="ES563" s="33"/>
      <c r="ET563" s="33"/>
      <c r="EU563" s="33"/>
      <c r="EV563" s="33"/>
      <c r="EW563" s="33"/>
      <c r="EX563" s="33"/>
      <c r="EY563" s="33"/>
      <c r="EZ563" s="33"/>
      <c r="FA563" s="33"/>
      <c r="FB563" s="31"/>
      <c r="FC563" s="32"/>
      <c r="FD563" s="33"/>
      <c r="FE563" s="33"/>
      <c r="FF563" s="33"/>
      <c r="FG563" s="33"/>
      <c r="FH563" s="33"/>
      <c r="FI563" s="33"/>
      <c r="FJ563" s="33"/>
      <c r="FK563" s="33"/>
      <c r="FL563" s="33"/>
      <c r="FM563" s="33"/>
      <c r="FN563" s="33"/>
      <c r="FO563" s="34">
        <f t="shared" ref="FO563:FV563" si="556">IFERROR(R563*1,0)+IFERROR(AE563*1,0)+IFERROR(AR563*1,0)+IFERROR(BE563*1,0)+IFERROR(BR563*1,0)+IFERROR(CE563*1,0)+IFERROR(CR563*1,0)+IFERROR(DE563*1,0)+IFERROR(DR563*1,0)+IFERROR(EE563*1,0)+IFERROR(ER563*1,0)+IFERROR(FE563*1,0)</f>
        <v>0</v>
      </c>
      <c r="FP563" s="34">
        <f t="shared" si="556"/>
        <v>0</v>
      </c>
      <c r="FQ563" s="34">
        <f t="shared" si="556"/>
        <v>0</v>
      </c>
      <c r="FR563" s="34">
        <f t="shared" si="556"/>
        <v>0</v>
      </c>
      <c r="FS563" s="34">
        <f t="shared" si="556"/>
        <v>0</v>
      </c>
      <c r="FT563" s="34">
        <f t="shared" si="556"/>
        <v>0</v>
      </c>
      <c r="FU563" s="34">
        <f t="shared" si="556"/>
        <v>0</v>
      </c>
      <c r="FV563" s="34">
        <f t="shared" si="556"/>
        <v>0</v>
      </c>
      <c r="FW563" s="28"/>
      <c r="FX563" s="29">
        <f t="shared" si="3"/>
        <v>0</v>
      </c>
    </row>
    <row r="564" spans="1:180" ht="18" customHeight="1" x14ac:dyDescent="0.25">
      <c r="A564" s="3" t="str">
        <f>IF(C564&lt;&gt;"","DRG-"&amp;TEXT(559,"000"),"")</f>
        <v/>
      </c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38">
        <v>4</v>
      </c>
      <c r="M564" s="23" t="str">
        <f t="shared" si="0"/>
        <v>✘ Pending</v>
      </c>
      <c r="N564" s="23">
        <f t="shared" si="1"/>
        <v>0</v>
      </c>
      <c r="O564" s="25"/>
      <c r="P564" s="26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  <c r="AB564" s="25"/>
      <c r="AC564" s="26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5"/>
      <c r="AP564" s="26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5"/>
      <c r="BC564" s="26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5"/>
      <c r="BP564" s="26"/>
      <c r="BQ564" s="24"/>
      <c r="BR564" s="24"/>
      <c r="BS564" s="24"/>
      <c r="BT564" s="24"/>
      <c r="BU564" s="24"/>
      <c r="BV564" s="24"/>
      <c r="BW564" s="24"/>
      <c r="BX564" s="24"/>
      <c r="BY564" s="24"/>
      <c r="BZ564" s="24"/>
      <c r="CA564" s="24"/>
      <c r="CB564" s="25"/>
      <c r="CC564" s="26"/>
      <c r="CD564" s="24"/>
      <c r="CE564" s="24"/>
      <c r="CF564" s="24"/>
      <c r="CG564" s="24"/>
      <c r="CH564" s="24"/>
      <c r="CI564" s="24"/>
      <c r="CJ564" s="24"/>
      <c r="CK564" s="24"/>
      <c r="CL564" s="24"/>
      <c r="CM564" s="24"/>
      <c r="CN564" s="24"/>
      <c r="CO564" s="25"/>
      <c r="CP564" s="26"/>
      <c r="CQ564" s="24"/>
      <c r="CR564" s="24"/>
      <c r="CS564" s="24"/>
      <c r="CT564" s="24"/>
      <c r="CU564" s="24"/>
      <c r="CV564" s="24"/>
      <c r="CW564" s="24"/>
      <c r="CX564" s="24"/>
      <c r="CY564" s="24"/>
      <c r="CZ564" s="24"/>
      <c r="DA564" s="24"/>
      <c r="DB564" s="25"/>
      <c r="DC564" s="26"/>
      <c r="DD564" s="24"/>
      <c r="DE564" s="24"/>
      <c r="DF564" s="24"/>
      <c r="DG564" s="24"/>
      <c r="DH564" s="24"/>
      <c r="DI564" s="24"/>
      <c r="DJ564" s="24"/>
      <c r="DK564" s="24"/>
      <c r="DL564" s="24"/>
      <c r="DM564" s="24"/>
      <c r="DN564" s="24"/>
      <c r="DO564" s="25"/>
      <c r="DP564" s="26"/>
      <c r="DQ564" s="24"/>
      <c r="DR564" s="24"/>
      <c r="DS564" s="24"/>
      <c r="DT564" s="24"/>
      <c r="DU564" s="24"/>
      <c r="DV564" s="24"/>
      <c r="DW564" s="24"/>
      <c r="DX564" s="24"/>
      <c r="DY564" s="24"/>
      <c r="DZ564" s="24"/>
      <c r="EA564" s="24"/>
      <c r="EB564" s="25"/>
      <c r="EC564" s="26"/>
      <c r="ED564" s="24"/>
      <c r="EE564" s="24"/>
      <c r="EF564" s="24"/>
      <c r="EG564" s="24"/>
      <c r="EH564" s="24"/>
      <c r="EI564" s="24"/>
      <c r="EJ564" s="24"/>
      <c r="EK564" s="24"/>
      <c r="EL564" s="24"/>
      <c r="EM564" s="24"/>
      <c r="EN564" s="24"/>
      <c r="EO564" s="25"/>
      <c r="EP564" s="26"/>
      <c r="EQ564" s="24"/>
      <c r="ER564" s="24"/>
      <c r="ES564" s="24"/>
      <c r="ET564" s="24"/>
      <c r="EU564" s="24"/>
      <c r="EV564" s="24"/>
      <c r="EW564" s="24"/>
      <c r="EX564" s="24"/>
      <c r="EY564" s="24"/>
      <c r="EZ564" s="24"/>
      <c r="FA564" s="24"/>
      <c r="FB564" s="25"/>
      <c r="FC564" s="26"/>
      <c r="FD564" s="24"/>
      <c r="FE564" s="24"/>
      <c r="FF564" s="24"/>
      <c r="FG564" s="24"/>
      <c r="FH564" s="24"/>
      <c r="FI564" s="24"/>
      <c r="FJ564" s="24"/>
      <c r="FK564" s="24"/>
      <c r="FL564" s="24"/>
      <c r="FM564" s="24"/>
      <c r="FN564" s="24"/>
      <c r="FO564" s="27">
        <f t="shared" ref="FO564:FV564" si="557">IFERROR(R564*1,0)+IFERROR(AE564*1,0)+IFERROR(AR564*1,0)+IFERROR(BE564*1,0)+IFERROR(BR564*1,0)+IFERROR(CE564*1,0)+IFERROR(CR564*1,0)+IFERROR(DE564*1,0)+IFERROR(DR564*1,0)+IFERROR(EE564*1,0)+IFERROR(ER564*1,0)+IFERROR(FE564*1,0)</f>
        <v>0</v>
      </c>
      <c r="FP564" s="27">
        <f t="shared" si="557"/>
        <v>0</v>
      </c>
      <c r="FQ564" s="27">
        <f t="shared" si="557"/>
        <v>0</v>
      </c>
      <c r="FR564" s="27">
        <f t="shared" si="557"/>
        <v>0</v>
      </c>
      <c r="FS564" s="27">
        <f t="shared" si="557"/>
        <v>0</v>
      </c>
      <c r="FT564" s="27">
        <f t="shared" si="557"/>
        <v>0</v>
      </c>
      <c r="FU564" s="27">
        <f t="shared" si="557"/>
        <v>0</v>
      </c>
      <c r="FV564" s="27">
        <f t="shared" si="557"/>
        <v>0</v>
      </c>
      <c r="FW564" s="28"/>
      <c r="FX564" s="29">
        <f t="shared" si="3"/>
        <v>0</v>
      </c>
    </row>
    <row r="565" spans="1:180" ht="18" customHeight="1" x14ac:dyDescent="0.25">
      <c r="A565" s="3" t="str">
        <f>IF(C565&lt;&gt;"","DRG-"&amp;TEXT(560,"000"),"")</f>
        <v/>
      </c>
      <c r="B565" s="33"/>
      <c r="C565" s="33"/>
      <c r="D565" s="33"/>
      <c r="E565" s="33"/>
      <c r="F565" s="33"/>
      <c r="G565" s="33"/>
      <c r="H565" s="33"/>
      <c r="I565" s="33"/>
      <c r="J565" s="33"/>
      <c r="K565" s="33"/>
      <c r="L565" s="37">
        <v>4</v>
      </c>
      <c r="M565" s="30" t="str">
        <f t="shared" si="0"/>
        <v>✘ Pending</v>
      </c>
      <c r="N565" s="30">
        <f t="shared" si="1"/>
        <v>0</v>
      </c>
      <c r="O565" s="31"/>
      <c r="P565" s="32"/>
      <c r="Q565" s="33"/>
      <c r="R565" s="33"/>
      <c r="S565" s="33"/>
      <c r="T565" s="33"/>
      <c r="U565" s="33"/>
      <c r="V565" s="33"/>
      <c r="W565" s="33"/>
      <c r="X565" s="33"/>
      <c r="Y565" s="33"/>
      <c r="Z565" s="33"/>
      <c r="AA565" s="33"/>
      <c r="AB565" s="31"/>
      <c r="AC565" s="32"/>
      <c r="AD565" s="33"/>
      <c r="AE565" s="33"/>
      <c r="AF565" s="33"/>
      <c r="AG565" s="33"/>
      <c r="AH565" s="33"/>
      <c r="AI565" s="33"/>
      <c r="AJ565" s="33"/>
      <c r="AK565" s="33"/>
      <c r="AL565" s="33"/>
      <c r="AM565" s="33"/>
      <c r="AN565" s="33"/>
      <c r="AO565" s="31"/>
      <c r="AP565" s="32"/>
      <c r="AQ565" s="33"/>
      <c r="AR565" s="33"/>
      <c r="AS565" s="33"/>
      <c r="AT565" s="33"/>
      <c r="AU565" s="33"/>
      <c r="AV565" s="33"/>
      <c r="AW565" s="33"/>
      <c r="AX565" s="33"/>
      <c r="AY565" s="33"/>
      <c r="AZ565" s="33"/>
      <c r="BA565" s="33"/>
      <c r="BB565" s="31"/>
      <c r="BC565" s="32"/>
      <c r="BD565" s="33"/>
      <c r="BE565" s="33"/>
      <c r="BF565" s="33"/>
      <c r="BG565" s="33"/>
      <c r="BH565" s="33"/>
      <c r="BI565" s="33"/>
      <c r="BJ565" s="33"/>
      <c r="BK565" s="33"/>
      <c r="BL565" s="33"/>
      <c r="BM565" s="33"/>
      <c r="BN565" s="33"/>
      <c r="BO565" s="31"/>
      <c r="BP565" s="32"/>
      <c r="BQ565" s="33"/>
      <c r="BR565" s="33"/>
      <c r="BS565" s="33"/>
      <c r="BT565" s="33"/>
      <c r="BU565" s="33"/>
      <c r="BV565" s="33"/>
      <c r="BW565" s="33"/>
      <c r="BX565" s="33"/>
      <c r="BY565" s="33"/>
      <c r="BZ565" s="33"/>
      <c r="CA565" s="33"/>
      <c r="CB565" s="31"/>
      <c r="CC565" s="32"/>
      <c r="CD565" s="33"/>
      <c r="CE565" s="33"/>
      <c r="CF565" s="33"/>
      <c r="CG565" s="33"/>
      <c r="CH565" s="33"/>
      <c r="CI565" s="33"/>
      <c r="CJ565" s="33"/>
      <c r="CK565" s="33"/>
      <c r="CL565" s="33"/>
      <c r="CM565" s="33"/>
      <c r="CN565" s="33"/>
      <c r="CO565" s="31"/>
      <c r="CP565" s="32"/>
      <c r="CQ565" s="33"/>
      <c r="CR565" s="33"/>
      <c r="CS565" s="33"/>
      <c r="CT565" s="33"/>
      <c r="CU565" s="33"/>
      <c r="CV565" s="33"/>
      <c r="CW565" s="33"/>
      <c r="CX565" s="33"/>
      <c r="CY565" s="33"/>
      <c r="CZ565" s="33"/>
      <c r="DA565" s="33"/>
      <c r="DB565" s="31"/>
      <c r="DC565" s="32"/>
      <c r="DD565" s="33"/>
      <c r="DE565" s="33"/>
      <c r="DF565" s="33"/>
      <c r="DG565" s="33"/>
      <c r="DH565" s="33"/>
      <c r="DI565" s="33"/>
      <c r="DJ565" s="33"/>
      <c r="DK565" s="33"/>
      <c r="DL565" s="33"/>
      <c r="DM565" s="33"/>
      <c r="DN565" s="33"/>
      <c r="DO565" s="31"/>
      <c r="DP565" s="32"/>
      <c r="DQ565" s="33"/>
      <c r="DR565" s="33"/>
      <c r="DS565" s="33"/>
      <c r="DT565" s="33"/>
      <c r="DU565" s="33"/>
      <c r="DV565" s="33"/>
      <c r="DW565" s="33"/>
      <c r="DX565" s="33"/>
      <c r="DY565" s="33"/>
      <c r="DZ565" s="33"/>
      <c r="EA565" s="33"/>
      <c r="EB565" s="31"/>
      <c r="EC565" s="32"/>
      <c r="ED565" s="33"/>
      <c r="EE565" s="33"/>
      <c r="EF565" s="33"/>
      <c r="EG565" s="33"/>
      <c r="EH565" s="33"/>
      <c r="EI565" s="33"/>
      <c r="EJ565" s="33"/>
      <c r="EK565" s="33"/>
      <c r="EL565" s="33"/>
      <c r="EM565" s="33"/>
      <c r="EN565" s="33"/>
      <c r="EO565" s="31"/>
      <c r="EP565" s="32"/>
      <c r="EQ565" s="33"/>
      <c r="ER565" s="33"/>
      <c r="ES565" s="33"/>
      <c r="ET565" s="33"/>
      <c r="EU565" s="33"/>
      <c r="EV565" s="33"/>
      <c r="EW565" s="33"/>
      <c r="EX565" s="33"/>
      <c r="EY565" s="33"/>
      <c r="EZ565" s="33"/>
      <c r="FA565" s="33"/>
      <c r="FB565" s="31"/>
      <c r="FC565" s="32"/>
      <c r="FD565" s="33"/>
      <c r="FE565" s="33"/>
      <c r="FF565" s="33"/>
      <c r="FG565" s="33"/>
      <c r="FH565" s="33"/>
      <c r="FI565" s="33"/>
      <c r="FJ565" s="33"/>
      <c r="FK565" s="33"/>
      <c r="FL565" s="33"/>
      <c r="FM565" s="33"/>
      <c r="FN565" s="33"/>
      <c r="FO565" s="34">
        <f t="shared" ref="FO565:FV565" si="558">IFERROR(R565*1,0)+IFERROR(AE565*1,0)+IFERROR(AR565*1,0)+IFERROR(BE565*1,0)+IFERROR(BR565*1,0)+IFERROR(CE565*1,0)+IFERROR(CR565*1,0)+IFERROR(DE565*1,0)+IFERROR(DR565*1,0)+IFERROR(EE565*1,0)+IFERROR(ER565*1,0)+IFERROR(FE565*1,0)</f>
        <v>0</v>
      </c>
      <c r="FP565" s="34">
        <f t="shared" si="558"/>
        <v>0</v>
      </c>
      <c r="FQ565" s="34">
        <f t="shared" si="558"/>
        <v>0</v>
      </c>
      <c r="FR565" s="34">
        <f t="shared" si="558"/>
        <v>0</v>
      </c>
      <c r="FS565" s="34">
        <f t="shared" si="558"/>
        <v>0</v>
      </c>
      <c r="FT565" s="34">
        <f t="shared" si="558"/>
        <v>0</v>
      </c>
      <c r="FU565" s="34">
        <f t="shared" si="558"/>
        <v>0</v>
      </c>
      <c r="FV565" s="34">
        <f t="shared" si="558"/>
        <v>0</v>
      </c>
      <c r="FW565" s="28"/>
      <c r="FX565" s="29">
        <f t="shared" si="3"/>
        <v>0</v>
      </c>
    </row>
    <row r="566" spans="1:180" ht="18" customHeight="1" x14ac:dyDescent="0.25">
      <c r="A566" s="3" t="str">
        <f>IF(C566&lt;&gt;"","DRG-"&amp;TEXT(561,"000"),"")</f>
        <v/>
      </c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38">
        <v>4</v>
      </c>
      <c r="M566" s="23" t="str">
        <f t="shared" si="0"/>
        <v>✘ Pending</v>
      </c>
      <c r="N566" s="23">
        <f t="shared" si="1"/>
        <v>0</v>
      </c>
      <c r="O566" s="25"/>
      <c r="P566" s="26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  <c r="AB566" s="25"/>
      <c r="AC566" s="26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5"/>
      <c r="AP566" s="26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5"/>
      <c r="BC566" s="26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5"/>
      <c r="BP566" s="26"/>
      <c r="BQ566" s="24"/>
      <c r="BR566" s="24"/>
      <c r="BS566" s="24"/>
      <c r="BT566" s="24"/>
      <c r="BU566" s="24"/>
      <c r="BV566" s="24"/>
      <c r="BW566" s="24"/>
      <c r="BX566" s="24"/>
      <c r="BY566" s="24"/>
      <c r="BZ566" s="24"/>
      <c r="CA566" s="24"/>
      <c r="CB566" s="25"/>
      <c r="CC566" s="26"/>
      <c r="CD566" s="24"/>
      <c r="CE566" s="24"/>
      <c r="CF566" s="24"/>
      <c r="CG566" s="24"/>
      <c r="CH566" s="24"/>
      <c r="CI566" s="24"/>
      <c r="CJ566" s="24"/>
      <c r="CK566" s="24"/>
      <c r="CL566" s="24"/>
      <c r="CM566" s="24"/>
      <c r="CN566" s="24"/>
      <c r="CO566" s="25"/>
      <c r="CP566" s="26"/>
      <c r="CQ566" s="24"/>
      <c r="CR566" s="24"/>
      <c r="CS566" s="24"/>
      <c r="CT566" s="24"/>
      <c r="CU566" s="24"/>
      <c r="CV566" s="24"/>
      <c r="CW566" s="24"/>
      <c r="CX566" s="24"/>
      <c r="CY566" s="24"/>
      <c r="CZ566" s="24"/>
      <c r="DA566" s="24"/>
      <c r="DB566" s="25"/>
      <c r="DC566" s="26"/>
      <c r="DD566" s="24"/>
      <c r="DE566" s="24"/>
      <c r="DF566" s="24"/>
      <c r="DG566" s="24"/>
      <c r="DH566" s="24"/>
      <c r="DI566" s="24"/>
      <c r="DJ566" s="24"/>
      <c r="DK566" s="24"/>
      <c r="DL566" s="24"/>
      <c r="DM566" s="24"/>
      <c r="DN566" s="24"/>
      <c r="DO566" s="25"/>
      <c r="DP566" s="26"/>
      <c r="DQ566" s="24"/>
      <c r="DR566" s="24"/>
      <c r="DS566" s="24"/>
      <c r="DT566" s="24"/>
      <c r="DU566" s="24"/>
      <c r="DV566" s="24"/>
      <c r="DW566" s="24"/>
      <c r="DX566" s="24"/>
      <c r="DY566" s="24"/>
      <c r="DZ566" s="24"/>
      <c r="EA566" s="24"/>
      <c r="EB566" s="25"/>
      <c r="EC566" s="26"/>
      <c r="ED566" s="24"/>
      <c r="EE566" s="24"/>
      <c r="EF566" s="24"/>
      <c r="EG566" s="24"/>
      <c r="EH566" s="24"/>
      <c r="EI566" s="24"/>
      <c r="EJ566" s="24"/>
      <c r="EK566" s="24"/>
      <c r="EL566" s="24"/>
      <c r="EM566" s="24"/>
      <c r="EN566" s="24"/>
      <c r="EO566" s="25"/>
      <c r="EP566" s="26"/>
      <c r="EQ566" s="24"/>
      <c r="ER566" s="24"/>
      <c r="ES566" s="24"/>
      <c r="ET566" s="24"/>
      <c r="EU566" s="24"/>
      <c r="EV566" s="24"/>
      <c r="EW566" s="24"/>
      <c r="EX566" s="24"/>
      <c r="EY566" s="24"/>
      <c r="EZ566" s="24"/>
      <c r="FA566" s="24"/>
      <c r="FB566" s="25"/>
      <c r="FC566" s="26"/>
      <c r="FD566" s="24"/>
      <c r="FE566" s="24"/>
      <c r="FF566" s="24"/>
      <c r="FG566" s="24"/>
      <c r="FH566" s="24"/>
      <c r="FI566" s="24"/>
      <c r="FJ566" s="24"/>
      <c r="FK566" s="24"/>
      <c r="FL566" s="24"/>
      <c r="FM566" s="24"/>
      <c r="FN566" s="24"/>
      <c r="FO566" s="27">
        <f t="shared" ref="FO566:FV566" si="559">IFERROR(R566*1,0)+IFERROR(AE566*1,0)+IFERROR(AR566*1,0)+IFERROR(BE566*1,0)+IFERROR(BR566*1,0)+IFERROR(CE566*1,0)+IFERROR(CR566*1,0)+IFERROR(DE566*1,0)+IFERROR(DR566*1,0)+IFERROR(EE566*1,0)+IFERROR(ER566*1,0)+IFERROR(FE566*1,0)</f>
        <v>0</v>
      </c>
      <c r="FP566" s="27">
        <f t="shared" si="559"/>
        <v>0</v>
      </c>
      <c r="FQ566" s="27">
        <f t="shared" si="559"/>
        <v>0</v>
      </c>
      <c r="FR566" s="27">
        <f t="shared" si="559"/>
        <v>0</v>
      </c>
      <c r="FS566" s="27">
        <f t="shared" si="559"/>
        <v>0</v>
      </c>
      <c r="FT566" s="27">
        <f t="shared" si="559"/>
        <v>0</v>
      </c>
      <c r="FU566" s="27">
        <f t="shared" si="559"/>
        <v>0</v>
      </c>
      <c r="FV566" s="27">
        <f t="shared" si="559"/>
        <v>0</v>
      </c>
      <c r="FW566" s="28"/>
      <c r="FX566" s="29">
        <f t="shared" si="3"/>
        <v>0</v>
      </c>
    </row>
    <row r="567" spans="1:180" ht="18" customHeight="1" x14ac:dyDescent="0.25">
      <c r="A567" s="3" t="str">
        <f>IF(C567&lt;&gt;"","DRG-"&amp;TEXT(562,"000"),"")</f>
        <v/>
      </c>
      <c r="B567" s="33"/>
      <c r="C567" s="33"/>
      <c r="D567" s="33"/>
      <c r="E567" s="33"/>
      <c r="F567" s="33"/>
      <c r="G567" s="33"/>
      <c r="H567" s="33"/>
      <c r="I567" s="33"/>
      <c r="J567" s="33"/>
      <c r="K567" s="33"/>
      <c r="L567" s="37">
        <v>4</v>
      </c>
      <c r="M567" s="30" t="str">
        <f t="shared" si="0"/>
        <v>✘ Pending</v>
      </c>
      <c r="N567" s="30">
        <f t="shared" si="1"/>
        <v>0</v>
      </c>
      <c r="O567" s="31"/>
      <c r="P567" s="32"/>
      <c r="Q567" s="33"/>
      <c r="R567" s="33"/>
      <c r="S567" s="33"/>
      <c r="T567" s="33"/>
      <c r="U567" s="33"/>
      <c r="V567" s="33"/>
      <c r="W567" s="33"/>
      <c r="X567" s="33"/>
      <c r="Y567" s="33"/>
      <c r="Z567" s="33"/>
      <c r="AA567" s="33"/>
      <c r="AB567" s="31"/>
      <c r="AC567" s="32"/>
      <c r="AD567" s="33"/>
      <c r="AE567" s="33"/>
      <c r="AF567" s="33"/>
      <c r="AG567" s="33"/>
      <c r="AH567" s="33"/>
      <c r="AI567" s="33"/>
      <c r="AJ567" s="33"/>
      <c r="AK567" s="33"/>
      <c r="AL567" s="33"/>
      <c r="AM567" s="33"/>
      <c r="AN567" s="33"/>
      <c r="AO567" s="31"/>
      <c r="AP567" s="32"/>
      <c r="AQ567" s="33"/>
      <c r="AR567" s="33"/>
      <c r="AS567" s="33"/>
      <c r="AT567" s="33"/>
      <c r="AU567" s="33"/>
      <c r="AV567" s="33"/>
      <c r="AW567" s="33"/>
      <c r="AX567" s="33"/>
      <c r="AY567" s="33"/>
      <c r="AZ567" s="33"/>
      <c r="BA567" s="33"/>
      <c r="BB567" s="31"/>
      <c r="BC567" s="32"/>
      <c r="BD567" s="33"/>
      <c r="BE567" s="33"/>
      <c r="BF567" s="33"/>
      <c r="BG567" s="33"/>
      <c r="BH567" s="33"/>
      <c r="BI567" s="33"/>
      <c r="BJ567" s="33"/>
      <c r="BK567" s="33"/>
      <c r="BL567" s="33"/>
      <c r="BM567" s="33"/>
      <c r="BN567" s="33"/>
      <c r="BO567" s="31"/>
      <c r="BP567" s="32"/>
      <c r="BQ567" s="33"/>
      <c r="BR567" s="33"/>
      <c r="BS567" s="33"/>
      <c r="BT567" s="33"/>
      <c r="BU567" s="33"/>
      <c r="BV567" s="33"/>
      <c r="BW567" s="33"/>
      <c r="BX567" s="33"/>
      <c r="BY567" s="33"/>
      <c r="BZ567" s="33"/>
      <c r="CA567" s="33"/>
      <c r="CB567" s="31"/>
      <c r="CC567" s="32"/>
      <c r="CD567" s="33"/>
      <c r="CE567" s="33"/>
      <c r="CF567" s="33"/>
      <c r="CG567" s="33"/>
      <c r="CH567" s="33"/>
      <c r="CI567" s="33"/>
      <c r="CJ567" s="33"/>
      <c r="CK567" s="33"/>
      <c r="CL567" s="33"/>
      <c r="CM567" s="33"/>
      <c r="CN567" s="33"/>
      <c r="CO567" s="31"/>
      <c r="CP567" s="32"/>
      <c r="CQ567" s="33"/>
      <c r="CR567" s="33"/>
      <c r="CS567" s="33"/>
      <c r="CT567" s="33"/>
      <c r="CU567" s="33"/>
      <c r="CV567" s="33"/>
      <c r="CW567" s="33"/>
      <c r="CX567" s="33"/>
      <c r="CY567" s="33"/>
      <c r="CZ567" s="33"/>
      <c r="DA567" s="33"/>
      <c r="DB567" s="31"/>
      <c r="DC567" s="32"/>
      <c r="DD567" s="33"/>
      <c r="DE567" s="33"/>
      <c r="DF567" s="33"/>
      <c r="DG567" s="33"/>
      <c r="DH567" s="33"/>
      <c r="DI567" s="33"/>
      <c r="DJ567" s="33"/>
      <c r="DK567" s="33"/>
      <c r="DL567" s="33"/>
      <c r="DM567" s="33"/>
      <c r="DN567" s="33"/>
      <c r="DO567" s="31"/>
      <c r="DP567" s="32"/>
      <c r="DQ567" s="33"/>
      <c r="DR567" s="33"/>
      <c r="DS567" s="33"/>
      <c r="DT567" s="33"/>
      <c r="DU567" s="33"/>
      <c r="DV567" s="33"/>
      <c r="DW567" s="33"/>
      <c r="DX567" s="33"/>
      <c r="DY567" s="33"/>
      <c r="DZ567" s="33"/>
      <c r="EA567" s="33"/>
      <c r="EB567" s="31"/>
      <c r="EC567" s="32"/>
      <c r="ED567" s="33"/>
      <c r="EE567" s="33"/>
      <c r="EF567" s="33"/>
      <c r="EG567" s="33"/>
      <c r="EH567" s="33"/>
      <c r="EI567" s="33"/>
      <c r="EJ567" s="33"/>
      <c r="EK567" s="33"/>
      <c r="EL567" s="33"/>
      <c r="EM567" s="33"/>
      <c r="EN567" s="33"/>
      <c r="EO567" s="31"/>
      <c r="EP567" s="32"/>
      <c r="EQ567" s="33"/>
      <c r="ER567" s="33"/>
      <c r="ES567" s="33"/>
      <c r="ET567" s="33"/>
      <c r="EU567" s="33"/>
      <c r="EV567" s="33"/>
      <c r="EW567" s="33"/>
      <c r="EX567" s="33"/>
      <c r="EY567" s="33"/>
      <c r="EZ567" s="33"/>
      <c r="FA567" s="33"/>
      <c r="FB567" s="31"/>
      <c r="FC567" s="32"/>
      <c r="FD567" s="33"/>
      <c r="FE567" s="33"/>
      <c r="FF567" s="33"/>
      <c r="FG567" s="33"/>
      <c r="FH567" s="33"/>
      <c r="FI567" s="33"/>
      <c r="FJ567" s="33"/>
      <c r="FK567" s="33"/>
      <c r="FL567" s="33"/>
      <c r="FM567" s="33"/>
      <c r="FN567" s="33"/>
      <c r="FO567" s="34">
        <f t="shared" ref="FO567:FV567" si="560">IFERROR(R567*1,0)+IFERROR(AE567*1,0)+IFERROR(AR567*1,0)+IFERROR(BE567*1,0)+IFERROR(BR567*1,0)+IFERROR(CE567*1,0)+IFERROR(CR567*1,0)+IFERROR(DE567*1,0)+IFERROR(DR567*1,0)+IFERROR(EE567*1,0)+IFERROR(ER567*1,0)+IFERROR(FE567*1,0)</f>
        <v>0</v>
      </c>
      <c r="FP567" s="34">
        <f t="shared" si="560"/>
        <v>0</v>
      </c>
      <c r="FQ567" s="34">
        <f t="shared" si="560"/>
        <v>0</v>
      </c>
      <c r="FR567" s="34">
        <f t="shared" si="560"/>
        <v>0</v>
      </c>
      <c r="FS567" s="34">
        <f t="shared" si="560"/>
        <v>0</v>
      </c>
      <c r="FT567" s="34">
        <f t="shared" si="560"/>
        <v>0</v>
      </c>
      <c r="FU567" s="34">
        <f t="shared" si="560"/>
        <v>0</v>
      </c>
      <c r="FV567" s="34">
        <f t="shared" si="560"/>
        <v>0</v>
      </c>
      <c r="FW567" s="28"/>
      <c r="FX567" s="29">
        <f t="shared" si="3"/>
        <v>0</v>
      </c>
    </row>
    <row r="568" spans="1:180" ht="18" customHeight="1" x14ac:dyDescent="0.25">
      <c r="A568" s="3" t="str">
        <f>IF(C568&lt;&gt;"","DRG-"&amp;TEXT(563,"000"),"")</f>
        <v/>
      </c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38">
        <v>4</v>
      </c>
      <c r="M568" s="23" t="str">
        <f t="shared" si="0"/>
        <v>✘ Pending</v>
      </c>
      <c r="N568" s="23">
        <f t="shared" si="1"/>
        <v>0</v>
      </c>
      <c r="O568" s="25"/>
      <c r="P568" s="26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  <c r="AB568" s="25"/>
      <c r="AC568" s="26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5"/>
      <c r="AP568" s="26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5"/>
      <c r="BC568" s="26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5"/>
      <c r="BP568" s="26"/>
      <c r="BQ568" s="24"/>
      <c r="BR568" s="24"/>
      <c r="BS568" s="24"/>
      <c r="BT568" s="24"/>
      <c r="BU568" s="24"/>
      <c r="BV568" s="24"/>
      <c r="BW568" s="24"/>
      <c r="BX568" s="24"/>
      <c r="BY568" s="24"/>
      <c r="BZ568" s="24"/>
      <c r="CA568" s="24"/>
      <c r="CB568" s="25"/>
      <c r="CC568" s="26"/>
      <c r="CD568" s="24"/>
      <c r="CE568" s="24"/>
      <c r="CF568" s="24"/>
      <c r="CG568" s="24"/>
      <c r="CH568" s="24"/>
      <c r="CI568" s="24"/>
      <c r="CJ568" s="24"/>
      <c r="CK568" s="24"/>
      <c r="CL568" s="24"/>
      <c r="CM568" s="24"/>
      <c r="CN568" s="24"/>
      <c r="CO568" s="25"/>
      <c r="CP568" s="26"/>
      <c r="CQ568" s="24"/>
      <c r="CR568" s="24"/>
      <c r="CS568" s="24"/>
      <c r="CT568" s="24"/>
      <c r="CU568" s="24"/>
      <c r="CV568" s="24"/>
      <c r="CW568" s="24"/>
      <c r="CX568" s="24"/>
      <c r="CY568" s="24"/>
      <c r="CZ568" s="24"/>
      <c r="DA568" s="24"/>
      <c r="DB568" s="25"/>
      <c r="DC568" s="26"/>
      <c r="DD568" s="24"/>
      <c r="DE568" s="24"/>
      <c r="DF568" s="24"/>
      <c r="DG568" s="24"/>
      <c r="DH568" s="24"/>
      <c r="DI568" s="24"/>
      <c r="DJ568" s="24"/>
      <c r="DK568" s="24"/>
      <c r="DL568" s="24"/>
      <c r="DM568" s="24"/>
      <c r="DN568" s="24"/>
      <c r="DO568" s="25"/>
      <c r="DP568" s="26"/>
      <c r="DQ568" s="24"/>
      <c r="DR568" s="24"/>
      <c r="DS568" s="24"/>
      <c r="DT568" s="24"/>
      <c r="DU568" s="24"/>
      <c r="DV568" s="24"/>
      <c r="DW568" s="24"/>
      <c r="DX568" s="24"/>
      <c r="DY568" s="24"/>
      <c r="DZ568" s="24"/>
      <c r="EA568" s="24"/>
      <c r="EB568" s="25"/>
      <c r="EC568" s="26"/>
      <c r="ED568" s="24"/>
      <c r="EE568" s="24"/>
      <c r="EF568" s="24"/>
      <c r="EG568" s="24"/>
      <c r="EH568" s="24"/>
      <c r="EI568" s="24"/>
      <c r="EJ568" s="24"/>
      <c r="EK568" s="24"/>
      <c r="EL568" s="24"/>
      <c r="EM568" s="24"/>
      <c r="EN568" s="24"/>
      <c r="EO568" s="25"/>
      <c r="EP568" s="26"/>
      <c r="EQ568" s="24"/>
      <c r="ER568" s="24"/>
      <c r="ES568" s="24"/>
      <c r="ET568" s="24"/>
      <c r="EU568" s="24"/>
      <c r="EV568" s="24"/>
      <c r="EW568" s="24"/>
      <c r="EX568" s="24"/>
      <c r="EY568" s="24"/>
      <c r="EZ568" s="24"/>
      <c r="FA568" s="24"/>
      <c r="FB568" s="25"/>
      <c r="FC568" s="26"/>
      <c r="FD568" s="24"/>
      <c r="FE568" s="24"/>
      <c r="FF568" s="24"/>
      <c r="FG568" s="24"/>
      <c r="FH568" s="24"/>
      <c r="FI568" s="24"/>
      <c r="FJ568" s="24"/>
      <c r="FK568" s="24"/>
      <c r="FL568" s="24"/>
      <c r="FM568" s="24"/>
      <c r="FN568" s="24"/>
      <c r="FO568" s="27">
        <f t="shared" ref="FO568:FV568" si="561">IFERROR(R568*1,0)+IFERROR(AE568*1,0)+IFERROR(AR568*1,0)+IFERROR(BE568*1,0)+IFERROR(BR568*1,0)+IFERROR(CE568*1,0)+IFERROR(CR568*1,0)+IFERROR(DE568*1,0)+IFERROR(DR568*1,0)+IFERROR(EE568*1,0)+IFERROR(ER568*1,0)+IFERROR(FE568*1,0)</f>
        <v>0</v>
      </c>
      <c r="FP568" s="27">
        <f t="shared" si="561"/>
        <v>0</v>
      </c>
      <c r="FQ568" s="27">
        <f t="shared" si="561"/>
        <v>0</v>
      </c>
      <c r="FR568" s="27">
        <f t="shared" si="561"/>
        <v>0</v>
      </c>
      <c r="FS568" s="27">
        <f t="shared" si="561"/>
        <v>0</v>
      </c>
      <c r="FT568" s="27">
        <f t="shared" si="561"/>
        <v>0</v>
      </c>
      <c r="FU568" s="27">
        <f t="shared" si="561"/>
        <v>0</v>
      </c>
      <c r="FV568" s="27">
        <f t="shared" si="561"/>
        <v>0</v>
      </c>
      <c r="FW568" s="28"/>
      <c r="FX568" s="29">
        <f t="shared" si="3"/>
        <v>0</v>
      </c>
    </row>
    <row r="569" spans="1:180" ht="18" customHeight="1" x14ac:dyDescent="0.25">
      <c r="A569" s="3" t="str">
        <f>IF(C569&lt;&gt;"","DRG-"&amp;TEXT(564,"000"),"")</f>
        <v/>
      </c>
      <c r="B569" s="33"/>
      <c r="C569" s="33"/>
      <c r="D569" s="33"/>
      <c r="E569" s="33"/>
      <c r="F569" s="33"/>
      <c r="G569" s="33"/>
      <c r="H569" s="33"/>
      <c r="I569" s="33"/>
      <c r="J569" s="33"/>
      <c r="K569" s="33"/>
      <c r="L569" s="37">
        <v>4</v>
      </c>
      <c r="M569" s="30" t="str">
        <f t="shared" si="0"/>
        <v>✘ Pending</v>
      </c>
      <c r="N569" s="30">
        <f t="shared" si="1"/>
        <v>0</v>
      </c>
      <c r="O569" s="31"/>
      <c r="P569" s="32"/>
      <c r="Q569" s="33"/>
      <c r="R569" s="33"/>
      <c r="S569" s="33"/>
      <c r="T569" s="33"/>
      <c r="U569" s="33"/>
      <c r="V569" s="33"/>
      <c r="W569" s="33"/>
      <c r="X569" s="33"/>
      <c r="Y569" s="33"/>
      <c r="Z569" s="33"/>
      <c r="AA569" s="33"/>
      <c r="AB569" s="31"/>
      <c r="AC569" s="32"/>
      <c r="AD569" s="33"/>
      <c r="AE569" s="33"/>
      <c r="AF569" s="33"/>
      <c r="AG569" s="33"/>
      <c r="AH569" s="33"/>
      <c r="AI569" s="33"/>
      <c r="AJ569" s="33"/>
      <c r="AK569" s="33"/>
      <c r="AL569" s="33"/>
      <c r="AM569" s="33"/>
      <c r="AN569" s="33"/>
      <c r="AO569" s="31"/>
      <c r="AP569" s="32"/>
      <c r="AQ569" s="33"/>
      <c r="AR569" s="33"/>
      <c r="AS569" s="33"/>
      <c r="AT569" s="33"/>
      <c r="AU569" s="33"/>
      <c r="AV569" s="33"/>
      <c r="AW569" s="33"/>
      <c r="AX569" s="33"/>
      <c r="AY569" s="33"/>
      <c r="AZ569" s="33"/>
      <c r="BA569" s="33"/>
      <c r="BB569" s="31"/>
      <c r="BC569" s="32"/>
      <c r="BD569" s="33"/>
      <c r="BE569" s="33"/>
      <c r="BF569" s="33"/>
      <c r="BG569" s="33"/>
      <c r="BH569" s="33"/>
      <c r="BI569" s="33"/>
      <c r="BJ569" s="33"/>
      <c r="BK569" s="33"/>
      <c r="BL569" s="33"/>
      <c r="BM569" s="33"/>
      <c r="BN569" s="33"/>
      <c r="BO569" s="31"/>
      <c r="BP569" s="32"/>
      <c r="BQ569" s="33"/>
      <c r="BR569" s="33"/>
      <c r="BS569" s="33"/>
      <c r="BT569" s="33"/>
      <c r="BU569" s="33"/>
      <c r="BV569" s="33"/>
      <c r="BW569" s="33"/>
      <c r="BX569" s="33"/>
      <c r="BY569" s="33"/>
      <c r="BZ569" s="33"/>
      <c r="CA569" s="33"/>
      <c r="CB569" s="31"/>
      <c r="CC569" s="32"/>
      <c r="CD569" s="33"/>
      <c r="CE569" s="33"/>
      <c r="CF569" s="33"/>
      <c r="CG569" s="33"/>
      <c r="CH569" s="33"/>
      <c r="CI569" s="33"/>
      <c r="CJ569" s="33"/>
      <c r="CK569" s="33"/>
      <c r="CL569" s="33"/>
      <c r="CM569" s="33"/>
      <c r="CN569" s="33"/>
      <c r="CO569" s="31"/>
      <c r="CP569" s="32"/>
      <c r="CQ569" s="33"/>
      <c r="CR569" s="33"/>
      <c r="CS569" s="33"/>
      <c r="CT569" s="33"/>
      <c r="CU569" s="33"/>
      <c r="CV569" s="33"/>
      <c r="CW569" s="33"/>
      <c r="CX569" s="33"/>
      <c r="CY569" s="33"/>
      <c r="CZ569" s="33"/>
      <c r="DA569" s="33"/>
      <c r="DB569" s="31"/>
      <c r="DC569" s="32"/>
      <c r="DD569" s="33"/>
      <c r="DE569" s="33"/>
      <c r="DF569" s="33"/>
      <c r="DG569" s="33"/>
      <c r="DH569" s="33"/>
      <c r="DI569" s="33"/>
      <c r="DJ569" s="33"/>
      <c r="DK569" s="33"/>
      <c r="DL569" s="33"/>
      <c r="DM569" s="33"/>
      <c r="DN569" s="33"/>
      <c r="DO569" s="31"/>
      <c r="DP569" s="32"/>
      <c r="DQ569" s="33"/>
      <c r="DR569" s="33"/>
      <c r="DS569" s="33"/>
      <c r="DT569" s="33"/>
      <c r="DU569" s="33"/>
      <c r="DV569" s="33"/>
      <c r="DW569" s="33"/>
      <c r="DX569" s="33"/>
      <c r="DY569" s="33"/>
      <c r="DZ569" s="33"/>
      <c r="EA569" s="33"/>
      <c r="EB569" s="31"/>
      <c r="EC569" s="32"/>
      <c r="ED569" s="33"/>
      <c r="EE569" s="33"/>
      <c r="EF569" s="33"/>
      <c r="EG569" s="33"/>
      <c r="EH569" s="33"/>
      <c r="EI569" s="33"/>
      <c r="EJ569" s="33"/>
      <c r="EK569" s="33"/>
      <c r="EL569" s="33"/>
      <c r="EM569" s="33"/>
      <c r="EN569" s="33"/>
      <c r="EO569" s="31"/>
      <c r="EP569" s="32"/>
      <c r="EQ569" s="33"/>
      <c r="ER569" s="33"/>
      <c r="ES569" s="33"/>
      <c r="ET569" s="33"/>
      <c r="EU569" s="33"/>
      <c r="EV569" s="33"/>
      <c r="EW569" s="33"/>
      <c r="EX569" s="33"/>
      <c r="EY569" s="33"/>
      <c r="EZ569" s="33"/>
      <c r="FA569" s="33"/>
      <c r="FB569" s="31"/>
      <c r="FC569" s="32"/>
      <c r="FD569" s="33"/>
      <c r="FE569" s="33"/>
      <c r="FF569" s="33"/>
      <c r="FG569" s="33"/>
      <c r="FH569" s="33"/>
      <c r="FI569" s="33"/>
      <c r="FJ569" s="33"/>
      <c r="FK569" s="33"/>
      <c r="FL569" s="33"/>
      <c r="FM569" s="33"/>
      <c r="FN569" s="33"/>
      <c r="FO569" s="34">
        <f t="shared" ref="FO569:FV569" si="562">IFERROR(R569*1,0)+IFERROR(AE569*1,0)+IFERROR(AR569*1,0)+IFERROR(BE569*1,0)+IFERROR(BR569*1,0)+IFERROR(CE569*1,0)+IFERROR(CR569*1,0)+IFERROR(DE569*1,0)+IFERROR(DR569*1,0)+IFERROR(EE569*1,0)+IFERROR(ER569*1,0)+IFERROR(FE569*1,0)</f>
        <v>0</v>
      </c>
      <c r="FP569" s="34">
        <f t="shared" si="562"/>
        <v>0</v>
      </c>
      <c r="FQ569" s="34">
        <f t="shared" si="562"/>
        <v>0</v>
      </c>
      <c r="FR569" s="34">
        <f t="shared" si="562"/>
        <v>0</v>
      </c>
      <c r="FS569" s="34">
        <f t="shared" si="562"/>
        <v>0</v>
      </c>
      <c r="FT569" s="34">
        <f t="shared" si="562"/>
        <v>0</v>
      </c>
      <c r="FU569" s="34">
        <f t="shared" si="562"/>
        <v>0</v>
      </c>
      <c r="FV569" s="34">
        <f t="shared" si="562"/>
        <v>0</v>
      </c>
      <c r="FW569" s="28"/>
      <c r="FX569" s="29">
        <f t="shared" si="3"/>
        <v>0</v>
      </c>
    </row>
    <row r="570" spans="1:180" ht="18" customHeight="1" x14ac:dyDescent="0.25">
      <c r="A570" s="3" t="str">
        <f>IF(C570&lt;&gt;"","DRG-"&amp;TEXT(565,"000"),"")</f>
        <v/>
      </c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38">
        <v>4</v>
      </c>
      <c r="M570" s="23" t="str">
        <f t="shared" si="0"/>
        <v>✘ Pending</v>
      </c>
      <c r="N570" s="23">
        <f t="shared" si="1"/>
        <v>0</v>
      </c>
      <c r="O570" s="25"/>
      <c r="P570" s="26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  <c r="AB570" s="25"/>
      <c r="AC570" s="26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5"/>
      <c r="AP570" s="26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5"/>
      <c r="BC570" s="26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5"/>
      <c r="BP570" s="26"/>
      <c r="BQ570" s="24"/>
      <c r="BR570" s="24"/>
      <c r="BS570" s="24"/>
      <c r="BT570" s="24"/>
      <c r="BU570" s="24"/>
      <c r="BV570" s="24"/>
      <c r="BW570" s="24"/>
      <c r="BX570" s="24"/>
      <c r="BY570" s="24"/>
      <c r="BZ570" s="24"/>
      <c r="CA570" s="24"/>
      <c r="CB570" s="25"/>
      <c r="CC570" s="26"/>
      <c r="CD570" s="24"/>
      <c r="CE570" s="24"/>
      <c r="CF570" s="24"/>
      <c r="CG570" s="24"/>
      <c r="CH570" s="24"/>
      <c r="CI570" s="24"/>
      <c r="CJ570" s="24"/>
      <c r="CK570" s="24"/>
      <c r="CL570" s="24"/>
      <c r="CM570" s="24"/>
      <c r="CN570" s="24"/>
      <c r="CO570" s="25"/>
      <c r="CP570" s="26"/>
      <c r="CQ570" s="24"/>
      <c r="CR570" s="24"/>
      <c r="CS570" s="24"/>
      <c r="CT570" s="24"/>
      <c r="CU570" s="24"/>
      <c r="CV570" s="24"/>
      <c r="CW570" s="24"/>
      <c r="CX570" s="24"/>
      <c r="CY570" s="24"/>
      <c r="CZ570" s="24"/>
      <c r="DA570" s="24"/>
      <c r="DB570" s="25"/>
      <c r="DC570" s="26"/>
      <c r="DD570" s="24"/>
      <c r="DE570" s="24"/>
      <c r="DF570" s="24"/>
      <c r="DG570" s="24"/>
      <c r="DH570" s="24"/>
      <c r="DI570" s="24"/>
      <c r="DJ570" s="24"/>
      <c r="DK570" s="24"/>
      <c r="DL570" s="24"/>
      <c r="DM570" s="24"/>
      <c r="DN570" s="24"/>
      <c r="DO570" s="25"/>
      <c r="DP570" s="26"/>
      <c r="DQ570" s="24"/>
      <c r="DR570" s="24"/>
      <c r="DS570" s="24"/>
      <c r="DT570" s="24"/>
      <c r="DU570" s="24"/>
      <c r="DV570" s="24"/>
      <c r="DW570" s="24"/>
      <c r="DX570" s="24"/>
      <c r="DY570" s="24"/>
      <c r="DZ570" s="24"/>
      <c r="EA570" s="24"/>
      <c r="EB570" s="25"/>
      <c r="EC570" s="26"/>
      <c r="ED570" s="24"/>
      <c r="EE570" s="24"/>
      <c r="EF570" s="24"/>
      <c r="EG570" s="24"/>
      <c r="EH570" s="24"/>
      <c r="EI570" s="24"/>
      <c r="EJ570" s="24"/>
      <c r="EK570" s="24"/>
      <c r="EL570" s="24"/>
      <c r="EM570" s="24"/>
      <c r="EN570" s="24"/>
      <c r="EO570" s="25"/>
      <c r="EP570" s="26"/>
      <c r="EQ570" s="24"/>
      <c r="ER570" s="24"/>
      <c r="ES570" s="24"/>
      <c r="ET570" s="24"/>
      <c r="EU570" s="24"/>
      <c r="EV570" s="24"/>
      <c r="EW570" s="24"/>
      <c r="EX570" s="24"/>
      <c r="EY570" s="24"/>
      <c r="EZ570" s="24"/>
      <c r="FA570" s="24"/>
      <c r="FB570" s="25"/>
      <c r="FC570" s="26"/>
      <c r="FD570" s="24"/>
      <c r="FE570" s="24"/>
      <c r="FF570" s="24"/>
      <c r="FG570" s="24"/>
      <c r="FH570" s="24"/>
      <c r="FI570" s="24"/>
      <c r="FJ570" s="24"/>
      <c r="FK570" s="24"/>
      <c r="FL570" s="24"/>
      <c r="FM570" s="24"/>
      <c r="FN570" s="24"/>
      <c r="FO570" s="27">
        <f t="shared" ref="FO570:FV570" si="563">IFERROR(R570*1,0)+IFERROR(AE570*1,0)+IFERROR(AR570*1,0)+IFERROR(BE570*1,0)+IFERROR(BR570*1,0)+IFERROR(CE570*1,0)+IFERROR(CR570*1,0)+IFERROR(DE570*1,0)+IFERROR(DR570*1,0)+IFERROR(EE570*1,0)+IFERROR(ER570*1,0)+IFERROR(FE570*1,0)</f>
        <v>0</v>
      </c>
      <c r="FP570" s="27">
        <f t="shared" si="563"/>
        <v>0</v>
      </c>
      <c r="FQ570" s="27">
        <f t="shared" si="563"/>
        <v>0</v>
      </c>
      <c r="FR570" s="27">
        <f t="shared" si="563"/>
        <v>0</v>
      </c>
      <c r="FS570" s="27">
        <f t="shared" si="563"/>
        <v>0</v>
      </c>
      <c r="FT570" s="27">
        <f t="shared" si="563"/>
        <v>0</v>
      </c>
      <c r="FU570" s="27">
        <f t="shared" si="563"/>
        <v>0</v>
      </c>
      <c r="FV570" s="27">
        <f t="shared" si="563"/>
        <v>0</v>
      </c>
      <c r="FW570" s="28"/>
      <c r="FX570" s="29">
        <f t="shared" si="3"/>
        <v>0</v>
      </c>
    </row>
    <row r="571" spans="1:180" ht="18" customHeight="1" x14ac:dyDescent="0.25">
      <c r="A571" s="3" t="str">
        <f>IF(C571&lt;&gt;"","DRG-"&amp;TEXT(566,"000"),"")</f>
        <v/>
      </c>
      <c r="B571" s="33"/>
      <c r="C571" s="33"/>
      <c r="D571" s="33"/>
      <c r="E571" s="33"/>
      <c r="F571" s="33"/>
      <c r="G571" s="33"/>
      <c r="H571" s="33"/>
      <c r="I571" s="33"/>
      <c r="J571" s="33"/>
      <c r="K571" s="33"/>
      <c r="L571" s="37">
        <v>4</v>
      </c>
      <c r="M571" s="30" t="str">
        <f t="shared" si="0"/>
        <v>✘ Pending</v>
      </c>
      <c r="N571" s="30">
        <f t="shared" si="1"/>
        <v>0</v>
      </c>
      <c r="O571" s="31"/>
      <c r="P571" s="32"/>
      <c r="Q571" s="33"/>
      <c r="R571" s="33"/>
      <c r="S571" s="33"/>
      <c r="T571" s="33"/>
      <c r="U571" s="33"/>
      <c r="V571" s="33"/>
      <c r="W571" s="33"/>
      <c r="X571" s="33"/>
      <c r="Y571" s="33"/>
      <c r="Z571" s="33"/>
      <c r="AA571" s="33"/>
      <c r="AB571" s="31"/>
      <c r="AC571" s="32"/>
      <c r="AD571" s="33"/>
      <c r="AE571" s="33"/>
      <c r="AF571" s="33"/>
      <c r="AG571" s="33"/>
      <c r="AH571" s="33"/>
      <c r="AI571" s="33"/>
      <c r="AJ571" s="33"/>
      <c r="AK571" s="33"/>
      <c r="AL571" s="33"/>
      <c r="AM571" s="33"/>
      <c r="AN571" s="33"/>
      <c r="AO571" s="31"/>
      <c r="AP571" s="32"/>
      <c r="AQ571" s="33"/>
      <c r="AR571" s="33"/>
      <c r="AS571" s="33"/>
      <c r="AT571" s="33"/>
      <c r="AU571" s="33"/>
      <c r="AV571" s="33"/>
      <c r="AW571" s="33"/>
      <c r="AX571" s="33"/>
      <c r="AY571" s="33"/>
      <c r="AZ571" s="33"/>
      <c r="BA571" s="33"/>
      <c r="BB571" s="31"/>
      <c r="BC571" s="32"/>
      <c r="BD571" s="33"/>
      <c r="BE571" s="33"/>
      <c r="BF571" s="33"/>
      <c r="BG571" s="33"/>
      <c r="BH571" s="33"/>
      <c r="BI571" s="33"/>
      <c r="BJ571" s="33"/>
      <c r="BK571" s="33"/>
      <c r="BL571" s="33"/>
      <c r="BM571" s="33"/>
      <c r="BN571" s="33"/>
      <c r="BO571" s="31"/>
      <c r="BP571" s="32"/>
      <c r="BQ571" s="33"/>
      <c r="BR571" s="33"/>
      <c r="BS571" s="33"/>
      <c r="BT571" s="33"/>
      <c r="BU571" s="33"/>
      <c r="BV571" s="33"/>
      <c r="BW571" s="33"/>
      <c r="BX571" s="33"/>
      <c r="BY571" s="33"/>
      <c r="BZ571" s="33"/>
      <c r="CA571" s="33"/>
      <c r="CB571" s="31"/>
      <c r="CC571" s="32"/>
      <c r="CD571" s="33"/>
      <c r="CE571" s="33"/>
      <c r="CF571" s="33"/>
      <c r="CG571" s="33"/>
      <c r="CH571" s="33"/>
      <c r="CI571" s="33"/>
      <c r="CJ571" s="33"/>
      <c r="CK571" s="33"/>
      <c r="CL571" s="33"/>
      <c r="CM571" s="33"/>
      <c r="CN571" s="33"/>
      <c r="CO571" s="31"/>
      <c r="CP571" s="32"/>
      <c r="CQ571" s="33"/>
      <c r="CR571" s="33"/>
      <c r="CS571" s="33"/>
      <c r="CT571" s="33"/>
      <c r="CU571" s="33"/>
      <c r="CV571" s="33"/>
      <c r="CW571" s="33"/>
      <c r="CX571" s="33"/>
      <c r="CY571" s="33"/>
      <c r="CZ571" s="33"/>
      <c r="DA571" s="33"/>
      <c r="DB571" s="31"/>
      <c r="DC571" s="32"/>
      <c r="DD571" s="33"/>
      <c r="DE571" s="33"/>
      <c r="DF571" s="33"/>
      <c r="DG571" s="33"/>
      <c r="DH571" s="33"/>
      <c r="DI571" s="33"/>
      <c r="DJ571" s="33"/>
      <c r="DK571" s="33"/>
      <c r="DL571" s="33"/>
      <c r="DM571" s="33"/>
      <c r="DN571" s="33"/>
      <c r="DO571" s="31"/>
      <c r="DP571" s="32"/>
      <c r="DQ571" s="33"/>
      <c r="DR571" s="33"/>
      <c r="DS571" s="33"/>
      <c r="DT571" s="33"/>
      <c r="DU571" s="33"/>
      <c r="DV571" s="33"/>
      <c r="DW571" s="33"/>
      <c r="DX571" s="33"/>
      <c r="DY571" s="33"/>
      <c r="DZ571" s="33"/>
      <c r="EA571" s="33"/>
      <c r="EB571" s="31"/>
      <c r="EC571" s="32"/>
      <c r="ED571" s="33"/>
      <c r="EE571" s="33"/>
      <c r="EF571" s="33"/>
      <c r="EG571" s="33"/>
      <c r="EH571" s="33"/>
      <c r="EI571" s="33"/>
      <c r="EJ571" s="33"/>
      <c r="EK571" s="33"/>
      <c r="EL571" s="33"/>
      <c r="EM571" s="33"/>
      <c r="EN571" s="33"/>
      <c r="EO571" s="31"/>
      <c r="EP571" s="32"/>
      <c r="EQ571" s="33"/>
      <c r="ER571" s="33"/>
      <c r="ES571" s="33"/>
      <c r="ET571" s="33"/>
      <c r="EU571" s="33"/>
      <c r="EV571" s="33"/>
      <c r="EW571" s="33"/>
      <c r="EX571" s="33"/>
      <c r="EY571" s="33"/>
      <c r="EZ571" s="33"/>
      <c r="FA571" s="33"/>
      <c r="FB571" s="31"/>
      <c r="FC571" s="32"/>
      <c r="FD571" s="33"/>
      <c r="FE571" s="33"/>
      <c r="FF571" s="33"/>
      <c r="FG571" s="33"/>
      <c r="FH571" s="33"/>
      <c r="FI571" s="33"/>
      <c r="FJ571" s="33"/>
      <c r="FK571" s="33"/>
      <c r="FL571" s="33"/>
      <c r="FM571" s="33"/>
      <c r="FN571" s="33"/>
      <c r="FO571" s="34">
        <f t="shared" ref="FO571:FV571" si="564">IFERROR(R571*1,0)+IFERROR(AE571*1,0)+IFERROR(AR571*1,0)+IFERROR(BE571*1,0)+IFERROR(BR571*1,0)+IFERROR(CE571*1,0)+IFERROR(CR571*1,0)+IFERROR(DE571*1,0)+IFERROR(DR571*1,0)+IFERROR(EE571*1,0)+IFERROR(ER571*1,0)+IFERROR(FE571*1,0)</f>
        <v>0</v>
      </c>
      <c r="FP571" s="34">
        <f t="shared" si="564"/>
        <v>0</v>
      </c>
      <c r="FQ571" s="34">
        <f t="shared" si="564"/>
        <v>0</v>
      </c>
      <c r="FR571" s="34">
        <f t="shared" si="564"/>
        <v>0</v>
      </c>
      <c r="FS571" s="34">
        <f t="shared" si="564"/>
        <v>0</v>
      </c>
      <c r="FT571" s="34">
        <f t="shared" si="564"/>
        <v>0</v>
      </c>
      <c r="FU571" s="34">
        <f t="shared" si="564"/>
        <v>0</v>
      </c>
      <c r="FV571" s="34">
        <f t="shared" si="564"/>
        <v>0</v>
      </c>
      <c r="FW571" s="28"/>
      <c r="FX571" s="29">
        <f t="shared" si="3"/>
        <v>0</v>
      </c>
    </row>
    <row r="572" spans="1:180" ht="18" customHeight="1" x14ac:dyDescent="0.25">
      <c r="A572" s="3" t="str">
        <f>IF(C572&lt;&gt;"","DRG-"&amp;TEXT(567,"000"),"")</f>
        <v/>
      </c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38">
        <v>4</v>
      </c>
      <c r="M572" s="23" t="str">
        <f t="shared" si="0"/>
        <v>✘ Pending</v>
      </c>
      <c r="N572" s="23">
        <f t="shared" si="1"/>
        <v>0</v>
      </c>
      <c r="O572" s="25"/>
      <c r="P572" s="26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  <c r="AB572" s="25"/>
      <c r="AC572" s="26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5"/>
      <c r="AP572" s="26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5"/>
      <c r="BC572" s="26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5"/>
      <c r="BP572" s="26"/>
      <c r="BQ572" s="24"/>
      <c r="BR572" s="24"/>
      <c r="BS572" s="24"/>
      <c r="BT572" s="24"/>
      <c r="BU572" s="24"/>
      <c r="BV572" s="24"/>
      <c r="BW572" s="24"/>
      <c r="BX572" s="24"/>
      <c r="BY572" s="24"/>
      <c r="BZ572" s="24"/>
      <c r="CA572" s="24"/>
      <c r="CB572" s="25"/>
      <c r="CC572" s="26"/>
      <c r="CD572" s="24"/>
      <c r="CE572" s="24"/>
      <c r="CF572" s="24"/>
      <c r="CG572" s="24"/>
      <c r="CH572" s="24"/>
      <c r="CI572" s="24"/>
      <c r="CJ572" s="24"/>
      <c r="CK572" s="24"/>
      <c r="CL572" s="24"/>
      <c r="CM572" s="24"/>
      <c r="CN572" s="24"/>
      <c r="CO572" s="25"/>
      <c r="CP572" s="26"/>
      <c r="CQ572" s="24"/>
      <c r="CR572" s="24"/>
      <c r="CS572" s="24"/>
      <c r="CT572" s="24"/>
      <c r="CU572" s="24"/>
      <c r="CV572" s="24"/>
      <c r="CW572" s="24"/>
      <c r="CX572" s="24"/>
      <c r="CY572" s="24"/>
      <c r="CZ572" s="24"/>
      <c r="DA572" s="24"/>
      <c r="DB572" s="25"/>
      <c r="DC572" s="26"/>
      <c r="DD572" s="24"/>
      <c r="DE572" s="24"/>
      <c r="DF572" s="24"/>
      <c r="DG572" s="24"/>
      <c r="DH572" s="24"/>
      <c r="DI572" s="24"/>
      <c r="DJ572" s="24"/>
      <c r="DK572" s="24"/>
      <c r="DL572" s="24"/>
      <c r="DM572" s="24"/>
      <c r="DN572" s="24"/>
      <c r="DO572" s="25"/>
      <c r="DP572" s="26"/>
      <c r="DQ572" s="24"/>
      <c r="DR572" s="24"/>
      <c r="DS572" s="24"/>
      <c r="DT572" s="24"/>
      <c r="DU572" s="24"/>
      <c r="DV572" s="24"/>
      <c r="DW572" s="24"/>
      <c r="DX572" s="24"/>
      <c r="DY572" s="24"/>
      <c r="DZ572" s="24"/>
      <c r="EA572" s="24"/>
      <c r="EB572" s="25"/>
      <c r="EC572" s="26"/>
      <c r="ED572" s="24"/>
      <c r="EE572" s="24"/>
      <c r="EF572" s="24"/>
      <c r="EG572" s="24"/>
      <c r="EH572" s="24"/>
      <c r="EI572" s="24"/>
      <c r="EJ572" s="24"/>
      <c r="EK572" s="24"/>
      <c r="EL572" s="24"/>
      <c r="EM572" s="24"/>
      <c r="EN572" s="24"/>
      <c r="EO572" s="25"/>
      <c r="EP572" s="26"/>
      <c r="EQ572" s="24"/>
      <c r="ER572" s="24"/>
      <c r="ES572" s="24"/>
      <c r="ET572" s="24"/>
      <c r="EU572" s="24"/>
      <c r="EV572" s="24"/>
      <c r="EW572" s="24"/>
      <c r="EX572" s="24"/>
      <c r="EY572" s="24"/>
      <c r="EZ572" s="24"/>
      <c r="FA572" s="24"/>
      <c r="FB572" s="25"/>
      <c r="FC572" s="26"/>
      <c r="FD572" s="24"/>
      <c r="FE572" s="24"/>
      <c r="FF572" s="24"/>
      <c r="FG572" s="24"/>
      <c r="FH572" s="24"/>
      <c r="FI572" s="24"/>
      <c r="FJ572" s="24"/>
      <c r="FK572" s="24"/>
      <c r="FL572" s="24"/>
      <c r="FM572" s="24"/>
      <c r="FN572" s="24"/>
      <c r="FO572" s="27">
        <f t="shared" ref="FO572:FV572" si="565">IFERROR(R572*1,0)+IFERROR(AE572*1,0)+IFERROR(AR572*1,0)+IFERROR(BE572*1,0)+IFERROR(BR572*1,0)+IFERROR(CE572*1,0)+IFERROR(CR572*1,0)+IFERROR(DE572*1,0)+IFERROR(DR572*1,0)+IFERROR(EE572*1,0)+IFERROR(ER572*1,0)+IFERROR(FE572*1,0)</f>
        <v>0</v>
      </c>
      <c r="FP572" s="27">
        <f t="shared" si="565"/>
        <v>0</v>
      </c>
      <c r="FQ572" s="27">
        <f t="shared" si="565"/>
        <v>0</v>
      </c>
      <c r="FR572" s="27">
        <f t="shared" si="565"/>
        <v>0</v>
      </c>
      <c r="FS572" s="27">
        <f t="shared" si="565"/>
        <v>0</v>
      </c>
      <c r="FT572" s="27">
        <f t="shared" si="565"/>
        <v>0</v>
      </c>
      <c r="FU572" s="27">
        <f t="shared" si="565"/>
        <v>0</v>
      </c>
      <c r="FV572" s="27">
        <f t="shared" si="565"/>
        <v>0</v>
      </c>
      <c r="FW572" s="28"/>
      <c r="FX572" s="29">
        <f t="shared" si="3"/>
        <v>0</v>
      </c>
    </row>
    <row r="573" spans="1:180" ht="18" customHeight="1" x14ac:dyDescent="0.25">
      <c r="A573" s="3" t="str">
        <f>IF(C573&lt;&gt;"","DRG-"&amp;TEXT(568,"000"),"")</f>
        <v/>
      </c>
      <c r="B573" s="33"/>
      <c r="C573" s="33"/>
      <c r="D573" s="33"/>
      <c r="E573" s="33"/>
      <c r="F573" s="33"/>
      <c r="G573" s="33"/>
      <c r="H573" s="33"/>
      <c r="I573" s="33"/>
      <c r="J573" s="33"/>
      <c r="K573" s="33"/>
      <c r="L573" s="37">
        <v>4</v>
      </c>
      <c r="M573" s="30" t="str">
        <f t="shared" si="0"/>
        <v>✘ Pending</v>
      </c>
      <c r="N573" s="30">
        <f t="shared" si="1"/>
        <v>0</v>
      </c>
      <c r="O573" s="31"/>
      <c r="P573" s="32"/>
      <c r="Q573" s="33"/>
      <c r="R573" s="33"/>
      <c r="S573" s="33"/>
      <c r="T573" s="33"/>
      <c r="U573" s="33"/>
      <c r="V573" s="33"/>
      <c r="W573" s="33"/>
      <c r="X573" s="33"/>
      <c r="Y573" s="33"/>
      <c r="Z573" s="33"/>
      <c r="AA573" s="33"/>
      <c r="AB573" s="31"/>
      <c r="AC573" s="32"/>
      <c r="AD573" s="33"/>
      <c r="AE573" s="33"/>
      <c r="AF573" s="33"/>
      <c r="AG573" s="33"/>
      <c r="AH573" s="33"/>
      <c r="AI573" s="33"/>
      <c r="AJ573" s="33"/>
      <c r="AK573" s="33"/>
      <c r="AL573" s="33"/>
      <c r="AM573" s="33"/>
      <c r="AN573" s="33"/>
      <c r="AO573" s="31"/>
      <c r="AP573" s="32"/>
      <c r="AQ573" s="33"/>
      <c r="AR573" s="33"/>
      <c r="AS573" s="33"/>
      <c r="AT573" s="33"/>
      <c r="AU573" s="33"/>
      <c r="AV573" s="33"/>
      <c r="AW573" s="33"/>
      <c r="AX573" s="33"/>
      <c r="AY573" s="33"/>
      <c r="AZ573" s="33"/>
      <c r="BA573" s="33"/>
      <c r="BB573" s="31"/>
      <c r="BC573" s="32"/>
      <c r="BD573" s="33"/>
      <c r="BE573" s="33"/>
      <c r="BF573" s="33"/>
      <c r="BG573" s="33"/>
      <c r="BH573" s="33"/>
      <c r="BI573" s="33"/>
      <c r="BJ573" s="33"/>
      <c r="BK573" s="33"/>
      <c r="BL573" s="33"/>
      <c r="BM573" s="33"/>
      <c r="BN573" s="33"/>
      <c r="BO573" s="31"/>
      <c r="BP573" s="32"/>
      <c r="BQ573" s="33"/>
      <c r="BR573" s="33"/>
      <c r="BS573" s="33"/>
      <c r="BT573" s="33"/>
      <c r="BU573" s="33"/>
      <c r="BV573" s="33"/>
      <c r="BW573" s="33"/>
      <c r="BX573" s="33"/>
      <c r="BY573" s="33"/>
      <c r="BZ573" s="33"/>
      <c r="CA573" s="33"/>
      <c r="CB573" s="31"/>
      <c r="CC573" s="32"/>
      <c r="CD573" s="33"/>
      <c r="CE573" s="33"/>
      <c r="CF573" s="33"/>
      <c r="CG573" s="33"/>
      <c r="CH573" s="33"/>
      <c r="CI573" s="33"/>
      <c r="CJ573" s="33"/>
      <c r="CK573" s="33"/>
      <c r="CL573" s="33"/>
      <c r="CM573" s="33"/>
      <c r="CN573" s="33"/>
      <c r="CO573" s="31"/>
      <c r="CP573" s="32"/>
      <c r="CQ573" s="33"/>
      <c r="CR573" s="33"/>
      <c r="CS573" s="33"/>
      <c r="CT573" s="33"/>
      <c r="CU573" s="33"/>
      <c r="CV573" s="33"/>
      <c r="CW573" s="33"/>
      <c r="CX573" s="33"/>
      <c r="CY573" s="33"/>
      <c r="CZ573" s="33"/>
      <c r="DA573" s="33"/>
      <c r="DB573" s="31"/>
      <c r="DC573" s="32"/>
      <c r="DD573" s="33"/>
      <c r="DE573" s="33"/>
      <c r="DF573" s="33"/>
      <c r="DG573" s="33"/>
      <c r="DH573" s="33"/>
      <c r="DI573" s="33"/>
      <c r="DJ573" s="33"/>
      <c r="DK573" s="33"/>
      <c r="DL573" s="33"/>
      <c r="DM573" s="33"/>
      <c r="DN573" s="33"/>
      <c r="DO573" s="31"/>
      <c r="DP573" s="32"/>
      <c r="DQ573" s="33"/>
      <c r="DR573" s="33"/>
      <c r="DS573" s="33"/>
      <c r="DT573" s="33"/>
      <c r="DU573" s="33"/>
      <c r="DV573" s="33"/>
      <c r="DW573" s="33"/>
      <c r="DX573" s="33"/>
      <c r="DY573" s="33"/>
      <c r="DZ573" s="33"/>
      <c r="EA573" s="33"/>
      <c r="EB573" s="31"/>
      <c r="EC573" s="32"/>
      <c r="ED573" s="33"/>
      <c r="EE573" s="33"/>
      <c r="EF573" s="33"/>
      <c r="EG573" s="33"/>
      <c r="EH573" s="33"/>
      <c r="EI573" s="33"/>
      <c r="EJ573" s="33"/>
      <c r="EK573" s="33"/>
      <c r="EL573" s="33"/>
      <c r="EM573" s="33"/>
      <c r="EN573" s="33"/>
      <c r="EO573" s="31"/>
      <c r="EP573" s="32"/>
      <c r="EQ573" s="33"/>
      <c r="ER573" s="33"/>
      <c r="ES573" s="33"/>
      <c r="ET573" s="33"/>
      <c r="EU573" s="33"/>
      <c r="EV573" s="33"/>
      <c r="EW573" s="33"/>
      <c r="EX573" s="33"/>
      <c r="EY573" s="33"/>
      <c r="EZ573" s="33"/>
      <c r="FA573" s="33"/>
      <c r="FB573" s="31"/>
      <c r="FC573" s="32"/>
      <c r="FD573" s="33"/>
      <c r="FE573" s="33"/>
      <c r="FF573" s="33"/>
      <c r="FG573" s="33"/>
      <c r="FH573" s="33"/>
      <c r="FI573" s="33"/>
      <c r="FJ573" s="33"/>
      <c r="FK573" s="33"/>
      <c r="FL573" s="33"/>
      <c r="FM573" s="33"/>
      <c r="FN573" s="33"/>
      <c r="FO573" s="34">
        <f t="shared" ref="FO573:FV573" si="566">IFERROR(R573*1,0)+IFERROR(AE573*1,0)+IFERROR(AR573*1,0)+IFERROR(BE573*1,0)+IFERROR(BR573*1,0)+IFERROR(CE573*1,0)+IFERROR(CR573*1,0)+IFERROR(DE573*1,0)+IFERROR(DR573*1,0)+IFERROR(EE573*1,0)+IFERROR(ER573*1,0)+IFERROR(FE573*1,0)</f>
        <v>0</v>
      </c>
      <c r="FP573" s="34">
        <f t="shared" si="566"/>
        <v>0</v>
      </c>
      <c r="FQ573" s="34">
        <f t="shared" si="566"/>
        <v>0</v>
      </c>
      <c r="FR573" s="34">
        <f t="shared" si="566"/>
        <v>0</v>
      </c>
      <c r="FS573" s="34">
        <f t="shared" si="566"/>
        <v>0</v>
      </c>
      <c r="FT573" s="34">
        <f t="shared" si="566"/>
        <v>0</v>
      </c>
      <c r="FU573" s="34">
        <f t="shared" si="566"/>
        <v>0</v>
      </c>
      <c r="FV573" s="34">
        <f t="shared" si="566"/>
        <v>0</v>
      </c>
      <c r="FW573" s="28"/>
      <c r="FX573" s="29">
        <f t="shared" si="3"/>
        <v>0</v>
      </c>
    </row>
    <row r="574" spans="1:180" ht="18" customHeight="1" x14ac:dyDescent="0.25">
      <c r="A574" s="3" t="str">
        <f>IF(C574&lt;&gt;"","DRG-"&amp;TEXT(569,"000"),"")</f>
        <v/>
      </c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38">
        <v>4</v>
      </c>
      <c r="M574" s="23" t="str">
        <f t="shared" si="0"/>
        <v>✘ Pending</v>
      </c>
      <c r="N574" s="23">
        <f t="shared" si="1"/>
        <v>0</v>
      </c>
      <c r="O574" s="25"/>
      <c r="P574" s="26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  <c r="AB574" s="25"/>
      <c r="AC574" s="26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5"/>
      <c r="AP574" s="26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5"/>
      <c r="BC574" s="26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5"/>
      <c r="BP574" s="26"/>
      <c r="BQ574" s="24"/>
      <c r="BR574" s="24"/>
      <c r="BS574" s="24"/>
      <c r="BT574" s="24"/>
      <c r="BU574" s="24"/>
      <c r="BV574" s="24"/>
      <c r="BW574" s="24"/>
      <c r="BX574" s="24"/>
      <c r="BY574" s="24"/>
      <c r="BZ574" s="24"/>
      <c r="CA574" s="24"/>
      <c r="CB574" s="25"/>
      <c r="CC574" s="26"/>
      <c r="CD574" s="24"/>
      <c r="CE574" s="24"/>
      <c r="CF574" s="24"/>
      <c r="CG574" s="24"/>
      <c r="CH574" s="24"/>
      <c r="CI574" s="24"/>
      <c r="CJ574" s="24"/>
      <c r="CK574" s="24"/>
      <c r="CL574" s="24"/>
      <c r="CM574" s="24"/>
      <c r="CN574" s="24"/>
      <c r="CO574" s="25"/>
      <c r="CP574" s="26"/>
      <c r="CQ574" s="24"/>
      <c r="CR574" s="24"/>
      <c r="CS574" s="24"/>
      <c r="CT574" s="24"/>
      <c r="CU574" s="24"/>
      <c r="CV574" s="24"/>
      <c r="CW574" s="24"/>
      <c r="CX574" s="24"/>
      <c r="CY574" s="24"/>
      <c r="CZ574" s="24"/>
      <c r="DA574" s="24"/>
      <c r="DB574" s="25"/>
      <c r="DC574" s="26"/>
      <c r="DD574" s="24"/>
      <c r="DE574" s="24"/>
      <c r="DF574" s="24"/>
      <c r="DG574" s="24"/>
      <c r="DH574" s="24"/>
      <c r="DI574" s="24"/>
      <c r="DJ574" s="24"/>
      <c r="DK574" s="24"/>
      <c r="DL574" s="24"/>
      <c r="DM574" s="24"/>
      <c r="DN574" s="24"/>
      <c r="DO574" s="25"/>
      <c r="DP574" s="26"/>
      <c r="DQ574" s="24"/>
      <c r="DR574" s="24"/>
      <c r="DS574" s="24"/>
      <c r="DT574" s="24"/>
      <c r="DU574" s="24"/>
      <c r="DV574" s="24"/>
      <c r="DW574" s="24"/>
      <c r="DX574" s="24"/>
      <c r="DY574" s="24"/>
      <c r="DZ574" s="24"/>
      <c r="EA574" s="24"/>
      <c r="EB574" s="25"/>
      <c r="EC574" s="26"/>
      <c r="ED574" s="24"/>
      <c r="EE574" s="24"/>
      <c r="EF574" s="24"/>
      <c r="EG574" s="24"/>
      <c r="EH574" s="24"/>
      <c r="EI574" s="24"/>
      <c r="EJ574" s="24"/>
      <c r="EK574" s="24"/>
      <c r="EL574" s="24"/>
      <c r="EM574" s="24"/>
      <c r="EN574" s="24"/>
      <c r="EO574" s="25"/>
      <c r="EP574" s="26"/>
      <c r="EQ574" s="24"/>
      <c r="ER574" s="24"/>
      <c r="ES574" s="24"/>
      <c r="ET574" s="24"/>
      <c r="EU574" s="24"/>
      <c r="EV574" s="24"/>
      <c r="EW574" s="24"/>
      <c r="EX574" s="24"/>
      <c r="EY574" s="24"/>
      <c r="EZ574" s="24"/>
      <c r="FA574" s="24"/>
      <c r="FB574" s="25"/>
      <c r="FC574" s="26"/>
      <c r="FD574" s="24"/>
      <c r="FE574" s="24"/>
      <c r="FF574" s="24"/>
      <c r="FG574" s="24"/>
      <c r="FH574" s="24"/>
      <c r="FI574" s="24"/>
      <c r="FJ574" s="24"/>
      <c r="FK574" s="24"/>
      <c r="FL574" s="24"/>
      <c r="FM574" s="24"/>
      <c r="FN574" s="24"/>
      <c r="FO574" s="27">
        <f t="shared" ref="FO574:FV574" si="567">IFERROR(R574*1,0)+IFERROR(AE574*1,0)+IFERROR(AR574*1,0)+IFERROR(BE574*1,0)+IFERROR(BR574*1,0)+IFERROR(CE574*1,0)+IFERROR(CR574*1,0)+IFERROR(DE574*1,0)+IFERROR(DR574*1,0)+IFERROR(EE574*1,0)+IFERROR(ER574*1,0)+IFERROR(FE574*1,0)</f>
        <v>0</v>
      </c>
      <c r="FP574" s="27">
        <f t="shared" si="567"/>
        <v>0</v>
      </c>
      <c r="FQ574" s="27">
        <f t="shared" si="567"/>
        <v>0</v>
      </c>
      <c r="FR574" s="27">
        <f t="shared" si="567"/>
        <v>0</v>
      </c>
      <c r="FS574" s="27">
        <f t="shared" si="567"/>
        <v>0</v>
      </c>
      <c r="FT574" s="27">
        <f t="shared" si="567"/>
        <v>0</v>
      </c>
      <c r="FU574" s="27">
        <f t="shared" si="567"/>
        <v>0</v>
      </c>
      <c r="FV574" s="27">
        <f t="shared" si="567"/>
        <v>0</v>
      </c>
      <c r="FW574" s="28"/>
      <c r="FX574" s="29">
        <f t="shared" si="3"/>
        <v>0</v>
      </c>
    </row>
    <row r="575" spans="1:180" ht="18" customHeight="1" x14ac:dyDescent="0.25">
      <c r="A575" s="3" t="str">
        <f>IF(C575&lt;&gt;"","DRG-"&amp;TEXT(570,"000"),"")</f>
        <v/>
      </c>
      <c r="B575" s="33"/>
      <c r="C575" s="33"/>
      <c r="D575" s="33"/>
      <c r="E575" s="33"/>
      <c r="F575" s="33"/>
      <c r="G575" s="33"/>
      <c r="H575" s="33"/>
      <c r="I575" s="33"/>
      <c r="J575" s="33"/>
      <c r="K575" s="33"/>
      <c r="L575" s="37">
        <v>4</v>
      </c>
      <c r="M575" s="30" t="str">
        <f t="shared" si="0"/>
        <v>✘ Pending</v>
      </c>
      <c r="N575" s="30">
        <f t="shared" si="1"/>
        <v>0</v>
      </c>
      <c r="O575" s="31"/>
      <c r="P575" s="32"/>
      <c r="Q575" s="33"/>
      <c r="R575" s="33"/>
      <c r="S575" s="33"/>
      <c r="T575" s="33"/>
      <c r="U575" s="33"/>
      <c r="V575" s="33"/>
      <c r="W575" s="33"/>
      <c r="X575" s="33"/>
      <c r="Y575" s="33"/>
      <c r="Z575" s="33"/>
      <c r="AA575" s="33"/>
      <c r="AB575" s="31"/>
      <c r="AC575" s="32"/>
      <c r="AD575" s="33"/>
      <c r="AE575" s="33"/>
      <c r="AF575" s="33"/>
      <c r="AG575" s="33"/>
      <c r="AH575" s="33"/>
      <c r="AI575" s="33"/>
      <c r="AJ575" s="33"/>
      <c r="AK575" s="33"/>
      <c r="AL575" s="33"/>
      <c r="AM575" s="33"/>
      <c r="AN575" s="33"/>
      <c r="AO575" s="31"/>
      <c r="AP575" s="32"/>
      <c r="AQ575" s="33"/>
      <c r="AR575" s="33"/>
      <c r="AS575" s="33"/>
      <c r="AT575" s="33"/>
      <c r="AU575" s="33"/>
      <c r="AV575" s="33"/>
      <c r="AW575" s="33"/>
      <c r="AX575" s="33"/>
      <c r="AY575" s="33"/>
      <c r="AZ575" s="33"/>
      <c r="BA575" s="33"/>
      <c r="BB575" s="31"/>
      <c r="BC575" s="32"/>
      <c r="BD575" s="33"/>
      <c r="BE575" s="33"/>
      <c r="BF575" s="33"/>
      <c r="BG575" s="33"/>
      <c r="BH575" s="33"/>
      <c r="BI575" s="33"/>
      <c r="BJ575" s="33"/>
      <c r="BK575" s="33"/>
      <c r="BL575" s="33"/>
      <c r="BM575" s="33"/>
      <c r="BN575" s="33"/>
      <c r="BO575" s="31"/>
      <c r="BP575" s="32"/>
      <c r="BQ575" s="33"/>
      <c r="BR575" s="33"/>
      <c r="BS575" s="33"/>
      <c r="BT575" s="33"/>
      <c r="BU575" s="33"/>
      <c r="BV575" s="33"/>
      <c r="BW575" s="33"/>
      <c r="BX575" s="33"/>
      <c r="BY575" s="33"/>
      <c r="BZ575" s="33"/>
      <c r="CA575" s="33"/>
      <c r="CB575" s="31"/>
      <c r="CC575" s="32"/>
      <c r="CD575" s="33"/>
      <c r="CE575" s="33"/>
      <c r="CF575" s="33"/>
      <c r="CG575" s="33"/>
      <c r="CH575" s="33"/>
      <c r="CI575" s="33"/>
      <c r="CJ575" s="33"/>
      <c r="CK575" s="33"/>
      <c r="CL575" s="33"/>
      <c r="CM575" s="33"/>
      <c r="CN575" s="33"/>
      <c r="CO575" s="31"/>
      <c r="CP575" s="32"/>
      <c r="CQ575" s="33"/>
      <c r="CR575" s="33"/>
      <c r="CS575" s="33"/>
      <c r="CT575" s="33"/>
      <c r="CU575" s="33"/>
      <c r="CV575" s="33"/>
      <c r="CW575" s="33"/>
      <c r="CX575" s="33"/>
      <c r="CY575" s="33"/>
      <c r="CZ575" s="33"/>
      <c r="DA575" s="33"/>
      <c r="DB575" s="31"/>
      <c r="DC575" s="32"/>
      <c r="DD575" s="33"/>
      <c r="DE575" s="33"/>
      <c r="DF575" s="33"/>
      <c r="DG575" s="33"/>
      <c r="DH575" s="33"/>
      <c r="DI575" s="33"/>
      <c r="DJ575" s="33"/>
      <c r="DK575" s="33"/>
      <c r="DL575" s="33"/>
      <c r="DM575" s="33"/>
      <c r="DN575" s="33"/>
      <c r="DO575" s="31"/>
      <c r="DP575" s="32"/>
      <c r="DQ575" s="33"/>
      <c r="DR575" s="33"/>
      <c r="DS575" s="33"/>
      <c r="DT575" s="33"/>
      <c r="DU575" s="33"/>
      <c r="DV575" s="33"/>
      <c r="DW575" s="33"/>
      <c r="DX575" s="33"/>
      <c r="DY575" s="33"/>
      <c r="DZ575" s="33"/>
      <c r="EA575" s="33"/>
      <c r="EB575" s="31"/>
      <c r="EC575" s="32"/>
      <c r="ED575" s="33"/>
      <c r="EE575" s="33"/>
      <c r="EF575" s="33"/>
      <c r="EG575" s="33"/>
      <c r="EH575" s="33"/>
      <c r="EI575" s="33"/>
      <c r="EJ575" s="33"/>
      <c r="EK575" s="33"/>
      <c r="EL575" s="33"/>
      <c r="EM575" s="33"/>
      <c r="EN575" s="33"/>
      <c r="EO575" s="31"/>
      <c r="EP575" s="32"/>
      <c r="EQ575" s="33"/>
      <c r="ER575" s="33"/>
      <c r="ES575" s="33"/>
      <c r="ET575" s="33"/>
      <c r="EU575" s="33"/>
      <c r="EV575" s="33"/>
      <c r="EW575" s="33"/>
      <c r="EX575" s="33"/>
      <c r="EY575" s="33"/>
      <c r="EZ575" s="33"/>
      <c r="FA575" s="33"/>
      <c r="FB575" s="31"/>
      <c r="FC575" s="32"/>
      <c r="FD575" s="33"/>
      <c r="FE575" s="33"/>
      <c r="FF575" s="33"/>
      <c r="FG575" s="33"/>
      <c r="FH575" s="33"/>
      <c r="FI575" s="33"/>
      <c r="FJ575" s="33"/>
      <c r="FK575" s="33"/>
      <c r="FL575" s="33"/>
      <c r="FM575" s="33"/>
      <c r="FN575" s="33"/>
      <c r="FO575" s="34">
        <f t="shared" ref="FO575:FV575" si="568">IFERROR(R575*1,0)+IFERROR(AE575*1,0)+IFERROR(AR575*1,0)+IFERROR(BE575*1,0)+IFERROR(BR575*1,0)+IFERROR(CE575*1,0)+IFERROR(CR575*1,0)+IFERROR(DE575*1,0)+IFERROR(DR575*1,0)+IFERROR(EE575*1,0)+IFERROR(ER575*1,0)+IFERROR(FE575*1,0)</f>
        <v>0</v>
      </c>
      <c r="FP575" s="34">
        <f t="shared" si="568"/>
        <v>0</v>
      </c>
      <c r="FQ575" s="34">
        <f t="shared" si="568"/>
        <v>0</v>
      </c>
      <c r="FR575" s="34">
        <f t="shared" si="568"/>
        <v>0</v>
      </c>
      <c r="FS575" s="34">
        <f t="shared" si="568"/>
        <v>0</v>
      </c>
      <c r="FT575" s="34">
        <f t="shared" si="568"/>
        <v>0</v>
      </c>
      <c r="FU575" s="34">
        <f t="shared" si="568"/>
        <v>0</v>
      </c>
      <c r="FV575" s="34">
        <f t="shared" si="568"/>
        <v>0</v>
      </c>
      <c r="FW575" s="28"/>
      <c r="FX575" s="29">
        <f t="shared" si="3"/>
        <v>0</v>
      </c>
    </row>
    <row r="576" spans="1:180" ht="18" customHeight="1" x14ac:dyDescent="0.25">
      <c r="A576" s="3" t="str">
        <f>IF(C576&lt;&gt;"","DRG-"&amp;TEXT(571,"000"),"")</f>
        <v/>
      </c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38">
        <v>4</v>
      </c>
      <c r="M576" s="23" t="str">
        <f t="shared" si="0"/>
        <v>✘ Pending</v>
      </c>
      <c r="N576" s="23">
        <f t="shared" si="1"/>
        <v>0</v>
      </c>
      <c r="O576" s="25"/>
      <c r="P576" s="26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  <c r="AB576" s="25"/>
      <c r="AC576" s="26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5"/>
      <c r="AP576" s="26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5"/>
      <c r="BC576" s="26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5"/>
      <c r="BP576" s="26"/>
      <c r="BQ576" s="24"/>
      <c r="BR576" s="24"/>
      <c r="BS576" s="24"/>
      <c r="BT576" s="24"/>
      <c r="BU576" s="24"/>
      <c r="BV576" s="24"/>
      <c r="BW576" s="24"/>
      <c r="BX576" s="24"/>
      <c r="BY576" s="24"/>
      <c r="BZ576" s="24"/>
      <c r="CA576" s="24"/>
      <c r="CB576" s="25"/>
      <c r="CC576" s="26"/>
      <c r="CD576" s="24"/>
      <c r="CE576" s="24"/>
      <c r="CF576" s="24"/>
      <c r="CG576" s="24"/>
      <c r="CH576" s="24"/>
      <c r="CI576" s="24"/>
      <c r="CJ576" s="24"/>
      <c r="CK576" s="24"/>
      <c r="CL576" s="24"/>
      <c r="CM576" s="24"/>
      <c r="CN576" s="24"/>
      <c r="CO576" s="25"/>
      <c r="CP576" s="26"/>
      <c r="CQ576" s="24"/>
      <c r="CR576" s="24"/>
      <c r="CS576" s="24"/>
      <c r="CT576" s="24"/>
      <c r="CU576" s="24"/>
      <c r="CV576" s="24"/>
      <c r="CW576" s="24"/>
      <c r="CX576" s="24"/>
      <c r="CY576" s="24"/>
      <c r="CZ576" s="24"/>
      <c r="DA576" s="24"/>
      <c r="DB576" s="25"/>
      <c r="DC576" s="26"/>
      <c r="DD576" s="24"/>
      <c r="DE576" s="24"/>
      <c r="DF576" s="24"/>
      <c r="DG576" s="24"/>
      <c r="DH576" s="24"/>
      <c r="DI576" s="24"/>
      <c r="DJ576" s="24"/>
      <c r="DK576" s="24"/>
      <c r="DL576" s="24"/>
      <c r="DM576" s="24"/>
      <c r="DN576" s="24"/>
      <c r="DO576" s="25"/>
      <c r="DP576" s="26"/>
      <c r="DQ576" s="24"/>
      <c r="DR576" s="24"/>
      <c r="DS576" s="24"/>
      <c r="DT576" s="24"/>
      <c r="DU576" s="24"/>
      <c r="DV576" s="24"/>
      <c r="DW576" s="24"/>
      <c r="DX576" s="24"/>
      <c r="DY576" s="24"/>
      <c r="DZ576" s="24"/>
      <c r="EA576" s="24"/>
      <c r="EB576" s="25"/>
      <c r="EC576" s="26"/>
      <c r="ED576" s="24"/>
      <c r="EE576" s="24"/>
      <c r="EF576" s="24"/>
      <c r="EG576" s="24"/>
      <c r="EH576" s="24"/>
      <c r="EI576" s="24"/>
      <c r="EJ576" s="24"/>
      <c r="EK576" s="24"/>
      <c r="EL576" s="24"/>
      <c r="EM576" s="24"/>
      <c r="EN576" s="24"/>
      <c r="EO576" s="25"/>
      <c r="EP576" s="26"/>
      <c r="EQ576" s="24"/>
      <c r="ER576" s="24"/>
      <c r="ES576" s="24"/>
      <c r="ET576" s="24"/>
      <c r="EU576" s="24"/>
      <c r="EV576" s="24"/>
      <c r="EW576" s="24"/>
      <c r="EX576" s="24"/>
      <c r="EY576" s="24"/>
      <c r="EZ576" s="24"/>
      <c r="FA576" s="24"/>
      <c r="FB576" s="25"/>
      <c r="FC576" s="26"/>
      <c r="FD576" s="24"/>
      <c r="FE576" s="24"/>
      <c r="FF576" s="24"/>
      <c r="FG576" s="24"/>
      <c r="FH576" s="24"/>
      <c r="FI576" s="24"/>
      <c r="FJ576" s="24"/>
      <c r="FK576" s="24"/>
      <c r="FL576" s="24"/>
      <c r="FM576" s="24"/>
      <c r="FN576" s="24"/>
      <c r="FO576" s="27">
        <f t="shared" ref="FO576:FV576" si="569">IFERROR(R576*1,0)+IFERROR(AE576*1,0)+IFERROR(AR576*1,0)+IFERROR(BE576*1,0)+IFERROR(BR576*1,0)+IFERROR(CE576*1,0)+IFERROR(CR576*1,0)+IFERROR(DE576*1,0)+IFERROR(DR576*1,0)+IFERROR(EE576*1,0)+IFERROR(ER576*1,0)+IFERROR(FE576*1,0)</f>
        <v>0</v>
      </c>
      <c r="FP576" s="27">
        <f t="shared" si="569"/>
        <v>0</v>
      </c>
      <c r="FQ576" s="27">
        <f t="shared" si="569"/>
        <v>0</v>
      </c>
      <c r="FR576" s="27">
        <f t="shared" si="569"/>
        <v>0</v>
      </c>
      <c r="FS576" s="27">
        <f t="shared" si="569"/>
        <v>0</v>
      </c>
      <c r="FT576" s="27">
        <f t="shared" si="569"/>
        <v>0</v>
      </c>
      <c r="FU576" s="27">
        <f t="shared" si="569"/>
        <v>0</v>
      </c>
      <c r="FV576" s="27">
        <f t="shared" si="569"/>
        <v>0</v>
      </c>
      <c r="FW576" s="28"/>
      <c r="FX576" s="29">
        <f t="shared" si="3"/>
        <v>0</v>
      </c>
    </row>
    <row r="577" spans="1:180" ht="18" customHeight="1" x14ac:dyDescent="0.25">
      <c r="A577" s="3" t="str">
        <f>IF(C577&lt;&gt;"","DRG-"&amp;TEXT(572,"000"),"")</f>
        <v/>
      </c>
      <c r="B577" s="33"/>
      <c r="C577" s="33"/>
      <c r="D577" s="33"/>
      <c r="E577" s="33"/>
      <c r="F577" s="33"/>
      <c r="G577" s="33"/>
      <c r="H577" s="33"/>
      <c r="I577" s="33"/>
      <c r="J577" s="33"/>
      <c r="K577" s="33"/>
      <c r="L577" s="37">
        <v>4</v>
      </c>
      <c r="M577" s="30" t="str">
        <f t="shared" si="0"/>
        <v>✘ Pending</v>
      </c>
      <c r="N577" s="30">
        <f t="shared" si="1"/>
        <v>0</v>
      </c>
      <c r="O577" s="31"/>
      <c r="P577" s="32"/>
      <c r="Q577" s="33"/>
      <c r="R577" s="33"/>
      <c r="S577" s="33"/>
      <c r="T577" s="33"/>
      <c r="U577" s="33"/>
      <c r="V577" s="33"/>
      <c r="W577" s="33"/>
      <c r="X577" s="33"/>
      <c r="Y577" s="33"/>
      <c r="Z577" s="33"/>
      <c r="AA577" s="33"/>
      <c r="AB577" s="31"/>
      <c r="AC577" s="32"/>
      <c r="AD577" s="33"/>
      <c r="AE577" s="33"/>
      <c r="AF577" s="33"/>
      <c r="AG577" s="33"/>
      <c r="AH577" s="33"/>
      <c r="AI577" s="33"/>
      <c r="AJ577" s="33"/>
      <c r="AK577" s="33"/>
      <c r="AL577" s="33"/>
      <c r="AM577" s="33"/>
      <c r="AN577" s="33"/>
      <c r="AO577" s="31"/>
      <c r="AP577" s="32"/>
      <c r="AQ577" s="33"/>
      <c r="AR577" s="33"/>
      <c r="AS577" s="33"/>
      <c r="AT577" s="33"/>
      <c r="AU577" s="33"/>
      <c r="AV577" s="33"/>
      <c r="AW577" s="33"/>
      <c r="AX577" s="33"/>
      <c r="AY577" s="33"/>
      <c r="AZ577" s="33"/>
      <c r="BA577" s="33"/>
      <c r="BB577" s="31"/>
      <c r="BC577" s="32"/>
      <c r="BD577" s="33"/>
      <c r="BE577" s="33"/>
      <c r="BF577" s="33"/>
      <c r="BG577" s="33"/>
      <c r="BH577" s="33"/>
      <c r="BI577" s="33"/>
      <c r="BJ577" s="33"/>
      <c r="BK577" s="33"/>
      <c r="BL577" s="33"/>
      <c r="BM577" s="33"/>
      <c r="BN577" s="33"/>
      <c r="BO577" s="31"/>
      <c r="BP577" s="32"/>
      <c r="BQ577" s="33"/>
      <c r="BR577" s="33"/>
      <c r="BS577" s="33"/>
      <c r="BT577" s="33"/>
      <c r="BU577" s="33"/>
      <c r="BV577" s="33"/>
      <c r="BW577" s="33"/>
      <c r="BX577" s="33"/>
      <c r="BY577" s="33"/>
      <c r="BZ577" s="33"/>
      <c r="CA577" s="33"/>
      <c r="CB577" s="31"/>
      <c r="CC577" s="32"/>
      <c r="CD577" s="33"/>
      <c r="CE577" s="33"/>
      <c r="CF577" s="33"/>
      <c r="CG577" s="33"/>
      <c r="CH577" s="33"/>
      <c r="CI577" s="33"/>
      <c r="CJ577" s="33"/>
      <c r="CK577" s="33"/>
      <c r="CL577" s="33"/>
      <c r="CM577" s="33"/>
      <c r="CN577" s="33"/>
      <c r="CO577" s="31"/>
      <c r="CP577" s="32"/>
      <c r="CQ577" s="33"/>
      <c r="CR577" s="33"/>
      <c r="CS577" s="33"/>
      <c r="CT577" s="33"/>
      <c r="CU577" s="33"/>
      <c r="CV577" s="33"/>
      <c r="CW577" s="33"/>
      <c r="CX577" s="33"/>
      <c r="CY577" s="33"/>
      <c r="CZ577" s="33"/>
      <c r="DA577" s="33"/>
      <c r="DB577" s="31"/>
      <c r="DC577" s="32"/>
      <c r="DD577" s="33"/>
      <c r="DE577" s="33"/>
      <c r="DF577" s="33"/>
      <c r="DG577" s="33"/>
      <c r="DH577" s="33"/>
      <c r="DI577" s="33"/>
      <c r="DJ577" s="33"/>
      <c r="DK577" s="33"/>
      <c r="DL577" s="33"/>
      <c r="DM577" s="33"/>
      <c r="DN577" s="33"/>
      <c r="DO577" s="31"/>
      <c r="DP577" s="32"/>
      <c r="DQ577" s="33"/>
      <c r="DR577" s="33"/>
      <c r="DS577" s="33"/>
      <c r="DT577" s="33"/>
      <c r="DU577" s="33"/>
      <c r="DV577" s="33"/>
      <c r="DW577" s="33"/>
      <c r="DX577" s="33"/>
      <c r="DY577" s="33"/>
      <c r="DZ577" s="33"/>
      <c r="EA577" s="33"/>
      <c r="EB577" s="31"/>
      <c r="EC577" s="32"/>
      <c r="ED577" s="33"/>
      <c r="EE577" s="33"/>
      <c r="EF577" s="33"/>
      <c r="EG577" s="33"/>
      <c r="EH577" s="33"/>
      <c r="EI577" s="33"/>
      <c r="EJ577" s="33"/>
      <c r="EK577" s="33"/>
      <c r="EL577" s="33"/>
      <c r="EM577" s="33"/>
      <c r="EN577" s="33"/>
      <c r="EO577" s="31"/>
      <c r="EP577" s="32"/>
      <c r="EQ577" s="33"/>
      <c r="ER577" s="33"/>
      <c r="ES577" s="33"/>
      <c r="ET577" s="33"/>
      <c r="EU577" s="33"/>
      <c r="EV577" s="33"/>
      <c r="EW577" s="33"/>
      <c r="EX577" s="33"/>
      <c r="EY577" s="33"/>
      <c r="EZ577" s="33"/>
      <c r="FA577" s="33"/>
      <c r="FB577" s="31"/>
      <c r="FC577" s="32"/>
      <c r="FD577" s="33"/>
      <c r="FE577" s="33"/>
      <c r="FF577" s="33"/>
      <c r="FG577" s="33"/>
      <c r="FH577" s="33"/>
      <c r="FI577" s="33"/>
      <c r="FJ577" s="33"/>
      <c r="FK577" s="33"/>
      <c r="FL577" s="33"/>
      <c r="FM577" s="33"/>
      <c r="FN577" s="33"/>
      <c r="FO577" s="34">
        <f t="shared" ref="FO577:FV577" si="570">IFERROR(R577*1,0)+IFERROR(AE577*1,0)+IFERROR(AR577*1,0)+IFERROR(BE577*1,0)+IFERROR(BR577*1,0)+IFERROR(CE577*1,0)+IFERROR(CR577*1,0)+IFERROR(DE577*1,0)+IFERROR(DR577*1,0)+IFERROR(EE577*1,0)+IFERROR(ER577*1,0)+IFERROR(FE577*1,0)</f>
        <v>0</v>
      </c>
      <c r="FP577" s="34">
        <f t="shared" si="570"/>
        <v>0</v>
      </c>
      <c r="FQ577" s="34">
        <f t="shared" si="570"/>
        <v>0</v>
      </c>
      <c r="FR577" s="34">
        <f t="shared" si="570"/>
        <v>0</v>
      </c>
      <c r="FS577" s="34">
        <f t="shared" si="570"/>
        <v>0</v>
      </c>
      <c r="FT577" s="34">
        <f t="shared" si="570"/>
        <v>0</v>
      </c>
      <c r="FU577" s="34">
        <f t="shared" si="570"/>
        <v>0</v>
      </c>
      <c r="FV577" s="34">
        <f t="shared" si="570"/>
        <v>0</v>
      </c>
      <c r="FW577" s="28"/>
      <c r="FX577" s="29">
        <f t="shared" si="3"/>
        <v>0</v>
      </c>
    </row>
    <row r="578" spans="1:180" ht="18" customHeight="1" x14ac:dyDescent="0.25">
      <c r="A578" s="3" t="str">
        <f>IF(C578&lt;&gt;"","DRG-"&amp;TEXT(573,"000"),"")</f>
        <v/>
      </c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38">
        <v>4</v>
      </c>
      <c r="M578" s="23" t="str">
        <f t="shared" si="0"/>
        <v>✘ Pending</v>
      </c>
      <c r="N578" s="23">
        <f t="shared" si="1"/>
        <v>0</v>
      </c>
      <c r="O578" s="25"/>
      <c r="P578" s="26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  <c r="AB578" s="25"/>
      <c r="AC578" s="26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5"/>
      <c r="AP578" s="26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5"/>
      <c r="BC578" s="26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5"/>
      <c r="BP578" s="26"/>
      <c r="BQ578" s="24"/>
      <c r="BR578" s="24"/>
      <c r="BS578" s="24"/>
      <c r="BT578" s="24"/>
      <c r="BU578" s="24"/>
      <c r="BV578" s="24"/>
      <c r="BW578" s="24"/>
      <c r="BX578" s="24"/>
      <c r="BY578" s="24"/>
      <c r="BZ578" s="24"/>
      <c r="CA578" s="24"/>
      <c r="CB578" s="25"/>
      <c r="CC578" s="26"/>
      <c r="CD578" s="24"/>
      <c r="CE578" s="24"/>
      <c r="CF578" s="24"/>
      <c r="CG578" s="24"/>
      <c r="CH578" s="24"/>
      <c r="CI578" s="24"/>
      <c r="CJ578" s="24"/>
      <c r="CK578" s="24"/>
      <c r="CL578" s="24"/>
      <c r="CM578" s="24"/>
      <c r="CN578" s="24"/>
      <c r="CO578" s="25"/>
      <c r="CP578" s="26"/>
      <c r="CQ578" s="24"/>
      <c r="CR578" s="24"/>
      <c r="CS578" s="24"/>
      <c r="CT578" s="24"/>
      <c r="CU578" s="24"/>
      <c r="CV578" s="24"/>
      <c r="CW578" s="24"/>
      <c r="CX578" s="24"/>
      <c r="CY578" s="24"/>
      <c r="CZ578" s="24"/>
      <c r="DA578" s="24"/>
      <c r="DB578" s="25"/>
      <c r="DC578" s="26"/>
      <c r="DD578" s="24"/>
      <c r="DE578" s="24"/>
      <c r="DF578" s="24"/>
      <c r="DG578" s="24"/>
      <c r="DH578" s="24"/>
      <c r="DI578" s="24"/>
      <c r="DJ578" s="24"/>
      <c r="DK578" s="24"/>
      <c r="DL578" s="24"/>
      <c r="DM578" s="24"/>
      <c r="DN578" s="24"/>
      <c r="DO578" s="25"/>
      <c r="DP578" s="26"/>
      <c r="DQ578" s="24"/>
      <c r="DR578" s="24"/>
      <c r="DS578" s="24"/>
      <c r="DT578" s="24"/>
      <c r="DU578" s="24"/>
      <c r="DV578" s="24"/>
      <c r="DW578" s="24"/>
      <c r="DX578" s="24"/>
      <c r="DY578" s="24"/>
      <c r="DZ578" s="24"/>
      <c r="EA578" s="24"/>
      <c r="EB578" s="25"/>
      <c r="EC578" s="26"/>
      <c r="ED578" s="24"/>
      <c r="EE578" s="24"/>
      <c r="EF578" s="24"/>
      <c r="EG578" s="24"/>
      <c r="EH578" s="24"/>
      <c r="EI578" s="24"/>
      <c r="EJ578" s="24"/>
      <c r="EK578" s="24"/>
      <c r="EL578" s="24"/>
      <c r="EM578" s="24"/>
      <c r="EN578" s="24"/>
      <c r="EO578" s="25"/>
      <c r="EP578" s="26"/>
      <c r="EQ578" s="24"/>
      <c r="ER578" s="24"/>
      <c r="ES578" s="24"/>
      <c r="ET578" s="24"/>
      <c r="EU578" s="24"/>
      <c r="EV578" s="24"/>
      <c r="EW578" s="24"/>
      <c r="EX578" s="24"/>
      <c r="EY578" s="24"/>
      <c r="EZ578" s="24"/>
      <c r="FA578" s="24"/>
      <c r="FB578" s="25"/>
      <c r="FC578" s="26"/>
      <c r="FD578" s="24"/>
      <c r="FE578" s="24"/>
      <c r="FF578" s="24"/>
      <c r="FG578" s="24"/>
      <c r="FH578" s="24"/>
      <c r="FI578" s="24"/>
      <c r="FJ578" s="24"/>
      <c r="FK578" s="24"/>
      <c r="FL578" s="24"/>
      <c r="FM578" s="24"/>
      <c r="FN578" s="24"/>
      <c r="FO578" s="27">
        <f t="shared" ref="FO578:FV578" si="571">IFERROR(R578*1,0)+IFERROR(AE578*1,0)+IFERROR(AR578*1,0)+IFERROR(BE578*1,0)+IFERROR(BR578*1,0)+IFERROR(CE578*1,0)+IFERROR(CR578*1,0)+IFERROR(DE578*1,0)+IFERROR(DR578*1,0)+IFERROR(EE578*1,0)+IFERROR(ER578*1,0)+IFERROR(FE578*1,0)</f>
        <v>0</v>
      </c>
      <c r="FP578" s="27">
        <f t="shared" si="571"/>
        <v>0</v>
      </c>
      <c r="FQ578" s="27">
        <f t="shared" si="571"/>
        <v>0</v>
      </c>
      <c r="FR578" s="27">
        <f t="shared" si="571"/>
        <v>0</v>
      </c>
      <c r="FS578" s="27">
        <f t="shared" si="571"/>
        <v>0</v>
      </c>
      <c r="FT578" s="27">
        <f t="shared" si="571"/>
        <v>0</v>
      </c>
      <c r="FU578" s="27">
        <f t="shared" si="571"/>
        <v>0</v>
      </c>
      <c r="FV578" s="27">
        <f t="shared" si="571"/>
        <v>0</v>
      </c>
      <c r="FW578" s="28"/>
      <c r="FX578" s="29">
        <f t="shared" si="3"/>
        <v>0</v>
      </c>
    </row>
    <row r="579" spans="1:180" ht="18" customHeight="1" x14ac:dyDescent="0.25">
      <c r="A579" s="3" t="str">
        <f>IF(C579&lt;&gt;"","DRG-"&amp;TEXT(574,"000"),"")</f>
        <v/>
      </c>
      <c r="B579" s="33"/>
      <c r="C579" s="33"/>
      <c r="D579" s="33"/>
      <c r="E579" s="33"/>
      <c r="F579" s="33"/>
      <c r="G579" s="33"/>
      <c r="H579" s="33"/>
      <c r="I579" s="33"/>
      <c r="J579" s="33"/>
      <c r="K579" s="33"/>
      <c r="L579" s="37">
        <v>4</v>
      </c>
      <c r="M579" s="30" t="str">
        <f t="shared" si="0"/>
        <v>✘ Pending</v>
      </c>
      <c r="N579" s="30">
        <f t="shared" si="1"/>
        <v>0</v>
      </c>
      <c r="O579" s="31"/>
      <c r="P579" s="32"/>
      <c r="Q579" s="33"/>
      <c r="R579" s="33"/>
      <c r="S579" s="33"/>
      <c r="T579" s="33"/>
      <c r="U579" s="33"/>
      <c r="V579" s="33"/>
      <c r="W579" s="33"/>
      <c r="X579" s="33"/>
      <c r="Y579" s="33"/>
      <c r="Z579" s="33"/>
      <c r="AA579" s="33"/>
      <c r="AB579" s="31"/>
      <c r="AC579" s="32"/>
      <c r="AD579" s="33"/>
      <c r="AE579" s="33"/>
      <c r="AF579" s="33"/>
      <c r="AG579" s="33"/>
      <c r="AH579" s="33"/>
      <c r="AI579" s="33"/>
      <c r="AJ579" s="33"/>
      <c r="AK579" s="33"/>
      <c r="AL579" s="33"/>
      <c r="AM579" s="33"/>
      <c r="AN579" s="33"/>
      <c r="AO579" s="31"/>
      <c r="AP579" s="32"/>
      <c r="AQ579" s="33"/>
      <c r="AR579" s="33"/>
      <c r="AS579" s="33"/>
      <c r="AT579" s="33"/>
      <c r="AU579" s="33"/>
      <c r="AV579" s="33"/>
      <c r="AW579" s="33"/>
      <c r="AX579" s="33"/>
      <c r="AY579" s="33"/>
      <c r="AZ579" s="33"/>
      <c r="BA579" s="33"/>
      <c r="BB579" s="31"/>
      <c r="BC579" s="32"/>
      <c r="BD579" s="33"/>
      <c r="BE579" s="33"/>
      <c r="BF579" s="33"/>
      <c r="BG579" s="33"/>
      <c r="BH579" s="33"/>
      <c r="BI579" s="33"/>
      <c r="BJ579" s="33"/>
      <c r="BK579" s="33"/>
      <c r="BL579" s="33"/>
      <c r="BM579" s="33"/>
      <c r="BN579" s="33"/>
      <c r="BO579" s="31"/>
      <c r="BP579" s="32"/>
      <c r="BQ579" s="33"/>
      <c r="BR579" s="33"/>
      <c r="BS579" s="33"/>
      <c r="BT579" s="33"/>
      <c r="BU579" s="33"/>
      <c r="BV579" s="33"/>
      <c r="BW579" s="33"/>
      <c r="BX579" s="33"/>
      <c r="BY579" s="33"/>
      <c r="BZ579" s="33"/>
      <c r="CA579" s="33"/>
      <c r="CB579" s="31"/>
      <c r="CC579" s="32"/>
      <c r="CD579" s="33"/>
      <c r="CE579" s="33"/>
      <c r="CF579" s="33"/>
      <c r="CG579" s="33"/>
      <c r="CH579" s="33"/>
      <c r="CI579" s="33"/>
      <c r="CJ579" s="33"/>
      <c r="CK579" s="33"/>
      <c r="CL579" s="33"/>
      <c r="CM579" s="33"/>
      <c r="CN579" s="33"/>
      <c r="CO579" s="31"/>
      <c r="CP579" s="32"/>
      <c r="CQ579" s="33"/>
      <c r="CR579" s="33"/>
      <c r="CS579" s="33"/>
      <c r="CT579" s="33"/>
      <c r="CU579" s="33"/>
      <c r="CV579" s="33"/>
      <c r="CW579" s="33"/>
      <c r="CX579" s="33"/>
      <c r="CY579" s="33"/>
      <c r="CZ579" s="33"/>
      <c r="DA579" s="33"/>
      <c r="DB579" s="31"/>
      <c r="DC579" s="32"/>
      <c r="DD579" s="33"/>
      <c r="DE579" s="33"/>
      <c r="DF579" s="33"/>
      <c r="DG579" s="33"/>
      <c r="DH579" s="33"/>
      <c r="DI579" s="33"/>
      <c r="DJ579" s="33"/>
      <c r="DK579" s="33"/>
      <c r="DL579" s="33"/>
      <c r="DM579" s="33"/>
      <c r="DN579" s="33"/>
      <c r="DO579" s="31"/>
      <c r="DP579" s="32"/>
      <c r="DQ579" s="33"/>
      <c r="DR579" s="33"/>
      <c r="DS579" s="33"/>
      <c r="DT579" s="33"/>
      <c r="DU579" s="33"/>
      <c r="DV579" s="33"/>
      <c r="DW579" s="33"/>
      <c r="DX579" s="33"/>
      <c r="DY579" s="33"/>
      <c r="DZ579" s="33"/>
      <c r="EA579" s="33"/>
      <c r="EB579" s="31"/>
      <c r="EC579" s="32"/>
      <c r="ED579" s="33"/>
      <c r="EE579" s="33"/>
      <c r="EF579" s="33"/>
      <c r="EG579" s="33"/>
      <c r="EH579" s="33"/>
      <c r="EI579" s="33"/>
      <c r="EJ579" s="33"/>
      <c r="EK579" s="33"/>
      <c r="EL579" s="33"/>
      <c r="EM579" s="33"/>
      <c r="EN579" s="33"/>
      <c r="EO579" s="31"/>
      <c r="EP579" s="32"/>
      <c r="EQ579" s="33"/>
      <c r="ER579" s="33"/>
      <c r="ES579" s="33"/>
      <c r="ET579" s="33"/>
      <c r="EU579" s="33"/>
      <c r="EV579" s="33"/>
      <c r="EW579" s="33"/>
      <c r="EX579" s="33"/>
      <c r="EY579" s="33"/>
      <c r="EZ579" s="33"/>
      <c r="FA579" s="33"/>
      <c r="FB579" s="31"/>
      <c r="FC579" s="32"/>
      <c r="FD579" s="33"/>
      <c r="FE579" s="33"/>
      <c r="FF579" s="33"/>
      <c r="FG579" s="33"/>
      <c r="FH579" s="33"/>
      <c r="FI579" s="33"/>
      <c r="FJ579" s="33"/>
      <c r="FK579" s="33"/>
      <c r="FL579" s="33"/>
      <c r="FM579" s="33"/>
      <c r="FN579" s="33"/>
      <c r="FO579" s="34">
        <f t="shared" ref="FO579:FV579" si="572">IFERROR(R579*1,0)+IFERROR(AE579*1,0)+IFERROR(AR579*1,0)+IFERROR(BE579*1,0)+IFERROR(BR579*1,0)+IFERROR(CE579*1,0)+IFERROR(CR579*1,0)+IFERROR(DE579*1,0)+IFERROR(DR579*1,0)+IFERROR(EE579*1,0)+IFERROR(ER579*1,0)+IFERROR(FE579*1,0)</f>
        <v>0</v>
      </c>
      <c r="FP579" s="34">
        <f t="shared" si="572"/>
        <v>0</v>
      </c>
      <c r="FQ579" s="34">
        <f t="shared" si="572"/>
        <v>0</v>
      </c>
      <c r="FR579" s="34">
        <f t="shared" si="572"/>
        <v>0</v>
      </c>
      <c r="FS579" s="34">
        <f t="shared" si="572"/>
        <v>0</v>
      </c>
      <c r="FT579" s="34">
        <f t="shared" si="572"/>
        <v>0</v>
      </c>
      <c r="FU579" s="34">
        <f t="shared" si="572"/>
        <v>0</v>
      </c>
      <c r="FV579" s="34">
        <f t="shared" si="572"/>
        <v>0</v>
      </c>
      <c r="FW579" s="28"/>
      <c r="FX579" s="29">
        <f t="shared" si="3"/>
        <v>0</v>
      </c>
    </row>
    <row r="580" spans="1:180" ht="18" customHeight="1" x14ac:dyDescent="0.25">
      <c r="A580" s="3" t="str">
        <f>IF(C580&lt;&gt;"","DRG-"&amp;TEXT(575,"000"),"")</f>
        <v/>
      </c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38">
        <v>4</v>
      </c>
      <c r="M580" s="23" t="str">
        <f t="shared" si="0"/>
        <v>✘ Pending</v>
      </c>
      <c r="N580" s="23">
        <f t="shared" si="1"/>
        <v>0</v>
      </c>
      <c r="O580" s="25"/>
      <c r="P580" s="26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  <c r="AB580" s="25"/>
      <c r="AC580" s="26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5"/>
      <c r="AP580" s="26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5"/>
      <c r="BC580" s="26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5"/>
      <c r="BP580" s="26"/>
      <c r="BQ580" s="24"/>
      <c r="BR580" s="24"/>
      <c r="BS580" s="24"/>
      <c r="BT580" s="24"/>
      <c r="BU580" s="24"/>
      <c r="BV580" s="24"/>
      <c r="BW580" s="24"/>
      <c r="BX580" s="24"/>
      <c r="BY580" s="24"/>
      <c r="BZ580" s="24"/>
      <c r="CA580" s="24"/>
      <c r="CB580" s="25"/>
      <c r="CC580" s="26"/>
      <c r="CD580" s="24"/>
      <c r="CE580" s="24"/>
      <c r="CF580" s="24"/>
      <c r="CG580" s="24"/>
      <c r="CH580" s="24"/>
      <c r="CI580" s="24"/>
      <c r="CJ580" s="24"/>
      <c r="CK580" s="24"/>
      <c r="CL580" s="24"/>
      <c r="CM580" s="24"/>
      <c r="CN580" s="24"/>
      <c r="CO580" s="25"/>
      <c r="CP580" s="26"/>
      <c r="CQ580" s="24"/>
      <c r="CR580" s="24"/>
      <c r="CS580" s="24"/>
      <c r="CT580" s="24"/>
      <c r="CU580" s="24"/>
      <c r="CV580" s="24"/>
      <c r="CW580" s="24"/>
      <c r="CX580" s="24"/>
      <c r="CY580" s="24"/>
      <c r="CZ580" s="24"/>
      <c r="DA580" s="24"/>
      <c r="DB580" s="25"/>
      <c r="DC580" s="26"/>
      <c r="DD580" s="24"/>
      <c r="DE580" s="24"/>
      <c r="DF580" s="24"/>
      <c r="DG580" s="24"/>
      <c r="DH580" s="24"/>
      <c r="DI580" s="24"/>
      <c r="DJ580" s="24"/>
      <c r="DK580" s="24"/>
      <c r="DL580" s="24"/>
      <c r="DM580" s="24"/>
      <c r="DN580" s="24"/>
      <c r="DO580" s="25"/>
      <c r="DP580" s="26"/>
      <c r="DQ580" s="24"/>
      <c r="DR580" s="24"/>
      <c r="DS580" s="24"/>
      <c r="DT580" s="24"/>
      <c r="DU580" s="24"/>
      <c r="DV580" s="24"/>
      <c r="DW580" s="24"/>
      <c r="DX580" s="24"/>
      <c r="DY580" s="24"/>
      <c r="DZ580" s="24"/>
      <c r="EA580" s="24"/>
      <c r="EB580" s="25"/>
      <c r="EC580" s="26"/>
      <c r="ED580" s="24"/>
      <c r="EE580" s="24"/>
      <c r="EF580" s="24"/>
      <c r="EG580" s="24"/>
      <c r="EH580" s="24"/>
      <c r="EI580" s="24"/>
      <c r="EJ580" s="24"/>
      <c r="EK580" s="24"/>
      <c r="EL580" s="24"/>
      <c r="EM580" s="24"/>
      <c r="EN580" s="24"/>
      <c r="EO580" s="25"/>
      <c r="EP580" s="26"/>
      <c r="EQ580" s="24"/>
      <c r="ER580" s="24"/>
      <c r="ES580" s="24"/>
      <c r="ET580" s="24"/>
      <c r="EU580" s="24"/>
      <c r="EV580" s="24"/>
      <c r="EW580" s="24"/>
      <c r="EX580" s="24"/>
      <c r="EY580" s="24"/>
      <c r="EZ580" s="24"/>
      <c r="FA580" s="24"/>
      <c r="FB580" s="25"/>
      <c r="FC580" s="26"/>
      <c r="FD580" s="24"/>
      <c r="FE580" s="24"/>
      <c r="FF580" s="24"/>
      <c r="FG580" s="24"/>
      <c r="FH580" s="24"/>
      <c r="FI580" s="24"/>
      <c r="FJ580" s="24"/>
      <c r="FK580" s="24"/>
      <c r="FL580" s="24"/>
      <c r="FM580" s="24"/>
      <c r="FN580" s="24"/>
      <c r="FO580" s="27">
        <f t="shared" ref="FO580:FV580" si="573">IFERROR(R580*1,0)+IFERROR(AE580*1,0)+IFERROR(AR580*1,0)+IFERROR(BE580*1,0)+IFERROR(BR580*1,0)+IFERROR(CE580*1,0)+IFERROR(CR580*1,0)+IFERROR(DE580*1,0)+IFERROR(DR580*1,0)+IFERROR(EE580*1,0)+IFERROR(ER580*1,0)+IFERROR(FE580*1,0)</f>
        <v>0</v>
      </c>
      <c r="FP580" s="27">
        <f t="shared" si="573"/>
        <v>0</v>
      </c>
      <c r="FQ580" s="27">
        <f t="shared" si="573"/>
        <v>0</v>
      </c>
      <c r="FR580" s="27">
        <f t="shared" si="573"/>
        <v>0</v>
      </c>
      <c r="FS580" s="27">
        <f t="shared" si="573"/>
        <v>0</v>
      </c>
      <c r="FT580" s="27">
        <f t="shared" si="573"/>
        <v>0</v>
      </c>
      <c r="FU580" s="27">
        <f t="shared" si="573"/>
        <v>0</v>
      </c>
      <c r="FV580" s="27">
        <f t="shared" si="573"/>
        <v>0</v>
      </c>
      <c r="FW580" s="28"/>
      <c r="FX580" s="29">
        <f t="shared" si="3"/>
        <v>0</v>
      </c>
    </row>
    <row r="581" spans="1:180" ht="18" customHeight="1" x14ac:dyDescent="0.25">
      <c r="A581" s="3" t="str">
        <f>IF(C581&lt;&gt;"","DRG-"&amp;TEXT(576,"000"),"")</f>
        <v/>
      </c>
      <c r="B581" s="33"/>
      <c r="C581" s="33"/>
      <c r="D581" s="33"/>
      <c r="E581" s="33"/>
      <c r="F581" s="33"/>
      <c r="G581" s="33"/>
      <c r="H581" s="33"/>
      <c r="I581" s="33"/>
      <c r="J581" s="33"/>
      <c r="K581" s="33"/>
      <c r="L581" s="37">
        <v>4</v>
      </c>
      <c r="M581" s="30" t="str">
        <f t="shared" si="0"/>
        <v>✘ Pending</v>
      </c>
      <c r="N581" s="30">
        <f t="shared" si="1"/>
        <v>0</v>
      </c>
      <c r="O581" s="31"/>
      <c r="P581" s="32"/>
      <c r="Q581" s="33"/>
      <c r="R581" s="33"/>
      <c r="S581" s="33"/>
      <c r="T581" s="33"/>
      <c r="U581" s="33"/>
      <c r="V581" s="33"/>
      <c r="W581" s="33"/>
      <c r="X581" s="33"/>
      <c r="Y581" s="33"/>
      <c r="Z581" s="33"/>
      <c r="AA581" s="33"/>
      <c r="AB581" s="31"/>
      <c r="AC581" s="32"/>
      <c r="AD581" s="33"/>
      <c r="AE581" s="33"/>
      <c r="AF581" s="33"/>
      <c r="AG581" s="33"/>
      <c r="AH581" s="33"/>
      <c r="AI581" s="33"/>
      <c r="AJ581" s="33"/>
      <c r="AK581" s="33"/>
      <c r="AL581" s="33"/>
      <c r="AM581" s="33"/>
      <c r="AN581" s="33"/>
      <c r="AO581" s="31"/>
      <c r="AP581" s="32"/>
      <c r="AQ581" s="33"/>
      <c r="AR581" s="33"/>
      <c r="AS581" s="33"/>
      <c r="AT581" s="33"/>
      <c r="AU581" s="33"/>
      <c r="AV581" s="33"/>
      <c r="AW581" s="33"/>
      <c r="AX581" s="33"/>
      <c r="AY581" s="33"/>
      <c r="AZ581" s="33"/>
      <c r="BA581" s="33"/>
      <c r="BB581" s="31"/>
      <c r="BC581" s="32"/>
      <c r="BD581" s="33"/>
      <c r="BE581" s="33"/>
      <c r="BF581" s="33"/>
      <c r="BG581" s="33"/>
      <c r="BH581" s="33"/>
      <c r="BI581" s="33"/>
      <c r="BJ581" s="33"/>
      <c r="BK581" s="33"/>
      <c r="BL581" s="33"/>
      <c r="BM581" s="33"/>
      <c r="BN581" s="33"/>
      <c r="BO581" s="31"/>
      <c r="BP581" s="32"/>
      <c r="BQ581" s="33"/>
      <c r="BR581" s="33"/>
      <c r="BS581" s="33"/>
      <c r="BT581" s="33"/>
      <c r="BU581" s="33"/>
      <c r="BV581" s="33"/>
      <c r="BW581" s="33"/>
      <c r="BX581" s="33"/>
      <c r="BY581" s="33"/>
      <c r="BZ581" s="33"/>
      <c r="CA581" s="33"/>
      <c r="CB581" s="31"/>
      <c r="CC581" s="32"/>
      <c r="CD581" s="33"/>
      <c r="CE581" s="33"/>
      <c r="CF581" s="33"/>
      <c r="CG581" s="33"/>
      <c r="CH581" s="33"/>
      <c r="CI581" s="33"/>
      <c r="CJ581" s="33"/>
      <c r="CK581" s="33"/>
      <c r="CL581" s="33"/>
      <c r="CM581" s="33"/>
      <c r="CN581" s="33"/>
      <c r="CO581" s="31"/>
      <c r="CP581" s="32"/>
      <c r="CQ581" s="33"/>
      <c r="CR581" s="33"/>
      <c r="CS581" s="33"/>
      <c r="CT581" s="33"/>
      <c r="CU581" s="33"/>
      <c r="CV581" s="33"/>
      <c r="CW581" s="33"/>
      <c r="CX581" s="33"/>
      <c r="CY581" s="33"/>
      <c r="CZ581" s="33"/>
      <c r="DA581" s="33"/>
      <c r="DB581" s="31"/>
      <c r="DC581" s="32"/>
      <c r="DD581" s="33"/>
      <c r="DE581" s="33"/>
      <c r="DF581" s="33"/>
      <c r="DG581" s="33"/>
      <c r="DH581" s="33"/>
      <c r="DI581" s="33"/>
      <c r="DJ581" s="33"/>
      <c r="DK581" s="33"/>
      <c r="DL581" s="33"/>
      <c r="DM581" s="33"/>
      <c r="DN581" s="33"/>
      <c r="DO581" s="31"/>
      <c r="DP581" s="32"/>
      <c r="DQ581" s="33"/>
      <c r="DR581" s="33"/>
      <c r="DS581" s="33"/>
      <c r="DT581" s="33"/>
      <c r="DU581" s="33"/>
      <c r="DV581" s="33"/>
      <c r="DW581" s="33"/>
      <c r="DX581" s="33"/>
      <c r="DY581" s="33"/>
      <c r="DZ581" s="33"/>
      <c r="EA581" s="33"/>
      <c r="EB581" s="31"/>
      <c r="EC581" s="32"/>
      <c r="ED581" s="33"/>
      <c r="EE581" s="33"/>
      <c r="EF581" s="33"/>
      <c r="EG581" s="33"/>
      <c r="EH581" s="33"/>
      <c r="EI581" s="33"/>
      <c r="EJ581" s="33"/>
      <c r="EK581" s="33"/>
      <c r="EL581" s="33"/>
      <c r="EM581" s="33"/>
      <c r="EN581" s="33"/>
      <c r="EO581" s="31"/>
      <c r="EP581" s="32"/>
      <c r="EQ581" s="33"/>
      <c r="ER581" s="33"/>
      <c r="ES581" s="33"/>
      <c r="ET581" s="33"/>
      <c r="EU581" s="33"/>
      <c r="EV581" s="33"/>
      <c r="EW581" s="33"/>
      <c r="EX581" s="33"/>
      <c r="EY581" s="33"/>
      <c r="EZ581" s="33"/>
      <c r="FA581" s="33"/>
      <c r="FB581" s="31"/>
      <c r="FC581" s="32"/>
      <c r="FD581" s="33"/>
      <c r="FE581" s="33"/>
      <c r="FF581" s="33"/>
      <c r="FG581" s="33"/>
      <c r="FH581" s="33"/>
      <c r="FI581" s="33"/>
      <c r="FJ581" s="33"/>
      <c r="FK581" s="33"/>
      <c r="FL581" s="33"/>
      <c r="FM581" s="33"/>
      <c r="FN581" s="33"/>
      <c r="FO581" s="34">
        <f t="shared" ref="FO581:FV581" si="574">IFERROR(R581*1,0)+IFERROR(AE581*1,0)+IFERROR(AR581*1,0)+IFERROR(BE581*1,0)+IFERROR(BR581*1,0)+IFERROR(CE581*1,0)+IFERROR(CR581*1,0)+IFERROR(DE581*1,0)+IFERROR(DR581*1,0)+IFERROR(EE581*1,0)+IFERROR(ER581*1,0)+IFERROR(FE581*1,0)</f>
        <v>0</v>
      </c>
      <c r="FP581" s="34">
        <f t="shared" si="574"/>
        <v>0</v>
      </c>
      <c r="FQ581" s="34">
        <f t="shared" si="574"/>
        <v>0</v>
      </c>
      <c r="FR581" s="34">
        <f t="shared" si="574"/>
        <v>0</v>
      </c>
      <c r="FS581" s="34">
        <f t="shared" si="574"/>
        <v>0</v>
      </c>
      <c r="FT581" s="34">
        <f t="shared" si="574"/>
        <v>0</v>
      </c>
      <c r="FU581" s="34">
        <f t="shared" si="574"/>
        <v>0</v>
      </c>
      <c r="FV581" s="34">
        <f t="shared" si="574"/>
        <v>0</v>
      </c>
      <c r="FW581" s="28"/>
      <c r="FX581" s="29">
        <f t="shared" si="3"/>
        <v>0</v>
      </c>
    </row>
    <row r="582" spans="1:180" ht="18" customHeight="1" x14ac:dyDescent="0.25">
      <c r="A582" s="3" t="str">
        <f>IF(C582&lt;&gt;"","DRG-"&amp;TEXT(577,"000"),"")</f>
        <v/>
      </c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38">
        <v>4</v>
      </c>
      <c r="M582" s="23" t="str">
        <f t="shared" si="0"/>
        <v>✘ Pending</v>
      </c>
      <c r="N582" s="23">
        <f t="shared" si="1"/>
        <v>0</v>
      </c>
      <c r="O582" s="25"/>
      <c r="P582" s="26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  <c r="AB582" s="25"/>
      <c r="AC582" s="26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5"/>
      <c r="AP582" s="26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5"/>
      <c r="BC582" s="26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5"/>
      <c r="BP582" s="26"/>
      <c r="BQ582" s="24"/>
      <c r="BR582" s="24"/>
      <c r="BS582" s="24"/>
      <c r="BT582" s="24"/>
      <c r="BU582" s="24"/>
      <c r="BV582" s="24"/>
      <c r="BW582" s="24"/>
      <c r="BX582" s="24"/>
      <c r="BY582" s="24"/>
      <c r="BZ582" s="24"/>
      <c r="CA582" s="24"/>
      <c r="CB582" s="25"/>
      <c r="CC582" s="26"/>
      <c r="CD582" s="24"/>
      <c r="CE582" s="24"/>
      <c r="CF582" s="24"/>
      <c r="CG582" s="24"/>
      <c r="CH582" s="24"/>
      <c r="CI582" s="24"/>
      <c r="CJ582" s="24"/>
      <c r="CK582" s="24"/>
      <c r="CL582" s="24"/>
      <c r="CM582" s="24"/>
      <c r="CN582" s="24"/>
      <c r="CO582" s="25"/>
      <c r="CP582" s="26"/>
      <c r="CQ582" s="24"/>
      <c r="CR582" s="24"/>
      <c r="CS582" s="24"/>
      <c r="CT582" s="24"/>
      <c r="CU582" s="24"/>
      <c r="CV582" s="24"/>
      <c r="CW582" s="24"/>
      <c r="CX582" s="24"/>
      <c r="CY582" s="24"/>
      <c r="CZ582" s="24"/>
      <c r="DA582" s="24"/>
      <c r="DB582" s="25"/>
      <c r="DC582" s="26"/>
      <c r="DD582" s="24"/>
      <c r="DE582" s="24"/>
      <c r="DF582" s="24"/>
      <c r="DG582" s="24"/>
      <c r="DH582" s="24"/>
      <c r="DI582" s="24"/>
      <c r="DJ582" s="24"/>
      <c r="DK582" s="24"/>
      <c r="DL582" s="24"/>
      <c r="DM582" s="24"/>
      <c r="DN582" s="24"/>
      <c r="DO582" s="25"/>
      <c r="DP582" s="26"/>
      <c r="DQ582" s="24"/>
      <c r="DR582" s="24"/>
      <c r="DS582" s="24"/>
      <c r="DT582" s="24"/>
      <c r="DU582" s="24"/>
      <c r="DV582" s="24"/>
      <c r="DW582" s="24"/>
      <c r="DX582" s="24"/>
      <c r="DY582" s="24"/>
      <c r="DZ582" s="24"/>
      <c r="EA582" s="24"/>
      <c r="EB582" s="25"/>
      <c r="EC582" s="26"/>
      <c r="ED582" s="24"/>
      <c r="EE582" s="24"/>
      <c r="EF582" s="24"/>
      <c r="EG582" s="24"/>
      <c r="EH582" s="24"/>
      <c r="EI582" s="24"/>
      <c r="EJ582" s="24"/>
      <c r="EK582" s="24"/>
      <c r="EL582" s="24"/>
      <c r="EM582" s="24"/>
      <c r="EN582" s="24"/>
      <c r="EO582" s="25"/>
      <c r="EP582" s="26"/>
      <c r="EQ582" s="24"/>
      <c r="ER582" s="24"/>
      <c r="ES582" s="24"/>
      <c r="ET582" s="24"/>
      <c r="EU582" s="24"/>
      <c r="EV582" s="24"/>
      <c r="EW582" s="24"/>
      <c r="EX582" s="24"/>
      <c r="EY582" s="24"/>
      <c r="EZ582" s="24"/>
      <c r="FA582" s="24"/>
      <c r="FB582" s="25"/>
      <c r="FC582" s="26"/>
      <c r="FD582" s="24"/>
      <c r="FE582" s="24"/>
      <c r="FF582" s="24"/>
      <c r="FG582" s="24"/>
      <c r="FH582" s="24"/>
      <c r="FI582" s="24"/>
      <c r="FJ582" s="24"/>
      <c r="FK582" s="24"/>
      <c r="FL582" s="24"/>
      <c r="FM582" s="24"/>
      <c r="FN582" s="24"/>
      <c r="FO582" s="27">
        <f t="shared" ref="FO582:FV582" si="575">IFERROR(R582*1,0)+IFERROR(AE582*1,0)+IFERROR(AR582*1,0)+IFERROR(BE582*1,0)+IFERROR(BR582*1,0)+IFERROR(CE582*1,0)+IFERROR(CR582*1,0)+IFERROR(DE582*1,0)+IFERROR(DR582*1,0)+IFERROR(EE582*1,0)+IFERROR(ER582*1,0)+IFERROR(FE582*1,0)</f>
        <v>0</v>
      </c>
      <c r="FP582" s="27">
        <f t="shared" si="575"/>
        <v>0</v>
      </c>
      <c r="FQ582" s="27">
        <f t="shared" si="575"/>
        <v>0</v>
      </c>
      <c r="FR582" s="27">
        <f t="shared" si="575"/>
        <v>0</v>
      </c>
      <c r="FS582" s="27">
        <f t="shared" si="575"/>
        <v>0</v>
      </c>
      <c r="FT582" s="27">
        <f t="shared" si="575"/>
        <v>0</v>
      </c>
      <c r="FU582" s="27">
        <f t="shared" si="575"/>
        <v>0</v>
      </c>
      <c r="FV582" s="27">
        <f t="shared" si="575"/>
        <v>0</v>
      </c>
      <c r="FW582" s="28"/>
      <c r="FX582" s="29">
        <f t="shared" si="3"/>
        <v>0</v>
      </c>
    </row>
    <row r="583" spans="1:180" ht="18" customHeight="1" x14ac:dyDescent="0.25">
      <c r="A583" s="3" t="str">
        <f>IF(C583&lt;&gt;"","DRG-"&amp;TEXT(578,"000"),"")</f>
        <v/>
      </c>
      <c r="B583" s="33"/>
      <c r="C583" s="33"/>
      <c r="D583" s="33"/>
      <c r="E583" s="33"/>
      <c r="F583" s="33"/>
      <c r="G583" s="33"/>
      <c r="H583" s="33"/>
      <c r="I583" s="33"/>
      <c r="J583" s="33"/>
      <c r="K583" s="33"/>
      <c r="L583" s="37">
        <v>4</v>
      </c>
      <c r="M583" s="30" t="str">
        <f t="shared" si="0"/>
        <v>✘ Pending</v>
      </c>
      <c r="N583" s="30">
        <f t="shared" si="1"/>
        <v>0</v>
      </c>
      <c r="O583" s="31"/>
      <c r="P583" s="32"/>
      <c r="Q583" s="33"/>
      <c r="R583" s="33"/>
      <c r="S583" s="33"/>
      <c r="T583" s="33"/>
      <c r="U583" s="33"/>
      <c r="V583" s="33"/>
      <c r="W583" s="33"/>
      <c r="X583" s="33"/>
      <c r="Y583" s="33"/>
      <c r="Z583" s="33"/>
      <c r="AA583" s="33"/>
      <c r="AB583" s="31"/>
      <c r="AC583" s="32"/>
      <c r="AD583" s="33"/>
      <c r="AE583" s="33"/>
      <c r="AF583" s="33"/>
      <c r="AG583" s="33"/>
      <c r="AH583" s="33"/>
      <c r="AI583" s="33"/>
      <c r="AJ583" s="33"/>
      <c r="AK583" s="33"/>
      <c r="AL583" s="33"/>
      <c r="AM583" s="33"/>
      <c r="AN583" s="33"/>
      <c r="AO583" s="31"/>
      <c r="AP583" s="32"/>
      <c r="AQ583" s="33"/>
      <c r="AR583" s="33"/>
      <c r="AS583" s="33"/>
      <c r="AT583" s="33"/>
      <c r="AU583" s="33"/>
      <c r="AV583" s="33"/>
      <c r="AW583" s="33"/>
      <c r="AX583" s="33"/>
      <c r="AY583" s="33"/>
      <c r="AZ583" s="33"/>
      <c r="BA583" s="33"/>
      <c r="BB583" s="31"/>
      <c r="BC583" s="32"/>
      <c r="BD583" s="33"/>
      <c r="BE583" s="33"/>
      <c r="BF583" s="33"/>
      <c r="BG583" s="33"/>
      <c r="BH583" s="33"/>
      <c r="BI583" s="33"/>
      <c r="BJ583" s="33"/>
      <c r="BK583" s="33"/>
      <c r="BL583" s="33"/>
      <c r="BM583" s="33"/>
      <c r="BN583" s="33"/>
      <c r="BO583" s="31"/>
      <c r="BP583" s="32"/>
      <c r="BQ583" s="33"/>
      <c r="BR583" s="33"/>
      <c r="BS583" s="33"/>
      <c r="BT583" s="33"/>
      <c r="BU583" s="33"/>
      <c r="BV583" s="33"/>
      <c r="BW583" s="33"/>
      <c r="BX583" s="33"/>
      <c r="BY583" s="33"/>
      <c r="BZ583" s="33"/>
      <c r="CA583" s="33"/>
      <c r="CB583" s="31"/>
      <c r="CC583" s="32"/>
      <c r="CD583" s="33"/>
      <c r="CE583" s="33"/>
      <c r="CF583" s="33"/>
      <c r="CG583" s="33"/>
      <c r="CH583" s="33"/>
      <c r="CI583" s="33"/>
      <c r="CJ583" s="33"/>
      <c r="CK583" s="33"/>
      <c r="CL583" s="33"/>
      <c r="CM583" s="33"/>
      <c r="CN583" s="33"/>
      <c r="CO583" s="31"/>
      <c r="CP583" s="32"/>
      <c r="CQ583" s="33"/>
      <c r="CR583" s="33"/>
      <c r="CS583" s="33"/>
      <c r="CT583" s="33"/>
      <c r="CU583" s="33"/>
      <c r="CV583" s="33"/>
      <c r="CW583" s="33"/>
      <c r="CX583" s="33"/>
      <c r="CY583" s="33"/>
      <c r="CZ583" s="33"/>
      <c r="DA583" s="33"/>
      <c r="DB583" s="31"/>
      <c r="DC583" s="32"/>
      <c r="DD583" s="33"/>
      <c r="DE583" s="33"/>
      <c r="DF583" s="33"/>
      <c r="DG583" s="33"/>
      <c r="DH583" s="33"/>
      <c r="DI583" s="33"/>
      <c r="DJ583" s="33"/>
      <c r="DK583" s="33"/>
      <c r="DL583" s="33"/>
      <c r="DM583" s="33"/>
      <c r="DN583" s="33"/>
      <c r="DO583" s="31"/>
      <c r="DP583" s="32"/>
      <c r="DQ583" s="33"/>
      <c r="DR583" s="33"/>
      <c r="DS583" s="33"/>
      <c r="DT583" s="33"/>
      <c r="DU583" s="33"/>
      <c r="DV583" s="33"/>
      <c r="DW583" s="33"/>
      <c r="DX583" s="33"/>
      <c r="DY583" s="33"/>
      <c r="DZ583" s="33"/>
      <c r="EA583" s="33"/>
      <c r="EB583" s="31"/>
      <c r="EC583" s="32"/>
      <c r="ED583" s="33"/>
      <c r="EE583" s="33"/>
      <c r="EF583" s="33"/>
      <c r="EG583" s="33"/>
      <c r="EH583" s="33"/>
      <c r="EI583" s="33"/>
      <c r="EJ583" s="33"/>
      <c r="EK583" s="33"/>
      <c r="EL583" s="33"/>
      <c r="EM583" s="33"/>
      <c r="EN583" s="33"/>
      <c r="EO583" s="31"/>
      <c r="EP583" s="32"/>
      <c r="EQ583" s="33"/>
      <c r="ER583" s="33"/>
      <c r="ES583" s="33"/>
      <c r="ET583" s="33"/>
      <c r="EU583" s="33"/>
      <c r="EV583" s="33"/>
      <c r="EW583" s="33"/>
      <c r="EX583" s="33"/>
      <c r="EY583" s="33"/>
      <c r="EZ583" s="33"/>
      <c r="FA583" s="33"/>
      <c r="FB583" s="31"/>
      <c r="FC583" s="32"/>
      <c r="FD583" s="33"/>
      <c r="FE583" s="33"/>
      <c r="FF583" s="33"/>
      <c r="FG583" s="33"/>
      <c r="FH583" s="33"/>
      <c r="FI583" s="33"/>
      <c r="FJ583" s="33"/>
      <c r="FK583" s="33"/>
      <c r="FL583" s="33"/>
      <c r="FM583" s="33"/>
      <c r="FN583" s="33"/>
      <c r="FO583" s="34">
        <f t="shared" ref="FO583:FV583" si="576">IFERROR(R583*1,0)+IFERROR(AE583*1,0)+IFERROR(AR583*1,0)+IFERROR(BE583*1,0)+IFERROR(BR583*1,0)+IFERROR(CE583*1,0)+IFERROR(CR583*1,0)+IFERROR(DE583*1,0)+IFERROR(DR583*1,0)+IFERROR(EE583*1,0)+IFERROR(ER583*1,0)+IFERROR(FE583*1,0)</f>
        <v>0</v>
      </c>
      <c r="FP583" s="34">
        <f t="shared" si="576"/>
        <v>0</v>
      </c>
      <c r="FQ583" s="34">
        <f t="shared" si="576"/>
        <v>0</v>
      </c>
      <c r="FR583" s="34">
        <f t="shared" si="576"/>
        <v>0</v>
      </c>
      <c r="FS583" s="34">
        <f t="shared" si="576"/>
        <v>0</v>
      </c>
      <c r="FT583" s="34">
        <f t="shared" si="576"/>
        <v>0</v>
      </c>
      <c r="FU583" s="34">
        <f t="shared" si="576"/>
        <v>0</v>
      </c>
      <c r="FV583" s="34">
        <f t="shared" si="576"/>
        <v>0</v>
      </c>
      <c r="FW583" s="28"/>
      <c r="FX583" s="29">
        <f t="shared" si="3"/>
        <v>0</v>
      </c>
    </row>
    <row r="584" spans="1:180" ht="18" customHeight="1" x14ac:dyDescent="0.25">
      <c r="A584" s="3" t="str">
        <f>IF(C584&lt;&gt;"","DRG-"&amp;TEXT(579,"000"),"")</f>
        <v/>
      </c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38">
        <v>4</v>
      </c>
      <c r="M584" s="23" t="str">
        <f t="shared" si="0"/>
        <v>✘ Pending</v>
      </c>
      <c r="N584" s="23">
        <f t="shared" si="1"/>
        <v>0</v>
      </c>
      <c r="O584" s="25"/>
      <c r="P584" s="26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  <c r="AB584" s="25"/>
      <c r="AC584" s="26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5"/>
      <c r="AP584" s="26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5"/>
      <c r="BC584" s="26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5"/>
      <c r="BP584" s="26"/>
      <c r="BQ584" s="24"/>
      <c r="BR584" s="24"/>
      <c r="BS584" s="24"/>
      <c r="BT584" s="24"/>
      <c r="BU584" s="24"/>
      <c r="BV584" s="24"/>
      <c r="BW584" s="24"/>
      <c r="BX584" s="24"/>
      <c r="BY584" s="24"/>
      <c r="BZ584" s="24"/>
      <c r="CA584" s="24"/>
      <c r="CB584" s="25"/>
      <c r="CC584" s="26"/>
      <c r="CD584" s="24"/>
      <c r="CE584" s="24"/>
      <c r="CF584" s="24"/>
      <c r="CG584" s="24"/>
      <c r="CH584" s="24"/>
      <c r="CI584" s="24"/>
      <c r="CJ584" s="24"/>
      <c r="CK584" s="24"/>
      <c r="CL584" s="24"/>
      <c r="CM584" s="24"/>
      <c r="CN584" s="24"/>
      <c r="CO584" s="25"/>
      <c r="CP584" s="26"/>
      <c r="CQ584" s="24"/>
      <c r="CR584" s="24"/>
      <c r="CS584" s="24"/>
      <c r="CT584" s="24"/>
      <c r="CU584" s="24"/>
      <c r="CV584" s="24"/>
      <c r="CW584" s="24"/>
      <c r="CX584" s="24"/>
      <c r="CY584" s="24"/>
      <c r="CZ584" s="24"/>
      <c r="DA584" s="24"/>
      <c r="DB584" s="25"/>
      <c r="DC584" s="26"/>
      <c r="DD584" s="24"/>
      <c r="DE584" s="24"/>
      <c r="DF584" s="24"/>
      <c r="DG584" s="24"/>
      <c r="DH584" s="24"/>
      <c r="DI584" s="24"/>
      <c r="DJ584" s="24"/>
      <c r="DK584" s="24"/>
      <c r="DL584" s="24"/>
      <c r="DM584" s="24"/>
      <c r="DN584" s="24"/>
      <c r="DO584" s="25"/>
      <c r="DP584" s="26"/>
      <c r="DQ584" s="24"/>
      <c r="DR584" s="24"/>
      <c r="DS584" s="24"/>
      <c r="DT584" s="24"/>
      <c r="DU584" s="24"/>
      <c r="DV584" s="24"/>
      <c r="DW584" s="24"/>
      <c r="DX584" s="24"/>
      <c r="DY584" s="24"/>
      <c r="DZ584" s="24"/>
      <c r="EA584" s="24"/>
      <c r="EB584" s="25"/>
      <c r="EC584" s="26"/>
      <c r="ED584" s="24"/>
      <c r="EE584" s="24"/>
      <c r="EF584" s="24"/>
      <c r="EG584" s="24"/>
      <c r="EH584" s="24"/>
      <c r="EI584" s="24"/>
      <c r="EJ584" s="24"/>
      <c r="EK584" s="24"/>
      <c r="EL584" s="24"/>
      <c r="EM584" s="24"/>
      <c r="EN584" s="24"/>
      <c r="EO584" s="25"/>
      <c r="EP584" s="26"/>
      <c r="EQ584" s="24"/>
      <c r="ER584" s="24"/>
      <c r="ES584" s="24"/>
      <c r="ET584" s="24"/>
      <c r="EU584" s="24"/>
      <c r="EV584" s="24"/>
      <c r="EW584" s="24"/>
      <c r="EX584" s="24"/>
      <c r="EY584" s="24"/>
      <c r="EZ584" s="24"/>
      <c r="FA584" s="24"/>
      <c r="FB584" s="25"/>
      <c r="FC584" s="26"/>
      <c r="FD584" s="24"/>
      <c r="FE584" s="24"/>
      <c r="FF584" s="24"/>
      <c r="FG584" s="24"/>
      <c r="FH584" s="24"/>
      <c r="FI584" s="24"/>
      <c r="FJ584" s="24"/>
      <c r="FK584" s="24"/>
      <c r="FL584" s="24"/>
      <c r="FM584" s="24"/>
      <c r="FN584" s="24"/>
      <c r="FO584" s="27">
        <f t="shared" ref="FO584:FV584" si="577">IFERROR(R584*1,0)+IFERROR(AE584*1,0)+IFERROR(AR584*1,0)+IFERROR(BE584*1,0)+IFERROR(BR584*1,0)+IFERROR(CE584*1,0)+IFERROR(CR584*1,0)+IFERROR(DE584*1,0)+IFERROR(DR584*1,0)+IFERROR(EE584*1,0)+IFERROR(ER584*1,0)+IFERROR(FE584*1,0)</f>
        <v>0</v>
      </c>
      <c r="FP584" s="27">
        <f t="shared" si="577"/>
        <v>0</v>
      </c>
      <c r="FQ584" s="27">
        <f t="shared" si="577"/>
        <v>0</v>
      </c>
      <c r="FR584" s="27">
        <f t="shared" si="577"/>
        <v>0</v>
      </c>
      <c r="FS584" s="27">
        <f t="shared" si="577"/>
        <v>0</v>
      </c>
      <c r="FT584" s="27">
        <f t="shared" si="577"/>
        <v>0</v>
      </c>
      <c r="FU584" s="27">
        <f t="shared" si="577"/>
        <v>0</v>
      </c>
      <c r="FV584" s="27">
        <f t="shared" si="577"/>
        <v>0</v>
      </c>
      <c r="FW584" s="28"/>
      <c r="FX584" s="29">
        <f t="shared" si="3"/>
        <v>0</v>
      </c>
    </row>
    <row r="585" spans="1:180" ht="18" customHeight="1" x14ac:dyDescent="0.25">
      <c r="A585" s="3" t="str">
        <f>IF(C585&lt;&gt;"","DRG-"&amp;TEXT(580,"000"),"")</f>
        <v/>
      </c>
      <c r="B585" s="33"/>
      <c r="C585" s="33"/>
      <c r="D585" s="33"/>
      <c r="E585" s="33"/>
      <c r="F585" s="33"/>
      <c r="G585" s="33"/>
      <c r="H585" s="33"/>
      <c r="I585" s="33"/>
      <c r="J585" s="33"/>
      <c r="K585" s="33"/>
      <c r="L585" s="37">
        <v>4</v>
      </c>
      <c r="M585" s="30" t="str">
        <f t="shared" si="0"/>
        <v>✘ Pending</v>
      </c>
      <c r="N585" s="30">
        <f t="shared" si="1"/>
        <v>0</v>
      </c>
      <c r="O585" s="31"/>
      <c r="P585" s="32"/>
      <c r="Q585" s="33"/>
      <c r="R585" s="33"/>
      <c r="S585" s="33"/>
      <c r="T585" s="33"/>
      <c r="U585" s="33"/>
      <c r="V585" s="33"/>
      <c r="W585" s="33"/>
      <c r="X585" s="33"/>
      <c r="Y585" s="33"/>
      <c r="Z585" s="33"/>
      <c r="AA585" s="33"/>
      <c r="AB585" s="31"/>
      <c r="AC585" s="32"/>
      <c r="AD585" s="33"/>
      <c r="AE585" s="33"/>
      <c r="AF585" s="33"/>
      <c r="AG585" s="33"/>
      <c r="AH585" s="33"/>
      <c r="AI585" s="33"/>
      <c r="AJ585" s="33"/>
      <c r="AK585" s="33"/>
      <c r="AL585" s="33"/>
      <c r="AM585" s="33"/>
      <c r="AN585" s="33"/>
      <c r="AO585" s="31"/>
      <c r="AP585" s="32"/>
      <c r="AQ585" s="33"/>
      <c r="AR585" s="33"/>
      <c r="AS585" s="33"/>
      <c r="AT585" s="33"/>
      <c r="AU585" s="33"/>
      <c r="AV585" s="33"/>
      <c r="AW585" s="33"/>
      <c r="AX585" s="33"/>
      <c r="AY585" s="33"/>
      <c r="AZ585" s="33"/>
      <c r="BA585" s="33"/>
      <c r="BB585" s="31"/>
      <c r="BC585" s="32"/>
      <c r="BD585" s="33"/>
      <c r="BE585" s="33"/>
      <c r="BF585" s="33"/>
      <c r="BG585" s="33"/>
      <c r="BH585" s="33"/>
      <c r="BI585" s="33"/>
      <c r="BJ585" s="33"/>
      <c r="BK585" s="33"/>
      <c r="BL585" s="33"/>
      <c r="BM585" s="33"/>
      <c r="BN585" s="33"/>
      <c r="BO585" s="31"/>
      <c r="BP585" s="32"/>
      <c r="BQ585" s="33"/>
      <c r="BR585" s="33"/>
      <c r="BS585" s="33"/>
      <c r="BT585" s="33"/>
      <c r="BU585" s="33"/>
      <c r="BV585" s="33"/>
      <c r="BW585" s="33"/>
      <c r="BX585" s="33"/>
      <c r="BY585" s="33"/>
      <c r="BZ585" s="33"/>
      <c r="CA585" s="33"/>
      <c r="CB585" s="31"/>
      <c r="CC585" s="32"/>
      <c r="CD585" s="33"/>
      <c r="CE585" s="33"/>
      <c r="CF585" s="33"/>
      <c r="CG585" s="33"/>
      <c r="CH585" s="33"/>
      <c r="CI585" s="33"/>
      <c r="CJ585" s="33"/>
      <c r="CK585" s="33"/>
      <c r="CL585" s="33"/>
      <c r="CM585" s="33"/>
      <c r="CN585" s="33"/>
      <c r="CO585" s="31"/>
      <c r="CP585" s="32"/>
      <c r="CQ585" s="33"/>
      <c r="CR585" s="33"/>
      <c r="CS585" s="33"/>
      <c r="CT585" s="33"/>
      <c r="CU585" s="33"/>
      <c r="CV585" s="33"/>
      <c r="CW585" s="33"/>
      <c r="CX585" s="33"/>
      <c r="CY585" s="33"/>
      <c r="CZ585" s="33"/>
      <c r="DA585" s="33"/>
      <c r="DB585" s="31"/>
      <c r="DC585" s="32"/>
      <c r="DD585" s="33"/>
      <c r="DE585" s="33"/>
      <c r="DF585" s="33"/>
      <c r="DG585" s="33"/>
      <c r="DH585" s="33"/>
      <c r="DI585" s="33"/>
      <c r="DJ585" s="33"/>
      <c r="DK585" s="33"/>
      <c r="DL585" s="33"/>
      <c r="DM585" s="33"/>
      <c r="DN585" s="33"/>
      <c r="DO585" s="31"/>
      <c r="DP585" s="32"/>
      <c r="DQ585" s="33"/>
      <c r="DR585" s="33"/>
      <c r="DS585" s="33"/>
      <c r="DT585" s="33"/>
      <c r="DU585" s="33"/>
      <c r="DV585" s="33"/>
      <c r="DW585" s="33"/>
      <c r="DX585" s="33"/>
      <c r="DY585" s="33"/>
      <c r="DZ585" s="33"/>
      <c r="EA585" s="33"/>
      <c r="EB585" s="31"/>
      <c r="EC585" s="32"/>
      <c r="ED585" s="33"/>
      <c r="EE585" s="33"/>
      <c r="EF585" s="33"/>
      <c r="EG585" s="33"/>
      <c r="EH585" s="33"/>
      <c r="EI585" s="33"/>
      <c r="EJ585" s="33"/>
      <c r="EK585" s="33"/>
      <c r="EL585" s="33"/>
      <c r="EM585" s="33"/>
      <c r="EN585" s="33"/>
      <c r="EO585" s="31"/>
      <c r="EP585" s="32"/>
      <c r="EQ585" s="33"/>
      <c r="ER585" s="33"/>
      <c r="ES585" s="33"/>
      <c r="ET585" s="33"/>
      <c r="EU585" s="33"/>
      <c r="EV585" s="33"/>
      <c r="EW585" s="33"/>
      <c r="EX585" s="33"/>
      <c r="EY585" s="33"/>
      <c r="EZ585" s="33"/>
      <c r="FA585" s="33"/>
      <c r="FB585" s="31"/>
      <c r="FC585" s="32"/>
      <c r="FD585" s="33"/>
      <c r="FE585" s="33"/>
      <c r="FF585" s="33"/>
      <c r="FG585" s="33"/>
      <c r="FH585" s="33"/>
      <c r="FI585" s="33"/>
      <c r="FJ585" s="33"/>
      <c r="FK585" s="33"/>
      <c r="FL585" s="33"/>
      <c r="FM585" s="33"/>
      <c r="FN585" s="33"/>
      <c r="FO585" s="34">
        <f t="shared" ref="FO585:FV585" si="578">IFERROR(R585*1,0)+IFERROR(AE585*1,0)+IFERROR(AR585*1,0)+IFERROR(BE585*1,0)+IFERROR(BR585*1,0)+IFERROR(CE585*1,0)+IFERROR(CR585*1,0)+IFERROR(DE585*1,0)+IFERROR(DR585*1,0)+IFERROR(EE585*1,0)+IFERROR(ER585*1,0)+IFERROR(FE585*1,0)</f>
        <v>0</v>
      </c>
      <c r="FP585" s="34">
        <f t="shared" si="578"/>
        <v>0</v>
      </c>
      <c r="FQ585" s="34">
        <f t="shared" si="578"/>
        <v>0</v>
      </c>
      <c r="FR585" s="34">
        <f t="shared" si="578"/>
        <v>0</v>
      </c>
      <c r="FS585" s="34">
        <f t="shared" si="578"/>
        <v>0</v>
      </c>
      <c r="FT585" s="34">
        <f t="shared" si="578"/>
        <v>0</v>
      </c>
      <c r="FU585" s="34">
        <f t="shared" si="578"/>
        <v>0</v>
      </c>
      <c r="FV585" s="34">
        <f t="shared" si="578"/>
        <v>0</v>
      </c>
      <c r="FW585" s="28"/>
      <c r="FX585" s="29">
        <f t="shared" si="3"/>
        <v>0</v>
      </c>
    </row>
    <row r="586" spans="1:180" ht="18" customHeight="1" x14ac:dyDescent="0.25">
      <c r="A586" s="3" t="str">
        <f>IF(C586&lt;&gt;"","DRG-"&amp;TEXT(581,"000"),"")</f>
        <v/>
      </c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38">
        <v>4</v>
      </c>
      <c r="M586" s="23" t="str">
        <f t="shared" si="0"/>
        <v>✘ Pending</v>
      </c>
      <c r="N586" s="23">
        <f t="shared" si="1"/>
        <v>0</v>
      </c>
      <c r="O586" s="25"/>
      <c r="P586" s="26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  <c r="AB586" s="25"/>
      <c r="AC586" s="26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5"/>
      <c r="AP586" s="26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5"/>
      <c r="BC586" s="26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5"/>
      <c r="BP586" s="26"/>
      <c r="BQ586" s="24"/>
      <c r="BR586" s="24"/>
      <c r="BS586" s="24"/>
      <c r="BT586" s="24"/>
      <c r="BU586" s="24"/>
      <c r="BV586" s="24"/>
      <c r="BW586" s="24"/>
      <c r="BX586" s="24"/>
      <c r="BY586" s="24"/>
      <c r="BZ586" s="24"/>
      <c r="CA586" s="24"/>
      <c r="CB586" s="25"/>
      <c r="CC586" s="26"/>
      <c r="CD586" s="24"/>
      <c r="CE586" s="24"/>
      <c r="CF586" s="24"/>
      <c r="CG586" s="24"/>
      <c r="CH586" s="24"/>
      <c r="CI586" s="24"/>
      <c r="CJ586" s="24"/>
      <c r="CK586" s="24"/>
      <c r="CL586" s="24"/>
      <c r="CM586" s="24"/>
      <c r="CN586" s="24"/>
      <c r="CO586" s="25"/>
      <c r="CP586" s="26"/>
      <c r="CQ586" s="24"/>
      <c r="CR586" s="24"/>
      <c r="CS586" s="24"/>
      <c r="CT586" s="24"/>
      <c r="CU586" s="24"/>
      <c r="CV586" s="24"/>
      <c r="CW586" s="24"/>
      <c r="CX586" s="24"/>
      <c r="CY586" s="24"/>
      <c r="CZ586" s="24"/>
      <c r="DA586" s="24"/>
      <c r="DB586" s="25"/>
      <c r="DC586" s="26"/>
      <c r="DD586" s="24"/>
      <c r="DE586" s="24"/>
      <c r="DF586" s="24"/>
      <c r="DG586" s="24"/>
      <c r="DH586" s="24"/>
      <c r="DI586" s="24"/>
      <c r="DJ586" s="24"/>
      <c r="DK586" s="24"/>
      <c r="DL586" s="24"/>
      <c r="DM586" s="24"/>
      <c r="DN586" s="24"/>
      <c r="DO586" s="25"/>
      <c r="DP586" s="26"/>
      <c r="DQ586" s="24"/>
      <c r="DR586" s="24"/>
      <c r="DS586" s="24"/>
      <c r="DT586" s="24"/>
      <c r="DU586" s="24"/>
      <c r="DV586" s="24"/>
      <c r="DW586" s="24"/>
      <c r="DX586" s="24"/>
      <c r="DY586" s="24"/>
      <c r="DZ586" s="24"/>
      <c r="EA586" s="24"/>
      <c r="EB586" s="25"/>
      <c r="EC586" s="26"/>
      <c r="ED586" s="24"/>
      <c r="EE586" s="24"/>
      <c r="EF586" s="24"/>
      <c r="EG586" s="24"/>
      <c r="EH586" s="24"/>
      <c r="EI586" s="24"/>
      <c r="EJ586" s="24"/>
      <c r="EK586" s="24"/>
      <c r="EL586" s="24"/>
      <c r="EM586" s="24"/>
      <c r="EN586" s="24"/>
      <c r="EO586" s="25"/>
      <c r="EP586" s="26"/>
      <c r="EQ586" s="24"/>
      <c r="ER586" s="24"/>
      <c r="ES586" s="24"/>
      <c r="ET586" s="24"/>
      <c r="EU586" s="24"/>
      <c r="EV586" s="24"/>
      <c r="EW586" s="24"/>
      <c r="EX586" s="24"/>
      <c r="EY586" s="24"/>
      <c r="EZ586" s="24"/>
      <c r="FA586" s="24"/>
      <c r="FB586" s="25"/>
      <c r="FC586" s="26"/>
      <c r="FD586" s="24"/>
      <c r="FE586" s="24"/>
      <c r="FF586" s="24"/>
      <c r="FG586" s="24"/>
      <c r="FH586" s="24"/>
      <c r="FI586" s="24"/>
      <c r="FJ586" s="24"/>
      <c r="FK586" s="24"/>
      <c r="FL586" s="24"/>
      <c r="FM586" s="24"/>
      <c r="FN586" s="24"/>
      <c r="FO586" s="27">
        <f t="shared" ref="FO586:FV586" si="579">IFERROR(R586*1,0)+IFERROR(AE586*1,0)+IFERROR(AR586*1,0)+IFERROR(BE586*1,0)+IFERROR(BR586*1,0)+IFERROR(CE586*1,0)+IFERROR(CR586*1,0)+IFERROR(DE586*1,0)+IFERROR(DR586*1,0)+IFERROR(EE586*1,0)+IFERROR(ER586*1,0)+IFERROR(FE586*1,0)</f>
        <v>0</v>
      </c>
      <c r="FP586" s="27">
        <f t="shared" si="579"/>
        <v>0</v>
      </c>
      <c r="FQ586" s="27">
        <f t="shared" si="579"/>
        <v>0</v>
      </c>
      <c r="FR586" s="27">
        <f t="shared" si="579"/>
        <v>0</v>
      </c>
      <c r="FS586" s="27">
        <f t="shared" si="579"/>
        <v>0</v>
      </c>
      <c r="FT586" s="27">
        <f t="shared" si="579"/>
        <v>0</v>
      </c>
      <c r="FU586" s="27">
        <f t="shared" si="579"/>
        <v>0</v>
      </c>
      <c r="FV586" s="27">
        <f t="shared" si="579"/>
        <v>0</v>
      </c>
      <c r="FW586" s="28"/>
      <c r="FX586" s="29">
        <f t="shared" si="3"/>
        <v>0</v>
      </c>
    </row>
    <row r="587" spans="1:180" ht="18" customHeight="1" x14ac:dyDescent="0.25">
      <c r="A587" s="3" t="str">
        <f>IF(C587&lt;&gt;"","DRG-"&amp;TEXT(582,"000"),"")</f>
        <v/>
      </c>
      <c r="B587" s="33"/>
      <c r="C587" s="33"/>
      <c r="D587" s="33"/>
      <c r="E587" s="33"/>
      <c r="F587" s="33"/>
      <c r="G587" s="33"/>
      <c r="H587" s="33"/>
      <c r="I587" s="33"/>
      <c r="J587" s="33"/>
      <c r="K587" s="33"/>
      <c r="L587" s="37">
        <v>4</v>
      </c>
      <c r="M587" s="30" t="str">
        <f t="shared" si="0"/>
        <v>✘ Pending</v>
      </c>
      <c r="N587" s="30">
        <f t="shared" si="1"/>
        <v>0</v>
      </c>
      <c r="O587" s="31"/>
      <c r="P587" s="32"/>
      <c r="Q587" s="33"/>
      <c r="R587" s="33"/>
      <c r="S587" s="33"/>
      <c r="T587" s="33"/>
      <c r="U587" s="33"/>
      <c r="V587" s="33"/>
      <c r="W587" s="33"/>
      <c r="X587" s="33"/>
      <c r="Y587" s="33"/>
      <c r="Z587" s="33"/>
      <c r="AA587" s="33"/>
      <c r="AB587" s="31"/>
      <c r="AC587" s="32"/>
      <c r="AD587" s="33"/>
      <c r="AE587" s="33"/>
      <c r="AF587" s="33"/>
      <c r="AG587" s="33"/>
      <c r="AH587" s="33"/>
      <c r="AI587" s="33"/>
      <c r="AJ587" s="33"/>
      <c r="AK587" s="33"/>
      <c r="AL587" s="33"/>
      <c r="AM587" s="33"/>
      <c r="AN587" s="33"/>
      <c r="AO587" s="31"/>
      <c r="AP587" s="32"/>
      <c r="AQ587" s="33"/>
      <c r="AR587" s="33"/>
      <c r="AS587" s="33"/>
      <c r="AT587" s="33"/>
      <c r="AU587" s="33"/>
      <c r="AV587" s="33"/>
      <c r="AW587" s="33"/>
      <c r="AX587" s="33"/>
      <c r="AY587" s="33"/>
      <c r="AZ587" s="33"/>
      <c r="BA587" s="33"/>
      <c r="BB587" s="31"/>
      <c r="BC587" s="32"/>
      <c r="BD587" s="33"/>
      <c r="BE587" s="33"/>
      <c r="BF587" s="33"/>
      <c r="BG587" s="33"/>
      <c r="BH587" s="33"/>
      <c r="BI587" s="33"/>
      <c r="BJ587" s="33"/>
      <c r="BK587" s="33"/>
      <c r="BL587" s="33"/>
      <c r="BM587" s="33"/>
      <c r="BN587" s="33"/>
      <c r="BO587" s="31"/>
      <c r="BP587" s="32"/>
      <c r="BQ587" s="33"/>
      <c r="BR587" s="33"/>
      <c r="BS587" s="33"/>
      <c r="BT587" s="33"/>
      <c r="BU587" s="33"/>
      <c r="BV587" s="33"/>
      <c r="BW587" s="33"/>
      <c r="BX587" s="33"/>
      <c r="BY587" s="33"/>
      <c r="BZ587" s="33"/>
      <c r="CA587" s="33"/>
      <c r="CB587" s="31"/>
      <c r="CC587" s="32"/>
      <c r="CD587" s="33"/>
      <c r="CE587" s="33"/>
      <c r="CF587" s="33"/>
      <c r="CG587" s="33"/>
      <c r="CH587" s="33"/>
      <c r="CI587" s="33"/>
      <c r="CJ587" s="33"/>
      <c r="CK587" s="33"/>
      <c r="CL587" s="33"/>
      <c r="CM587" s="33"/>
      <c r="CN587" s="33"/>
      <c r="CO587" s="31"/>
      <c r="CP587" s="32"/>
      <c r="CQ587" s="33"/>
      <c r="CR587" s="33"/>
      <c r="CS587" s="33"/>
      <c r="CT587" s="33"/>
      <c r="CU587" s="33"/>
      <c r="CV587" s="33"/>
      <c r="CW587" s="33"/>
      <c r="CX587" s="33"/>
      <c r="CY587" s="33"/>
      <c r="CZ587" s="33"/>
      <c r="DA587" s="33"/>
      <c r="DB587" s="31"/>
      <c r="DC587" s="32"/>
      <c r="DD587" s="33"/>
      <c r="DE587" s="33"/>
      <c r="DF587" s="33"/>
      <c r="DG587" s="33"/>
      <c r="DH587" s="33"/>
      <c r="DI587" s="33"/>
      <c r="DJ587" s="33"/>
      <c r="DK587" s="33"/>
      <c r="DL587" s="33"/>
      <c r="DM587" s="33"/>
      <c r="DN587" s="33"/>
      <c r="DO587" s="31"/>
      <c r="DP587" s="32"/>
      <c r="DQ587" s="33"/>
      <c r="DR587" s="33"/>
      <c r="DS587" s="33"/>
      <c r="DT587" s="33"/>
      <c r="DU587" s="33"/>
      <c r="DV587" s="33"/>
      <c r="DW587" s="33"/>
      <c r="DX587" s="33"/>
      <c r="DY587" s="33"/>
      <c r="DZ587" s="33"/>
      <c r="EA587" s="33"/>
      <c r="EB587" s="31"/>
      <c r="EC587" s="32"/>
      <c r="ED587" s="33"/>
      <c r="EE587" s="33"/>
      <c r="EF587" s="33"/>
      <c r="EG587" s="33"/>
      <c r="EH587" s="33"/>
      <c r="EI587" s="33"/>
      <c r="EJ587" s="33"/>
      <c r="EK587" s="33"/>
      <c r="EL587" s="33"/>
      <c r="EM587" s="33"/>
      <c r="EN587" s="33"/>
      <c r="EO587" s="31"/>
      <c r="EP587" s="32"/>
      <c r="EQ587" s="33"/>
      <c r="ER587" s="33"/>
      <c r="ES587" s="33"/>
      <c r="ET587" s="33"/>
      <c r="EU587" s="33"/>
      <c r="EV587" s="33"/>
      <c r="EW587" s="33"/>
      <c r="EX587" s="33"/>
      <c r="EY587" s="33"/>
      <c r="EZ587" s="33"/>
      <c r="FA587" s="33"/>
      <c r="FB587" s="31"/>
      <c r="FC587" s="32"/>
      <c r="FD587" s="33"/>
      <c r="FE587" s="33"/>
      <c r="FF587" s="33"/>
      <c r="FG587" s="33"/>
      <c r="FH587" s="33"/>
      <c r="FI587" s="33"/>
      <c r="FJ587" s="33"/>
      <c r="FK587" s="33"/>
      <c r="FL587" s="33"/>
      <c r="FM587" s="33"/>
      <c r="FN587" s="33"/>
      <c r="FO587" s="34">
        <f t="shared" ref="FO587:FV587" si="580">IFERROR(R587*1,0)+IFERROR(AE587*1,0)+IFERROR(AR587*1,0)+IFERROR(BE587*1,0)+IFERROR(BR587*1,0)+IFERROR(CE587*1,0)+IFERROR(CR587*1,0)+IFERROR(DE587*1,0)+IFERROR(DR587*1,0)+IFERROR(EE587*1,0)+IFERROR(ER587*1,0)+IFERROR(FE587*1,0)</f>
        <v>0</v>
      </c>
      <c r="FP587" s="34">
        <f t="shared" si="580"/>
        <v>0</v>
      </c>
      <c r="FQ587" s="34">
        <f t="shared" si="580"/>
        <v>0</v>
      </c>
      <c r="FR587" s="34">
        <f t="shared" si="580"/>
        <v>0</v>
      </c>
      <c r="FS587" s="34">
        <f t="shared" si="580"/>
        <v>0</v>
      </c>
      <c r="FT587" s="34">
        <f t="shared" si="580"/>
        <v>0</v>
      </c>
      <c r="FU587" s="34">
        <f t="shared" si="580"/>
        <v>0</v>
      </c>
      <c r="FV587" s="34">
        <f t="shared" si="580"/>
        <v>0</v>
      </c>
      <c r="FW587" s="28"/>
      <c r="FX587" s="29">
        <f t="shared" si="3"/>
        <v>0</v>
      </c>
    </row>
    <row r="588" spans="1:180" ht="18" customHeight="1" x14ac:dyDescent="0.25">
      <c r="A588" s="3" t="str">
        <f>IF(C588&lt;&gt;"","DRG-"&amp;TEXT(583,"000"),"")</f>
        <v/>
      </c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38">
        <v>4</v>
      </c>
      <c r="M588" s="23" t="str">
        <f t="shared" si="0"/>
        <v>✘ Pending</v>
      </c>
      <c r="N588" s="23">
        <f t="shared" si="1"/>
        <v>0</v>
      </c>
      <c r="O588" s="25"/>
      <c r="P588" s="26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  <c r="AB588" s="25"/>
      <c r="AC588" s="26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5"/>
      <c r="AP588" s="26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5"/>
      <c r="BC588" s="26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5"/>
      <c r="BP588" s="26"/>
      <c r="BQ588" s="24"/>
      <c r="BR588" s="24"/>
      <c r="BS588" s="24"/>
      <c r="BT588" s="24"/>
      <c r="BU588" s="24"/>
      <c r="BV588" s="24"/>
      <c r="BW588" s="24"/>
      <c r="BX588" s="24"/>
      <c r="BY588" s="24"/>
      <c r="BZ588" s="24"/>
      <c r="CA588" s="24"/>
      <c r="CB588" s="25"/>
      <c r="CC588" s="26"/>
      <c r="CD588" s="24"/>
      <c r="CE588" s="24"/>
      <c r="CF588" s="24"/>
      <c r="CG588" s="24"/>
      <c r="CH588" s="24"/>
      <c r="CI588" s="24"/>
      <c r="CJ588" s="24"/>
      <c r="CK588" s="24"/>
      <c r="CL588" s="24"/>
      <c r="CM588" s="24"/>
      <c r="CN588" s="24"/>
      <c r="CO588" s="25"/>
      <c r="CP588" s="26"/>
      <c r="CQ588" s="24"/>
      <c r="CR588" s="24"/>
      <c r="CS588" s="24"/>
      <c r="CT588" s="24"/>
      <c r="CU588" s="24"/>
      <c r="CV588" s="24"/>
      <c r="CW588" s="24"/>
      <c r="CX588" s="24"/>
      <c r="CY588" s="24"/>
      <c r="CZ588" s="24"/>
      <c r="DA588" s="24"/>
      <c r="DB588" s="25"/>
      <c r="DC588" s="26"/>
      <c r="DD588" s="24"/>
      <c r="DE588" s="24"/>
      <c r="DF588" s="24"/>
      <c r="DG588" s="24"/>
      <c r="DH588" s="24"/>
      <c r="DI588" s="24"/>
      <c r="DJ588" s="24"/>
      <c r="DK588" s="24"/>
      <c r="DL588" s="24"/>
      <c r="DM588" s="24"/>
      <c r="DN588" s="24"/>
      <c r="DO588" s="25"/>
      <c r="DP588" s="26"/>
      <c r="DQ588" s="24"/>
      <c r="DR588" s="24"/>
      <c r="DS588" s="24"/>
      <c r="DT588" s="24"/>
      <c r="DU588" s="24"/>
      <c r="DV588" s="24"/>
      <c r="DW588" s="24"/>
      <c r="DX588" s="24"/>
      <c r="DY588" s="24"/>
      <c r="DZ588" s="24"/>
      <c r="EA588" s="24"/>
      <c r="EB588" s="25"/>
      <c r="EC588" s="26"/>
      <c r="ED588" s="24"/>
      <c r="EE588" s="24"/>
      <c r="EF588" s="24"/>
      <c r="EG588" s="24"/>
      <c r="EH588" s="24"/>
      <c r="EI588" s="24"/>
      <c r="EJ588" s="24"/>
      <c r="EK588" s="24"/>
      <c r="EL588" s="24"/>
      <c r="EM588" s="24"/>
      <c r="EN588" s="24"/>
      <c r="EO588" s="25"/>
      <c r="EP588" s="26"/>
      <c r="EQ588" s="24"/>
      <c r="ER588" s="24"/>
      <c r="ES588" s="24"/>
      <c r="ET588" s="24"/>
      <c r="EU588" s="24"/>
      <c r="EV588" s="24"/>
      <c r="EW588" s="24"/>
      <c r="EX588" s="24"/>
      <c r="EY588" s="24"/>
      <c r="EZ588" s="24"/>
      <c r="FA588" s="24"/>
      <c r="FB588" s="25"/>
      <c r="FC588" s="26"/>
      <c r="FD588" s="24"/>
      <c r="FE588" s="24"/>
      <c r="FF588" s="24"/>
      <c r="FG588" s="24"/>
      <c r="FH588" s="24"/>
      <c r="FI588" s="24"/>
      <c r="FJ588" s="24"/>
      <c r="FK588" s="24"/>
      <c r="FL588" s="24"/>
      <c r="FM588" s="24"/>
      <c r="FN588" s="24"/>
      <c r="FO588" s="27">
        <f t="shared" ref="FO588:FV588" si="581">IFERROR(R588*1,0)+IFERROR(AE588*1,0)+IFERROR(AR588*1,0)+IFERROR(BE588*1,0)+IFERROR(BR588*1,0)+IFERROR(CE588*1,0)+IFERROR(CR588*1,0)+IFERROR(DE588*1,0)+IFERROR(DR588*1,0)+IFERROR(EE588*1,0)+IFERROR(ER588*1,0)+IFERROR(FE588*1,0)</f>
        <v>0</v>
      </c>
      <c r="FP588" s="27">
        <f t="shared" si="581"/>
        <v>0</v>
      </c>
      <c r="FQ588" s="27">
        <f t="shared" si="581"/>
        <v>0</v>
      </c>
      <c r="FR588" s="27">
        <f t="shared" si="581"/>
        <v>0</v>
      </c>
      <c r="FS588" s="27">
        <f t="shared" si="581"/>
        <v>0</v>
      </c>
      <c r="FT588" s="27">
        <f t="shared" si="581"/>
        <v>0</v>
      </c>
      <c r="FU588" s="27">
        <f t="shared" si="581"/>
        <v>0</v>
      </c>
      <c r="FV588" s="27">
        <f t="shared" si="581"/>
        <v>0</v>
      </c>
      <c r="FW588" s="28"/>
      <c r="FX588" s="29">
        <f t="shared" si="3"/>
        <v>0</v>
      </c>
    </row>
    <row r="589" spans="1:180" ht="18" customHeight="1" x14ac:dyDescent="0.25">
      <c r="A589" s="3" t="str">
        <f>IF(C589&lt;&gt;"","DRG-"&amp;TEXT(584,"000"),"")</f>
        <v/>
      </c>
      <c r="B589" s="33"/>
      <c r="C589" s="33"/>
      <c r="D589" s="33"/>
      <c r="E589" s="33"/>
      <c r="F589" s="33"/>
      <c r="G589" s="33"/>
      <c r="H589" s="33"/>
      <c r="I589" s="33"/>
      <c r="J589" s="33"/>
      <c r="K589" s="33"/>
      <c r="L589" s="37">
        <v>4</v>
      </c>
      <c r="M589" s="30" t="str">
        <f t="shared" si="0"/>
        <v>✘ Pending</v>
      </c>
      <c r="N589" s="30">
        <f t="shared" si="1"/>
        <v>0</v>
      </c>
      <c r="O589" s="31"/>
      <c r="P589" s="32"/>
      <c r="Q589" s="33"/>
      <c r="R589" s="33"/>
      <c r="S589" s="33"/>
      <c r="T589" s="33"/>
      <c r="U589" s="33"/>
      <c r="V589" s="33"/>
      <c r="W589" s="33"/>
      <c r="X589" s="33"/>
      <c r="Y589" s="33"/>
      <c r="Z589" s="33"/>
      <c r="AA589" s="33"/>
      <c r="AB589" s="31"/>
      <c r="AC589" s="32"/>
      <c r="AD589" s="33"/>
      <c r="AE589" s="33"/>
      <c r="AF589" s="33"/>
      <c r="AG589" s="33"/>
      <c r="AH589" s="33"/>
      <c r="AI589" s="33"/>
      <c r="AJ589" s="33"/>
      <c r="AK589" s="33"/>
      <c r="AL589" s="33"/>
      <c r="AM589" s="33"/>
      <c r="AN589" s="33"/>
      <c r="AO589" s="31"/>
      <c r="AP589" s="32"/>
      <c r="AQ589" s="33"/>
      <c r="AR589" s="33"/>
      <c r="AS589" s="33"/>
      <c r="AT589" s="33"/>
      <c r="AU589" s="33"/>
      <c r="AV589" s="33"/>
      <c r="AW589" s="33"/>
      <c r="AX589" s="33"/>
      <c r="AY589" s="33"/>
      <c r="AZ589" s="33"/>
      <c r="BA589" s="33"/>
      <c r="BB589" s="31"/>
      <c r="BC589" s="32"/>
      <c r="BD589" s="33"/>
      <c r="BE589" s="33"/>
      <c r="BF589" s="33"/>
      <c r="BG589" s="33"/>
      <c r="BH589" s="33"/>
      <c r="BI589" s="33"/>
      <c r="BJ589" s="33"/>
      <c r="BK589" s="33"/>
      <c r="BL589" s="33"/>
      <c r="BM589" s="33"/>
      <c r="BN589" s="33"/>
      <c r="BO589" s="31"/>
      <c r="BP589" s="32"/>
      <c r="BQ589" s="33"/>
      <c r="BR589" s="33"/>
      <c r="BS589" s="33"/>
      <c r="BT589" s="33"/>
      <c r="BU589" s="33"/>
      <c r="BV589" s="33"/>
      <c r="BW589" s="33"/>
      <c r="BX589" s="33"/>
      <c r="BY589" s="33"/>
      <c r="BZ589" s="33"/>
      <c r="CA589" s="33"/>
      <c r="CB589" s="31"/>
      <c r="CC589" s="32"/>
      <c r="CD589" s="33"/>
      <c r="CE589" s="33"/>
      <c r="CF589" s="33"/>
      <c r="CG589" s="33"/>
      <c r="CH589" s="33"/>
      <c r="CI589" s="33"/>
      <c r="CJ589" s="33"/>
      <c r="CK589" s="33"/>
      <c r="CL589" s="33"/>
      <c r="CM589" s="33"/>
      <c r="CN589" s="33"/>
      <c r="CO589" s="31"/>
      <c r="CP589" s="32"/>
      <c r="CQ589" s="33"/>
      <c r="CR589" s="33"/>
      <c r="CS589" s="33"/>
      <c r="CT589" s="33"/>
      <c r="CU589" s="33"/>
      <c r="CV589" s="33"/>
      <c r="CW589" s="33"/>
      <c r="CX589" s="33"/>
      <c r="CY589" s="33"/>
      <c r="CZ589" s="33"/>
      <c r="DA589" s="33"/>
      <c r="DB589" s="31"/>
      <c r="DC589" s="32"/>
      <c r="DD589" s="33"/>
      <c r="DE589" s="33"/>
      <c r="DF589" s="33"/>
      <c r="DG589" s="33"/>
      <c r="DH589" s="33"/>
      <c r="DI589" s="33"/>
      <c r="DJ589" s="33"/>
      <c r="DK589" s="33"/>
      <c r="DL589" s="33"/>
      <c r="DM589" s="33"/>
      <c r="DN589" s="33"/>
      <c r="DO589" s="31"/>
      <c r="DP589" s="32"/>
      <c r="DQ589" s="33"/>
      <c r="DR589" s="33"/>
      <c r="DS589" s="33"/>
      <c r="DT589" s="33"/>
      <c r="DU589" s="33"/>
      <c r="DV589" s="33"/>
      <c r="DW589" s="33"/>
      <c r="DX589" s="33"/>
      <c r="DY589" s="33"/>
      <c r="DZ589" s="33"/>
      <c r="EA589" s="33"/>
      <c r="EB589" s="31"/>
      <c r="EC589" s="32"/>
      <c r="ED589" s="33"/>
      <c r="EE589" s="33"/>
      <c r="EF589" s="33"/>
      <c r="EG589" s="33"/>
      <c r="EH589" s="33"/>
      <c r="EI589" s="33"/>
      <c r="EJ589" s="33"/>
      <c r="EK589" s="33"/>
      <c r="EL589" s="33"/>
      <c r="EM589" s="33"/>
      <c r="EN589" s="33"/>
      <c r="EO589" s="31"/>
      <c r="EP589" s="32"/>
      <c r="EQ589" s="33"/>
      <c r="ER589" s="33"/>
      <c r="ES589" s="33"/>
      <c r="ET589" s="33"/>
      <c r="EU589" s="33"/>
      <c r="EV589" s="33"/>
      <c r="EW589" s="33"/>
      <c r="EX589" s="33"/>
      <c r="EY589" s="33"/>
      <c r="EZ589" s="33"/>
      <c r="FA589" s="33"/>
      <c r="FB589" s="31"/>
      <c r="FC589" s="32"/>
      <c r="FD589" s="33"/>
      <c r="FE589" s="33"/>
      <c r="FF589" s="33"/>
      <c r="FG589" s="33"/>
      <c r="FH589" s="33"/>
      <c r="FI589" s="33"/>
      <c r="FJ589" s="33"/>
      <c r="FK589" s="33"/>
      <c r="FL589" s="33"/>
      <c r="FM589" s="33"/>
      <c r="FN589" s="33"/>
      <c r="FO589" s="34">
        <f t="shared" ref="FO589:FV589" si="582">IFERROR(R589*1,0)+IFERROR(AE589*1,0)+IFERROR(AR589*1,0)+IFERROR(BE589*1,0)+IFERROR(BR589*1,0)+IFERROR(CE589*1,0)+IFERROR(CR589*1,0)+IFERROR(DE589*1,0)+IFERROR(DR589*1,0)+IFERROR(EE589*1,0)+IFERROR(ER589*1,0)+IFERROR(FE589*1,0)</f>
        <v>0</v>
      </c>
      <c r="FP589" s="34">
        <f t="shared" si="582"/>
        <v>0</v>
      </c>
      <c r="FQ589" s="34">
        <f t="shared" si="582"/>
        <v>0</v>
      </c>
      <c r="FR589" s="34">
        <f t="shared" si="582"/>
        <v>0</v>
      </c>
      <c r="FS589" s="34">
        <f t="shared" si="582"/>
        <v>0</v>
      </c>
      <c r="FT589" s="34">
        <f t="shared" si="582"/>
        <v>0</v>
      </c>
      <c r="FU589" s="34">
        <f t="shared" si="582"/>
        <v>0</v>
      </c>
      <c r="FV589" s="34">
        <f t="shared" si="582"/>
        <v>0</v>
      </c>
      <c r="FW589" s="28"/>
      <c r="FX589" s="29">
        <f t="shared" si="3"/>
        <v>0</v>
      </c>
    </row>
    <row r="590" spans="1:180" ht="18" customHeight="1" x14ac:dyDescent="0.25">
      <c r="A590" s="3" t="str">
        <f>IF(C590&lt;&gt;"","DRG-"&amp;TEXT(585,"000"),"")</f>
        <v/>
      </c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38">
        <v>4</v>
      </c>
      <c r="M590" s="23" t="str">
        <f t="shared" si="0"/>
        <v>✘ Pending</v>
      </c>
      <c r="N590" s="23">
        <f t="shared" si="1"/>
        <v>0</v>
      </c>
      <c r="O590" s="25"/>
      <c r="P590" s="26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  <c r="AB590" s="25"/>
      <c r="AC590" s="26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5"/>
      <c r="AP590" s="26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5"/>
      <c r="BC590" s="26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5"/>
      <c r="BP590" s="26"/>
      <c r="BQ590" s="24"/>
      <c r="BR590" s="24"/>
      <c r="BS590" s="24"/>
      <c r="BT590" s="24"/>
      <c r="BU590" s="24"/>
      <c r="BV590" s="24"/>
      <c r="BW590" s="24"/>
      <c r="BX590" s="24"/>
      <c r="BY590" s="24"/>
      <c r="BZ590" s="24"/>
      <c r="CA590" s="24"/>
      <c r="CB590" s="25"/>
      <c r="CC590" s="26"/>
      <c r="CD590" s="24"/>
      <c r="CE590" s="24"/>
      <c r="CF590" s="24"/>
      <c r="CG590" s="24"/>
      <c r="CH590" s="24"/>
      <c r="CI590" s="24"/>
      <c r="CJ590" s="24"/>
      <c r="CK590" s="24"/>
      <c r="CL590" s="24"/>
      <c r="CM590" s="24"/>
      <c r="CN590" s="24"/>
      <c r="CO590" s="25"/>
      <c r="CP590" s="26"/>
      <c r="CQ590" s="24"/>
      <c r="CR590" s="24"/>
      <c r="CS590" s="24"/>
      <c r="CT590" s="24"/>
      <c r="CU590" s="24"/>
      <c r="CV590" s="24"/>
      <c r="CW590" s="24"/>
      <c r="CX590" s="24"/>
      <c r="CY590" s="24"/>
      <c r="CZ590" s="24"/>
      <c r="DA590" s="24"/>
      <c r="DB590" s="25"/>
      <c r="DC590" s="26"/>
      <c r="DD590" s="24"/>
      <c r="DE590" s="24"/>
      <c r="DF590" s="24"/>
      <c r="DG590" s="24"/>
      <c r="DH590" s="24"/>
      <c r="DI590" s="24"/>
      <c r="DJ590" s="24"/>
      <c r="DK590" s="24"/>
      <c r="DL590" s="24"/>
      <c r="DM590" s="24"/>
      <c r="DN590" s="24"/>
      <c r="DO590" s="25"/>
      <c r="DP590" s="26"/>
      <c r="DQ590" s="24"/>
      <c r="DR590" s="24"/>
      <c r="DS590" s="24"/>
      <c r="DT590" s="24"/>
      <c r="DU590" s="24"/>
      <c r="DV590" s="24"/>
      <c r="DW590" s="24"/>
      <c r="DX590" s="24"/>
      <c r="DY590" s="24"/>
      <c r="DZ590" s="24"/>
      <c r="EA590" s="24"/>
      <c r="EB590" s="25"/>
      <c r="EC590" s="26"/>
      <c r="ED590" s="24"/>
      <c r="EE590" s="24"/>
      <c r="EF590" s="24"/>
      <c r="EG590" s="24"/>
      <c r="EH590" s="24"/>
      <c r="EI590" s="24"/>
      <c r="EJ590" s="24"/>
      <c r="EK590" s="24"/>
      <c r="EL590" s="24"/>
      <c r="EM590" s="24"/>
      <c r="EN590" s="24"/>
      <c r="EO590" s="25"/>
      <c r="EP590" s="26"/>
      <c r="EQ590" s="24"/>
      <c r="ER590" s="24"/>
      <c r="ES590" s="24"/>
      <c r="ET590" s="24"/>
      <c r="EU590" s="24"/>
      <c r="EV590" s="24"/>
      <c r="EW590" s="24"/>
      <c r="EX590" s="24"/>
      <c r="EY590" s="24"/>
      <c r="EZ590" s="24"/>
      <c r="FA590" s="24"/>
      <c r="FB590" s="25"/>
      <c r="FC590" s="26"/>
      <c r="FD590" s="24"/>
      <c r="FE590" s="24"/>
      <c r="FF590" s="24"/>
      <c r="FG590" s="24"/>
      <c r="FH590" s="24"/>
      <c r="FI590" s="24"/>
      <c r="FJ590" s="24"/>
      <c r="FK590" s="24"/>
      <c r="FL590" s="24"/>
      <c r="FM590" s="24"/>
      <c r="FN590" s="24"/>
      <c r="FO590" s="27">
        <f t="shared" ref="FO590:FV590" si="583">IFERROR(R590*1,0)+IFERROR(AE590*1,0)+IFERROR(AR590*1,0)+IFERROR(BE590*1,0)+IFERROR(BR590*1,0)+IFERROR(CE590*1,0)+IFERROR(CR590*1,0)+IFERROR(DE590*1,0)+IFERROR(DR590*1,0)+IFERROR(EE590*1,0)+IFERROR(ER590*1,0)+IFERROR(FE590*1,0)</f>
        <v>0</v>
      </c>
      <c r="FP590" s="27">
        <f t="shared" si="583"/>
        <v>0</v>
      </c>
      <c r="FQ590" s="27">
        <f t="shared" si="583"/>
        <v>0</v>
      </c>
      <c r="FR590" s="27">
        <f t="shared" si="583"/>
        <v>0</v>
      </c>
      <c r="FS590" s="27">
        <f t="shared" si="583"/>
        <v>0</v>
      </c>
      <c r="FT590" s="27">
        <f t="shared" si="583"/>
        <v>0</v>
      </c>
      <c r="FU590" s="27">
        <f t="shared" si="583"/>
        <v>0</v>
      </c>
      <c r="FV590" s="27">
        <f t="shared" si="583"/>
        <v>0</v>
      </c>
      <c r="FW590" s="28"/>
      <c r="FX590" s="29">
        <f t="shared" si="3"/>
        <v>0</v>
      </c>
    </row>
    <row r="591" spans="1:180" ht="18" customHeight="1" x14ac:dyDescent="0.25">
      <c r="A591" s="3" t="str">
        <f>IF(C591&lt;&gt;"","DRG-"&amp;TEXT(586,"000"),"")</f>
        <v/>
      </c>
      <c r="B591" s="33"/>
      <c r="C591" s="33"/>
      <c r="D591" s="33"/>
      <c r="E591" s="33"/>
      <c r="F591" s="33"/>
      <c r="G591" s="33"/>
      <c r="H591" s="33"/>
      <c r="I591" s="33"/>
      <c r="J591" s="33"/>
      <c r="K591" s="33"/>
      <c r="L591" s="37">
        <v>4</v>
      </c>
      <c r="M591" s="30" t="str">
        <f t="shared" si="0"/>
        <v>✘ Pending</v>
      </c>
      <c r="N591" s="30">
        <f t="shared" si="1"/>
        <v>0</v>
      </c>
      <c r="O591" s="31"/>
      <c r="P591" s="32"/>
      <c r="Q591" s="33"/>
      <c r="R591" s="33"/>
      <c r="S591" s="33"/>
      <c r="T591" s="33"/>
      <c r="U591" s="33"/>
      <c r="V591" s="33"/>
      <c r="W591" s="33"/>
      <c r="X591" s="33"/>
      <c r="Y591" s="33"/>
      <c r="Z591" s="33"/>
      <c r="AA591" s="33"/>
      <c r="AB591" s="31"/>
      <c r="AC591" s="32"/>
      <c r="AD591" s="33"/>
      <c r="AE591" s="33"/>
      <c r="AF591" s="33"/>
      <c r="AG591" s="33"/>
      <c r="AH591" s="33"/>
      <c r="AI591" s="33"/>
      <c r="AJ591" s="33"/>
      <c r="AK591" s="33"/>
      <c r="AL591" s="33"/>
      <c r="AM591" s="33"/>
      <c r="AN591" s="33"/>
      <c r="AO591" s="31"/>
      <c r="AP591" s="32"/>
      <c r="AQ591" s="33"/>
      <c r="AR591" s="33"/>
      <c r="AS591" s="33"/>
      <c r="AT591" s="33"/>
      <c r="AU591" s="33"/>
      <c r="AV591" s="33"/>
      <c r="AW591" s="33"/>
      <c r="AX591" s="33"/>
      <c r="AY591" s="33"/>
      <c r="AZ591" s="33"/>
      <c r="BA591" s="33"/>
      <c r="BB591" s="31"/>
      <c r="BC591" s="32"/>
      <c r="BD591" s="33"/>
      <c r="BE591" s="33"/>
      <c r="BF591" s="33"/>
      <c r="BG591" s="33"/>
      <c r="BH591" s="33"/>
      <c r="BI591" s="33"/>
      <c r="BJ591" s="33"/>
      <c r="BK591" s="33"/>
      <c r="BL591" s="33"/>
      <c r="BM591" s="33"/>
      <c r="BN591" s="33"/>
      <c r="BO591" s="31"/>
      <c r="BP591" s="32"/>
      <c r="BQ591" s="33"/>
      <c r="BR591" s="33"/>
      <c r="BS591" s="33"/>
      <c r="BT591" s="33"/>
      <c r="BU591" s="33"/>
      <c r="BV591" s="33"/>
      <c r="BW591" s="33"/>
      <c r="BX591" s="33"/>
      <c r="BY591" s="33"/>
      <c r="BZ591" s="33"/>
      <c r="CA591" s="33"/>
      <c r="CB591" s="31"/>
      <c r="CC591" s="32"/>
      <c r="CD591" s="33"/>
      <c r="CE591" s="33"/>
      <c r="CF591" s="33"/>
      <c r="CG591" s="33"/>
      <c r="CH591" s="33"/>
      <c r="CI591" s="33"/>
      <c r="CJ591" s="33"/>
      <c r="CK591" s="33"/>
      <c r="CL591" s="33"/>
      <c r="CM591" s="33"/>
      <c r="CN591" s="33"/>
      <c r="CO591" s="31"/>
      <c r="CP591" s="32"/>
      <c r="CQ591" s="33"/>
      <c r="CR591" s="33"/>
      <c r="CS591" s="33"/>
      <c r="CT591" s="33"/>
      <c r="CU591" s="33"/>
      <c r="CV591" s="33"/>
      <c r="CW591" s="33"/>
      <c r="CX591" s="33"/>
      <c r="CY591" s="33"/>
      <c r="CZ591" s="33"/>
      <c r="DA591" s="33"/>
      <c r="DB591" s="31"/>
      <c r="DC591" s="32"/>
      <c r="DD591" s="33"/>
      <c r="DE591" s="33"/>
      <c r="DF591" s="33"/>
      <c r="DG591" s="33"/>
      <c r="DH591" s="33"/>
      <c r="DI591" s="33"/>
      <c r="DJ591" s="33"/>
      <c r="DK591" s="33"/>
      <c r="DL591" s="33"/>
      <c r="DM591" s="33"/>
      <c r="DN591" s="33"/>
      <c r="DO591" s="31"/>
      <c r="DP591" s="32"/>
      <c r="DQ591" s="33"/>
      <c r="DR591" s="33"/>
      <c r="DS591" s="33"/>
      <c r="DT591" s="33"/>
      <c r="DU591" s="33"/>
      <c r="DV591" s="33"/>
      <c r="DW591" s="33"/>
      <c r="DX591" s="33"/>
      <c r="DY591" s="33"/>
      <c r="DZ591" s="33"/>
      <c r="EA591" s="33"/>
      <c r="EB591" s="31"/>
      <c r="EC591" s="32"/>
      <c r="ED591" s="33"/>
      <c r="EE591" s="33"/>
      <c r="EF591" s="33"/>
      <c r="EG591" s="33"/>
      <c r="EH591" s="33"/>
      <c r="EI591" s="33"/>
      <c r="EJ591" s="33"/>
      <c r="EK591" s="33"/>
      <c r="EL591" s="33"/>
      <c r="EM591" s="33"/>
      <c r="EN591" s="33"/>
      <c r="EO591" s="31"/>
      <c r="EP591" s="32"/>
      <c r="EQ591" s="33"/>
      <c r="ER591" s="33"/>
      <c r="ES591" s="33"/>
      <c r="ET591" s="33"/>
      <c r="EU591" s="33"/>
      <c r="EV591" s="33"/>
      <c r="EW591" s="33"/>
      <c r="EX591" s="33"/>
      <c r="EY591" s="33"/>
      <c r="EZ591" s="33"/>
      <c r="FA591" s="33"/>
      <c r="FB591" s="31"/>
      <c r="FC591" s="32"/>
      <c r="FD591" s="33"/>
      <c r="FE591" s="33"/>
      <c r="FF591" s="33"/>
      <c r="FG591" s="33"/>
      <c r="FH591" s="33"/>
      <c r="FI591" s="33"/>
      <c r="FJ591" s="33"/>
      <c r="FK591" s="33"/>
      <c r="FL591" s="33"/>
      <c r="FM591" s="33"/>
      <c r="FN591" s="33"/>
      <c r="FO591" s="34">
        <f t="shared" ref="FO591:FV591" si="584">IFERROR(R591*1,0)+IFERROR(AE591*1,0)+IFERROR(AR591*1,0)+IFERROR(BE591*1,0)+IFERROR(BR591*1,0)+IFERROR(CE591*1,0)+IFERROR(CR591*1,0)+IFERROR(DE591*1,0)+IFERROR(DR591*1,0)+IFERROR(EE591*1,0)+IFERROR(ER591*1,0)+IFERROR(FE591*1,0)</f>
        <v>0</v>
      </c>
      <c r="FP591" s="34">
        <f t="shared" si="584"/>
        <v>0</v>
      </c>
      <c r="FQ591" s="34">
        <f t="shared" si="584"/>
        <v>0</v>
      </c>
      <c r="FR591" s="34">
        <f t="shared" si="584"/>
        <v>0</v>
      </c>
      <c r="FS591" s="34">
        <f t="shared" si="584"/>
        <v>0</v>
      </c>
      <c r="FT591" s="34">
        <f t="shared" si="584"/>
        <v>0</v>
      </c>
      <c r="FU591" s="34">
        <f t="shared" si="584"/>
        <v>0</v>
      </c>
      <c r="FV591" s="34">
        <f t="shared" si="584"/>
        <v>0</v>
      </c>
      <c r="FW591" s="28"/>
      <c r="FX591" s="29">
        <f t="shared" si="3"/>
        <v>0</v>
      </c>
    </row>
    <row r="592" spans="1:180" ht="18" customHeight="1" x14ac:dyDescent="0.25">
      <c r="A592" s="3" t="str">
        <f>IF(C592&lt;&gt;"","DRG-"&amp;TEXT(587,"000"),"")</f>
        <v/>
      </c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38">
        <v>4</v>
      </c>
      <c r="M592" s="23" t="str">
        <f t="shared" si="0"/>
        <v>✘ Pending</v>
      </c>
      <c r="N592" s="23">
        <f t="shared" si="1"/>
        <v>0</v>
      </c>
      <c r="O592" s="25"/>
      <c r="P592" s="26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  <c r="AB592" s="25"/>
      <c r="AC592" s="26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5"/>
      <c r="AP592" s="26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5"/>
      <c r="BC592" s="26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5"/>
      <c r="BP592" s="26"/>
      <c r="BQ592" s="24"/>
      <c r="BR592" s="24"/>
      <c r="BS592" s="24"/>
      <c r="BT592" s="24"/>
      <c r="BU592" s="24"/>
      <c r="BV592" s="24"/>
      <c r="BW592" s="24"/>
      <c r="BX592" s="24"/>
      <c r="BY592" s="24"/>
      <c r="BZ592" s="24"/>
      <c r="CA592" s="24"/>
      <c r="CB592" s="25"/>
      <c r="CC592" s="26"/>
      <c r="CD592" s="24"/>
      <c r="CE592" s="24"/>
      <c r="CF592" s="24"/>
      <c r="CG592" s="24"/>
      <c r="CH592" s="24"/>
      <c r="CI592" s="24"/>
      <c r="CJ592" s="24"/>
      <c r="CK592" s="24"/>
      <c r="CL592" s="24"/>
      <c r="CM592" s="24"/>
      <c r="CN592" s="24"/>
      <c r="CO592" s="25"/>
      <c r="CP592" s="26"/>
      <c r="CQ592" s="24"/>
      <c r="CR592" s="24"/>
      <c r="CS592" s="24"/>
      <c r="CT592" s="24"/>
      <c r="CU592" s="24"/>
      <c r="CV592" s="24"/>
      <c r="CW592" s="24"/>
      <c r="CX592" s="24"/>
      <c r="CY592" s="24"/>
      <c r="CZ592" s="24"/>
      <c r="DA592" s="24"/>
      <c r="DB592" s="25"/>
      <c r="DC592" s="26"/>
      <c r="DD592" s="24"/>
      <c r="DE592" s="24"/>
      <c r="DF592" s="24"/>
      <c r="DG592" s="24"/>
      <c r="DH592" s="24"/>
      <c r="DI592" s="24"/>
      <c r="DJ592" s="24"/>
      <c r="DK592" s="24"/>
      <c r="DL592" s="24"/>
      <c r="DM592" s="24"/>
      <c r="DN592" s="24"/>
      <c r="DO592" s="25"/>
      <c r="DP592" s="26"/>
      <c r="DQ592" s="24"/>
      <c r="DR592" s="24"/>
      <c r="DS592" s="24"/>
      <c r="DT592" s="24"/>
      <c r="DU592" s="24"/>
      <c r="DV592" s="24"/>
      <c r="DW592" s="24"/>
      <c r="DX592" s="24"/>
      <c r="DY592" s="24"/>
      <c r="DZ592" s="24"/>
      <c r="EA592" s="24"/>
      <c r="EB592" s="25"/>
      <c r="EC592" s="26"/>
      <c r="ED592" s="24"/>
      <c r="EE592" s="24"/>
      <c r="EF592" s="24"/>
      <c r="EG592" s="24"/>
      <c r="EH592" s="24"/>
      <c r="EI592" s="24"/>
      <c r="EJ592" s="24"/>
      <c r="EK592" s="24"/>
      <c r="EL592" s="24"/>
      <c r="EM592" s="24"/>
      <c r="EN592" s="24"/>
      <c r="EO592" s="25"/>
      <c r="EP592" s="26"/>
      <c r="EQ592" s="24"/>
      <c r="ER592" s="24"/>
      <c r="ES592" s="24"/>
      <c r="ET592" s="24"/>
      <c r="EU592" s="24"/>
      <c r="EV592" s="24"/>
      <c r="EW592" s="24"/>
      <c r="EX592" s="24"/>
      <c r="EY592" s="24"/>
      <c r="EZ592" s="24"/>
      <c r="FA592" s="24"/>
      <c r="FB592" s="25"/>
      <c r="FC592" s="26"/>
      <c r="FD592" s="24"/>
      <c r="FE592" s="24"/>
      <c r="FF592" s="24"/>
      <c r="FG592" s="24"/>
      <c r="FH592" s="24"/>
      <c r="FI592" s="24"/>
      <c r="FJ592" s="24"/>
      <c r="FK592" s="24"/>
      <c r="FL592" s="24"/>
      <c r="FM592" s="24"/>
      <c r="FN592" s="24"/>
      <c r="FO592" s="27">
        <f t="shared" ref="FO592:FV592" si="585">IFERROR(R592*1,0)+IFERROR(AE592*1,0)+IFERROR(AR592*1,0)+IFERROR(BE592*1,0)+IFERROR(BR592*1,0)+IFERROR(CE592*1,0)+IFERROR(CR592*1,0)+IFERROR(DE592*1,0)+IFERROR(DR592*1,0)+IFERROR(EE592*1,0)+IFERROR(ER592*1,0)+IFERROR(FE592*1,0)</f>
        <v>0</v>
      </c>
      <c r="FP592" s="27">
        <f t="shared" si="585"/>
        <v>0</v>
      </c>
      <c r="FQ592" s="27">
        <f t="shared" si="585"/>
        <v>0</v>
      </c>
      <c r="FR592" s="27">
        <f t="shared" si="585"/>
        <v>0</v>
      </c>
      <c r="FS592" s="27">
        <f t="shared" si="585"/>
        <v>0</v>
      </c>
      <c r="FT592" s="27">
        <f t="shared" si="585"/>
        <v>0</v>
      </c>
      <c r="FU592" s="27">
        <f t="shared" si="585"/>
        <v>0</v>
      </c>
      <c r="FV592" s="27">
        <f t="shared" si="585"/>
        <v>0</v>
      </c>
      <c r="FW592" s="28"/>
      <c r="FX592" s="29">
        <f t="shared" si="3"/>
        <v>0</v>
      </c>
    </row>
    <row r="593" spans="1:180" ht="18" customHeight="1" x14ac:dyDescent="0.25">
      <c r="A593" s="3" t="str">
        <f>IF(C593&lt;&gt;"","DRG-"&amp;TEXT(588,"000"),"")</f>
        <v/>
      </c>
      <c r="B593" s="33"/>
      <c r="C593" s="33"/>
      <c r="D593" s="33"/>
      <c r="E593" s="33"/>
      <c r="F593" s="33"/>
      <c r="G593" s="33"/>
      <c r="H593" s="33"/>
      <c r="I593" s="33"/>
      <c r="J593" s="33"/>
      <c r="K593" s="33"/>
      <c r="L593" s="37">
        <v>4</v>
      </c>
      <c r="M593" s="30" t="str">
        <f t="shared" si="0"/>
        <v>✘ Pending</v>
      </c>
      <c r="N593" s="30">
        <f t="shared" si="1"/>
        <v>0</v>
      </c>
      <c r="O593" s="31"/>
      <c r="P593" s="32"/>
      <c r="Q593" s="33"/>
      <c r="R593" s="33"/>
      <c r="S593" s="33"/>
      <c r="T593" s="33"/>
      <c r="U593" s="33"/>
      <c r="V593" s="33"/>
      <c r="W593" s="33"/>
      <c r="X593" s="33"/>
      <c r="Y593" s="33"/>
      <c r="Z593" s="33"/>
      <c r="AA593" s="33"/>
      <c r="AB593" s="31"/>
      <c r="AC593" s="32"/>
      <c r="AD593" s="33"/>
      <c r="AE593" s="33"/>
      <c r="AF593" s="33"/>
      <c r="AG593" s="33"/>
      <c r="AH593" s="33"/>
      <c r="AI593" s="33"/>
      <c r="AJ593" s="33"/>
      <c r="AK593" s="33"/>
      <c r="AL593" s="33"/>
      <c r="AM593" s="33"/>
      <c r="AN593" s="33"/>
      <c r="AO593" s="31"/>
      <c r="AP593" s="32"/>
      <c r="AQ593" s="33"/>
      <c r="AR593" s="33"/>
      <c r="AS593" s="33"/>
      <c r="AT593" s="33"/>
      <c r="AU593" s="33"/>
      <c r="AV593" s="33"/>
      <c r="AW593" s="33"/>
      <c r="AX593" s="33"/>
      <c r="AY593" s="33"/>
      <c r="AZ593" s="33"/>
      <c r="BA593" s="33"/>
      <c r="BB593" s="31"/>
      <c r="BC593" s="32"/>
      <c r="BD593" s="33"/>
      <c r="BE593" s="33"/>
      <c r="BF593" s="33"/>
      <c r="BG593" s="33"/>
      <c r="BH593" s="33"/>
      <c r="BI593" s="33"/>
      <c r="BJ593" s="33"/>
      <c r="BK593" s="33"/>
      <c r="BL593" s="33"/>
      <c r="BM593" s="33"/>
      <c r="BN593" s="33"/>
      <c r="BO593" s="31"/>
      <c r="BP593" s="32"/>
      <c r="BQ593" s="33"/>
      <c r="BR593" s="33"/>
      <c r="BS593" s="33"/>
      <c r="BT593" s="33"/>
      <c r="BU593" s="33"/>
      <c r="BV593" s="33"/>
      <c r="BW593" s="33"/>
      <c r="BX593" s="33"/>
      <c r="BY593" s="33"/>
      <c r="BZ593" s="33"/>
      <c r="CA593" s="33"/>
      <c r="CB593" s="31"/>
      <c r="CC593" s="32"/>
      <c r="CD593" s="33"/>
      <c r="CE593" s="33"/>
      <c r="CF593" s="33"/>
      <c r="CG593" s="33"/>
      <c r="CH593" s="33"/>
      <c r="CI593" s="33"/>
      <c r="CJ593" s="33"/>
      <c r="CK593" s="33"/>
      <c r="CL593" s="33"/>
      <c r="CM593" s="33"/>
      <c r="CN593" s="33"/>
      <c r="CO593" s="31"/>
      <c r="CP593" s="32"/>
      <c r="CQ593" s="33"/>
      <c r="CR593" s="33"/>
      <c r="CS593" s="33"/>
      <c r="CT593" s="33"/>
      <c r="CU593" s="33"/>
      <c r="CV593" s="33"/>
      <c r="CW593" s="33"/>
      <c r="CX593" s="33"/>
      <c r="CY593" s="33"/>
      <c r="CZ593" s="33"/>
      <c r="DA593" s="33"/>
      <c r="DB593" s="31"/>
      <c r="DC593" s="32"/>
      <c r="DD593" s="33"/>
      <c r="DE593" s="33"/>
      <c r="DF593" s="33"/>
      <c r="DG593" s="33"/>
      <c r="DH593" s="33"/>
      <c r="DI593" s="33"/>
      <c r="DJ593" s="33"/>
      <c r="DK593" s="33"/>
      <c r="DL593" s="33"/>
      <c r="DM593" s="33"/>
      <c r="DN593" s="33"/>
      <c r="DO593" s="31"/>
      <c r="DP593" s="32"/>
      <c r="DQ593" s="33"/>
      <c r="DR593" s="33"/>
      <c r="DS593" s="33"/>
      <c r="DT593" s="33"/>
      <c r="DU593" s="33"/>
      <c r="DV593" s="33"/>
      <c r="DW593" s="33"/>
      <c r="DX593" s="33"/>
      <c r="DY593" s="33"/>
      <c r="DZ593" s="33"/>
      <c r="EA593" s="33"/>
      <c r="EB593" s="31"/>
      <c r="EC593" s="32"/>
      <c r="ED593" s="33"/>
      <c r="EE593" s="33"/>
      <c r="EF593" s="33"/>
      <c r="EG593" s="33"/>
      <c r="EH593" s="33"/>
      <c r="EI593" s="33"/>
      <c r="EJ593" s="33"/>
      <c r="EK593" s="33"/>
      <c r="EL593" s="33"/>
      <c r="EM593" s="33"/>
      <c r="EN593" s="33"/>
      <c r="EO593" s="31"/>
      <c r="EP593" s="32"/>
      <c r="EQ593" s="33"/>
      <c r="ER593" s="33"/>
      <c r="ES593" s="33"/>
      <c r="ET593" s="33"/>
      <c r="EU593" s="33"/>
      <c r="EV593" s="33"/>
      <c r="EW593" s="33"/>
      <c r="EX593" s="33"/>
      <c r="EY593" s="33"/>
      <c r="EZ593" s="33"/>
      <c r="FA593" s="33"/>
      <c r="FB593" s="31"/>
      <c r="FC593" s="32"/>
      <c r="FD593" s="33"/>
      <c r="FE593" s="33"/>
      <c r="FF593" s="33"/>
      <c r="FG593" s="33"/>
      <c r="FH593" s="33"/>
      <c r="FI593" s="33"/>
      <c r="FJ593" s="33"/>
      <c r="FK593" s="33"/>
      <c r="FL593" s="33"/>
      <c r="FM593" s="33"/>
      <c r="FN593" s="33"/>
      <c r="FO593" s="34">
        <f t="shared" ref="FO593:FV593" si="586">IFERROR(R593*1,0)+IFERROR(AE593*1,0)+IFERROR(AR593*1,0)+IFERROR(BE593*1,0)+IFERROR(BR593*1,0)+IFERROR(CE593*1,0)+IFERROR(CR593*1,0)+IFERROR(DE593*1,0)+IFERROR(DR593*1,0)+IFERROR(EE593*1,0)+IFERROR(ER593*1,0)+IFERROR(FE593*1,0)</f>
        <v>0</v>
      </c>
      <c r="FP593" s="34">
        <f t="shared" si="586"/>
        <v>0</v>
      </c>
      <c r="FQ593" s="34">
        <f t="shared" si="586"/>
        <v>0</v>
      </c>
      <c r="FR593" s="34">
        <f t="shared" si="586"/>
        <v>0</v>
      </c>
      <c r="FS593" s="34">
        <f t="shared" si="586"/>
        <v>0</v>
      </c>
      <c r="FT593" s="34">
        <f t="shared" si="586"/>
        <v>0</v>
      </c>
      <c r="FU593" s="34">
        <f t="shared" si="586"/>
        <v>0</v>
      </c>
      <c r="FV593" s="34">
        <f t="shared" si="586"/>
        <v>0</v>
      </c>
      <c r="FW593" s="28"/>
      <c r="FX593" s="29">
        <f t="shared" si="3"/>
        <v>0</v>
      </c>
    </row>
    <row r="594" spans="1:180" ht="18" customHeight="1" x14ac:dyDescent="0.25">
      <c r="A594" s="3" t="str">
        <f>IF(C594&lt;&gt;"","DRG-"&amp;TEXT(589,"000"),"")</f>
        <v/>
      </c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38">
        <v>4</v>
      </c>
      <c r="M594" s="23" t="str">
        <f t="shared" si="0"/>
        <v>✘ Pending</v>
      </c>
      <c r="N594" s="23">
        <f t="shared" si="1"/>
        <v>0</v>
      </c>
      <c r="O594" s="25"/>
      <c r="P594" s="26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  <c r="AB594" s="25"/>
      <c r="AC594" s="26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5"/>
      <c r="AP594" s="26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5"/>
      <c r="BC594" s="26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5"/>
      <c r="BP594" s="26"/>
      <c r="BQ594" s="24"/>
      <c r="BR594" s="24"/>
      <c r="BS594" s="24"/>
      <c r="BT594" s="24"/>
      <c r="BU594" s="24"/>
      <c r="BV594" s="24"/>
      <c r="BW594" s="24"/>
      <c r="BX594" s="24"/>
      <c r="BY594" s="24"/>
      <c r="BZ594" s="24"/>
      <c r="CA594" s="24"/>
      <c r="CB594" s="25"/>
      <c r="CC594" s="26"/>
      <c r="CD594" s="24"/>
      <c r="CE594" s="24"/>
      <c r="CF594" s="24"/>
      <c r="CG594" s="24"/>
      <c r="CH594" s="24"/>
      <c r="CI594" s="24"/>
      <c r="CJ594" s="24"/>
      <c r="CK594" s="24"/>
      <c r="CL594" s="24"/>
      <c r="CM594" s="24"/>
      <c r="CN594" s="24"/>
      <c r="CO594" s="25"/>
      <c r="CP594" s="26"/>
      <c r="CQ594" s="24"/>
      <c r="CR594" s="24"/>
      <c r="CS594" s="24"/>
      <c r="CT594" s="24"/>
      <c r="CU594" s="24"/>
      <c r="CV594" s="24"/>
      <c r="CW594" s="24"/>
      <c r="CX594" s="24"/>
      <c r="CY594" s="24"/>
      <c r="CZ594" s="24"/>
      <c r="DA594" s="24"/>
      <c r="DB594" s="25"/>
      <c r="DC594" s="26"/>
      <c r="DD594" s="24"/>
      <c r="DE594" s="24"/>
      <c r="DF594" s="24"/>
      <c r="DG594" s="24"/>
      <c r="DH594" s="24"/>
      <c r="DI594" s="24"/>
      <c r="DJ594" s="24"/>
      <c r="DK594" s="24"/>
      <c r="DL594" s="24"/>
      <c r="DM594" s="24"/>
      <c r="DN594" s="24"/>
      <c r="DO594" s="25"/>
      <c r="DP594" s="26"/>
      <c r="DQ594" s="24"/>
      <c r="DR594" s="24"/>
      <c r="DS594" s="24"/>
      <c r="DT594" s="24"/>
      <c r="DU594" s="24"/>
      <c r="DV594" s="24"/>
      <c r="DW594" s="24"/>
      <c r="DX594" s="24"/>
      <c r="DY594" s="24"/>
      <c r="DZ594" s="24"/>
      <c r="EA594" s="24"/>
      <c r="EB594" s="25"/>
      <c r="EC594" s="26"/>
      <c r="ED594" s="24"/>
      <c r="EE594" s="24"/>
      <c r="EF594" s="24"/>
      <c r="EG594" s="24"/>
      <c r="EH594" s="24"/>
      <c r="EI594" s="24"/>
      <c r="EJ594" s="24"/>
      <c r="EK594" s="24"/>
      <c r="EL594" s="24"/>
      <c r="EM594" s="24"/>
      <c r="EN594" s="24"/>
      <c r="EO594" s="25"/>
      <c r="EP594" s="26"/>
      <c r="EQ594" s="24"/>
      <c r="ER594" s="24"/>
      <c r="ES594" s="24"/>
      <c r="ET594" s="24"/>
      <c r="EU594" s="24"/>
      <c r="EV594" s="24"/>
      <c r="EW594" s="24"/>
      <c r="EX594" s="24"/>
      <c r="EY594" s="24"/>
      <c r="EZ594" s="24"/>
      <c r="FA594" s="24"/>
      <c r="FB594" s="25"/>
      <c r="FC594" s="26"/>
      <c r="FD594" s="24"/>
      <c r="FE594" s="24"/>
      <c r="FF594" s="24"/>
      <c r="FG594" s="24"/>
      <c r="FH594" s="24"/>
      <c r="FI594" s="24"/>
      <c r="FJ594" s="24"/>
      <c r="FK594" s="24"/>
      <c r="FL594" s="24"/>
      <c r="FM594" s="24"/>
      <c r="FN594" s="24"/>
      <c r="FO594" s="27">
        <f t="shared" ref="FO594:FV594" si="587">IFERROR(R594*1,0)+IFERROR(AE594*1,0)+IFERROR(AR594*1,0)+IFERROR(BE594*1,0)+IFERROR(BR594*1,0)+IFERROR(CE594*1,0)+IFERROR(CR594*1,0)+IFERROR(DE594*1,0)+IFERROR(DR594*1,0)+IFERROR(EE594*1,0)+IFERROR(ER594*1,0)+IFERROR(FE594*1,0)</f>
        <v>0</v>
      </c>
      <c r="FP594" s="27">
        <f t="shared" si="587"/>
        <v>0</v>
      </c>
      <c r="FQ594" s="27">
        <f t="shared" si="587"/>
        <v>0</v>
      </c>
      <c r="FR594" s="27">
        <f t="shared" si="587"/>
        <v>0</v>
      </c>
      <c r="FS594" s="27">
        <f t="shared" si="587"/>
        <v>0</v>
      </c>
      <c r="FT594" s="27">
        <f t="shared" si="587"/>
        <v>0</v>
      </c>
      <c r="FU594" s="27">
        <f t="shared" si="587"/>
        <v>0</v>
      </c>
      <c r="FV594" s="27">
        <f t="shared" si="587"/>
        <v>0</v>
      </c>
      <c r="FW594" s="28"/>
      <c r="FX594" s="29">
        <f t="shared" si="3"/>
        <v>0</v>
      </c>
    </row>
    <row r="595" spans="1:180" ht="18" customHeight="1" x14ac:dyDescent="0.25">
      <c r="A595" s="3" t="str">
        <f>IF(C595&lt;&gt;"","DRG-"&amp;TEXT(590,"000"),"")</f>
        <v/>
      </c>
      <c r="B595" s="33"/>
      <c r="C595" s="33"/>
      <c r="D595" s="33"/>
      <c r="E595" s="33"/>
      <c r="F595" s="33"/>
      <c r="G595" s="33"/>
      <c r="H595" s="33"/>
      <c r="I595" s="33"/>
      <c r="J595" s="33"/>
      <c r="K595" s="33"/>
      <c r="L595" s="37">
        <v>4</v>
      </c>
      <c r="M595" s="30" t="str">
        <f t="shared" si="0"/>
        <v>✘ Pending</v>
      </c>
      <c r="N595" s="30">
        <f t="shared" si="1"/>
        <v>0</v>
      </c>
      <c r="O595" s="31"/>
      <c r="P595" s="32"/>
      <c r="Q595" s="33"/>
      <c r="R595" s="33"/>
      <c r="S595" s="33"/>
      <c r="T595" s="33"/>
      <c r="U595" s="33"/>
      <c r="V595" s="33"/>
      <c r="W595" s="33"/>
      <c r="X595" s="33"/>
      <c r="Y595" s="33"/>
      <c r="Z595" s="33"/>
      <c r="AA595" s="33"/>
      <c r="AB595" s="31"/>
      <c r="AC595" s="32"/>
      <c r="AD595" s="33"/>
      <c r="AE595" s="33"/>
      <c r="AF595" s="33"/>
      <c r="AG595" s="33"/>
      <c r="AH595" s="33"/>
      <c r="AI595" s="33"/>
      <c r="AJ595" s="33"/>
      <c r="AK595" s="33"/>
      <c r="AL595" s="33"/>
      <c r="AM595" s="33"/>
      <c r="AN595" s="33"/>
      <c r="AO595" s="31"/>
      <c r="AP595" s="32"/>
      <c r="AQ595" s="33"/>
      <c r="AR595" s="33"/>
      <c r="AS595" s="33"/>
      <c r="AT595" s="33"/>
      <c r="AU595" s="33"/>
      <c r="AV595" s="33"/>
      <c r="AW595" s="33"/>
      <c r="AX595" s="33"/>
      <c r="AY595" s="33"/>
      <c r="AZ595" s="33"/>
      <c r="BA595" s="33"/>
      <c r="BB595" s="31"/>
      <c r="BC595" s="32"/>
      <c r="BD595" s="33"/>
      <c r="BE595" s="33"/>
      <c r="BF595" s="33"/>
      <c r="BG595" s="33"/>
      <c r="BH595" s="33"/>
      <c r="BI595" s="33"/>
      <c r="BJ595" s="33"/>
      <c r="BK595" s="33"/>
      <c r="BL595" s="33"/>
      <c r="BM595" s="33"/>
      <c r="BN595" s="33"/>
      <c r="BO595" s="31"/>
      <c r="BP595" s="32"/>
      <c r="BQ595" s="33"/>
      <c r="BR595" s="33"/>
      <c r="BS595" s="33"/>
      <c r="BT595" s="33"/>
      <c r="BU595" s="33"/>
      <c r="BV595" s="33"/>
      <c r="BW595" s="33"/>
      <c r="BX595" s="33"/>
      <c r="BY595" s="33"/>
      <c r="BZ595" s="33"/>
      <c r="CA595" s="33"/>
      <c r="CB595" s="31"/>
      <c r="CC595" s="32"/>
      <c r="CD595" s="33"/>
      <c r="CE595" s="33"/>
      <c r="CF595" s="33"/>
      <c r="CG595" s="33"/>
      <c r="CH595" s="33"/>
      <c r="CI595" s="33"/>
      <c r="CJ595" s="33"/>
      <c r="CK595" s="33"/>
      <c r="CL595" s="33"/>
      <c r="CM595" s="33"/>
      <c r="CN595" s="33"/>
      <c r="CO595" s="31"/>
      <c r="CP595" s="32"/>
      <c r="CQ595" s="33"/>
      <c r="CR595" s="33"/>
      <c r="CS595" s="33"/>
      <c r="CT595" s="33"/>
      <c r="CU595" s="33"/>
      <c r="CV595" s="33"/>
      <c r="CW595" s="33"/>
      <c r="CX595" s="33"/>
      <c r="CY595" s="33"/>
      <c r="CZ595" s="33"/>
      <c r="DA595" s="33"/>
      <c r="DB595" s="31"/>
      <c r="DC595" s="32"/>
      <c r="DD595" s="33"/>
      <c r="DE595" s="33"/>
      <c r="DF595" s="33"/>
      <c r="DG595" s="33"/>
      <c r="DH595" s="33"/>
      <c r="DI595" s="33"/>
      <c r="DJ595" s="33"/>
      <c r="DK595" s="33"/>
      <c r="DL595" s="33"/>
      <c r="DM595" s="33"/>
      <c r="DN595" s="33"/>
      <c r="DO595" s="31"/>
      <c r="DP595" s="32"/>
      <c r="DQ595" s="33"/>
      <c r="DR595" s="33"/>
      <c r="DS595" s="33"/>
      <c r="DT595" s="33"/>
      <c r="DU595" s="33"/>
      <c r="DV595" s="33"/>
      <c r="DW595" s="33"/>
      <c r="DX595" s="33"/>
      <c r="DY595" s="33"/>
      <c r="DZ595" s="33"/>
      <c r="EA595" s="33"/>
      <c r="EB595" s="31"/>
      <c r="EC595" s="32"/>
      <c r="ED595" s="33"/>
      <c r="EE595" s="33"/>
      <c r="EF595" s="33"/>
      <c r="EG595" s="33"/>
      <c r="EH595" s="33"/>
      <c r="EI595" s="33"/>
      <c r="EJ595" s="33"/>
      <c r="EK595" s="33"/>
      <c r="EL595" s="33"/>
      <c r="EM595" s="33"/>
      <c r="EN595" s="33"/>
      <c r="EO595" s="31"/>
      <c r="EP595" s="32"/>
      <c r="EQ595" s="33"/>
      <c r="ER595" s="33"/>
      <c r="ES595" s="33"/>
      <c r="ET595" s="33"/>
      <c r="EU595" s="33"/>
      <c r="EV595" s="33"/>
      <c r="EW595" s="33"/>
      <c r="EX595" s="33"/>
      <c r="EY595" s="33"/>
      <c r="EZ595" s="33"/>
      <c r="FA595" s="33"/>
      <c r="FB595" s="31"/>
      <c r="FC595" s="32"/>
      <c r="FD595" s="33"/>
      <c r="FE595" s="33"/>
      <c r="FF595" s="33"/>
      <c r="FG595" s="33"/>
      <c r="FH595" s="33"/>
      <c r="FI595" s="33"/>
      <c r="FJ595" s="33"/>
      <c r="FK595" s="33"/>
      <c r="FL595" s="33"/>
      <c r="FM595" s="33"/>
      <c r="FN595" s="33"/>
      <c r="FO595" s="34">
        <f t="shared" ref="FO595:FV595" si="588">IFERROR(R595*1,0)+IFERROR(AE595*1,0)+IFERROR(AR595*1,0)+IFERROR(BE595*1,0)+IFERROR(BR595*1,0)+IFERROR(CE595*1,0)+IFERROR(CR595*1,0)+IFERROR(DE595*1,0)+IFERROR(DR595*1,0)+IFERROR(EE595*1,0)+IFERROR(ER595*1,0)+IFERROR(FE595*1,0)</f>
        <v>0</v>
      </c>
      <c r="FP595" s="34">
        <f t="shared" si="588"/>
        <v>0</v>
      </c>
      <c r="FQ595" s="34">
        <f t="shared" si="588"/>
        <v>0</v>
      </c>
      <c r="FR595" s="34">
        <f t="shared" si="588"/>
        <v>0</v>
      </c>
      <c r="FS595" s="34">
        <f t="shared" si="588"/>
        <v>0</v>
      </c>
      <c r="FT595" s="34">
        <f t="shared" si="588"/>
        <v>0</v>
      </c>
      <c r="FU595" s="34">
        <f t="shared" si="588"/>
        <v>0</v>
      </c>
      <c r="FV595" s="34">
        <f t="shared" si="588"/>
        <v>0</v>
      </c>
      <c r="FW595" s="28"/>
      <c r="FX595" s="29">
        <f t="shared" si="3"/>
        <v>0</v>
      </c>
    </row>
    <row r="596" spans="1:180" ht="18" customHeight="1" x14ac:dyDescent="0.25">
      <c r="A596" s="3" t="str">
        <f>IF(C596&lt;&gt;"","DRG-"&amp;TEXT(591,"000"),"")</f>
        <v/>
      </c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38">
        <v>4</v>
      </c>
      <c r="M596" s="23" t="str">
        <f t="shared" si="0"/>
        <v>✘ Pending</v>
      </c>
      <c r="N596" s="23">
        <f t="shared" si="1"/>
        <v>0</v>
      </c>
      <c r="O596" s="25"/>
      <c r="P596" s="26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  <c r="AB596" s="25"/>
      <c r="AC596" s="26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5"/>
      <c r="AP596" s="26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5"/>
      <c r="BC596" s="26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5"/>
      <c r="BP596" s="26"/>
      <c r="BQ596" s="24"/>
      <c r="BR596" s="24"/>
      <c r="BS596" s="24"/>
      <c r="BT596" s="24"/>
      <c r="BU596" s="24"/>
      <c r="BV596" s="24"/>
      <c r="BW596" s="24"/>
      <c r="BX596" s="24"/>
      <c r="BY596" s="24"/>
      <c r="BZ596" s="24"/>
      <c r="CA596" s="24"/>
      <c r="CB596" s="25"/>
      <c r="CC596" s="26"/>
      <c r="CD596" s="24"/>
      <c r="CE596" s="24"/>
      <c r="CF596" s="24"/>
      <c r="CG596" s="24"/>
      <c r="CH596" s="24"/>
      <c r="CI596" s="24"/>
      <c r="CJ596" s="24"/>
      <c r="CK596" s="24"/>
      <c r="CL596" s="24"/>
      <c r="CM596" s="24"/>
      <c r="CN596" s="24"/>
      <c r="CO596" s="25"/>
      <c r="CP596" s="26"/>
      <c r="CQ596" s="24"/>
      <c r="CR596" s="24"/>
      <c r="CS596" s="24"/>
      <c r="CT596" s="24"/>
      <c r="CU596" s="24"/>
      <c r="CV596" s="24"/>
      <c r="CW596" s="24"/>
      <c r="CX596" s="24"/>
      <c r="CY596" s="24"/>
      <c r="CZ596" s="24"/>
      <c r="DA596" s="24"/>
      <c r="DB596" s="25"/>
      <c r="DC596" s="26"/>
      <c r="DD596" s="24"/>
      <c r="DE596" s="24"/>
      <c r="DF596" s="24"/>
      <c r="DG596" s="24"/>
      <c r="DH596" s="24"/>
      <c r="DI596" s="24"/>
      <c r="DJ596" s="24"/>
      <c r="DK596" s="24"/>
      <c r="DL596" s="24"/>
      <c r="DM596" s="24"/>
      <c r="DN596" s="24"/>
      <c r="DO596" s="25"/>
      <c r="DP596" s="26"/>
      <c r="DQ596" s="24"/>
      <c r="DR596" s="24"/>
      <c r="DS596" s="24"/>
      <c r="DT596" s="24"/>
      <c r="DU596" s="24"/>
      <c r="DV596" s="24"/>
      <c r="DW596" s="24"/>
      <c r="DX596" s="24"/>
      <c r="DY596" s="24"/>
      <c r="DZ596" s="24"/>
      <c r="EA596" s="24"/>
      <c r="EB596" s="25"/>
      <c r="EC596" s="26"/>
      <c r="ED596" s="24"/>
      <c r="EE596" s="24"/>
      <c r="EF596" s="24"/>
      <c r="EG596" s="24"/>
      <c r="EH596" s="24"/>
      <c r="EI596" s="24"/>
      <c r="EJ596" s="24"/>
      <c r="EK596" s="24"/>
      <c r="EL596" s="24"/>
      <c r="EM596" s="24"/>
      <c r="EN596" s="24"/>
      <c r="EO596" s="25"/>
      <c r="EP596" s="26"/>
      <c r="EQ596" s="24"/>
      <c r="ER596" s="24"/>
      <c r="ES596" s="24"/>
      <c r="ET596" s="24"/>
      <c r="EU596" s="24"/>
      <c r="EV596" s="24"/>
      <c r="EW596" s="24"/>
      <c r="EX596" s="24"/>
      <c r="EY596" s="24"/>
      <c r="EZ596" s="24"/>
      <c r="FA596" s="24"/>
      <c r="FB596" s="25"/>
      <c r="FC596" s="26"/>
      <c r="FD596" s="24"/>
      <c r="FE596" s="24"/>
      <c r="FF596" s="24"/>
      <c r="FG596" s="24"/>
      <c r="FH596" s="24"/>
      <c r="FI596" s="24"/>
      <c r="FJ596" s="24"/>
      <c r="FK596" s="24"/>
      <c r="FL596" s="24"/>
      <c r="FM596" s="24"/>
      <c r="FN596" s="24"/>
      <c r="FO596" s="27">
        <f t="shared" ref="FO596:FV596" si="589">IFERROR(R596*1,0)+IFERROR(AE596*1,0)+IFERROR(AR596*1,0)+IFERROR(BE596*1,0)+IFERROR(BR596*1,0)+IFERROR(CE596*1,0)+IFERROR(CR596*1,0)+IFERROR(DE596*1,0)+IFERROR(DR596*1,0)+IFERROR(EE596*1,0)+IFERROR(ER596*1,0)+IFERROR(FE596*1,0)</f>
        <v>0</v>
      </c>
      <c r="FP596" s="27">
        <f t="shared" si="589"/>
        <v>0</v>
      </c>
      <c r="FQ596" s="27">
        <f t="shared" si="589"/>
        <v>0</v>
      </c>
      <c r="FR596" s="27">
        <f t="shared" si="589"/>
        <v>0</v>
      </c>
      <c r="FS596" s="27">
        <f t="shared" si="589"/>
        <v>0</v>
      </c>
      <c r="FT596" s="27">
        <f t="shared" si="589"/>
        <v>0</v>
      </c>
      <c r="FU596" s="27">
        <f t="shared" si="589"/>
        <v>0</v>
      </c>
      <c r="FV596" s="27">
        <f t="shared" si="589"/>
        <v>0</v>
      </c>
      <c r="FW596" s="28"/>
      <c r="FX596" s="29">
        <f t="shared" si="3"/>
        <v>0</v>
      </c>
    </row>
    <row r="597" spans="1:180" ht="18" customHeight="1" x14ac:dyDescent="0.25">
      <c r="A597" s="3" t="str">
        <f>IF(C597&lt;&gt;"","DRG-"&amp;TEXT(592,"000"),"")</f>
        <v/>
      </c>
      <c r="B597" s="33"/>
      <c r="C597" s="33"/>
      <c r="D597" s="33"/>
      <c r="E597" s="33"/>
      <c r="F597" s="33"/>
      <c r="G597" s="33"/>
      <c r="H597" s="33"/>
      <c r="I597" s="33"/>
      <c r="J597" s="33"/>
      <c r="K597" s="33"/>
      <c r="L597" s="37">
        <v>4</v>
      </c>
      <c r="M597" s="30" t="str">
        <f t="shared" si="0"/>
        <v>✘ Pending</v>
      </c>
      <c r="N597" s="30">
        <f t="shared" si="1"/>
        <v>0</v>
      </c>
      <c r="O597" s="31"/>
      <c r="P597" s="32"/>
      <c r="Q597" s="33"/>
      <c r="R597" s="33"/>
      <c r="S597" s="33"/>
      <c r="T597" s="33"/>
      <c r="U597" s="33"/>
      <c r="V597" s="33"/>
      <c r="W597" s="33"/>
      <c r="X597" s="33"/>
      <c r="Y597" s="33"/>
      <c r="Z597" s="33"/>
      <c r="AA597" s="33"/>
      <c r="AB597" s="31"/>
      <c r="AC597" s="32"/>
      <c r="AD597" s="33"/>
      <c r="AE597" s="33"/>
      <c r="AF597" s="33"/>
      <c r="AG597" s="33"/>
      <c r="AH597" s="33"/>
      <c r="AI597" s="33"/>
      <c r="AJ597" s="33"/>
      <c r="AK597" s="33"/>
      <c r="AL597" s="33"/>
      <c r="AM597" s="33"/>
      <c r="AN597" s="33"/>
      <c r="AO597" s="31"/>
      <c r="AP597" s="32"/>
      <c r="AQ597" s="33"/>
      <c r="AR597" s="33"/>
      <c r="AS597" s="33"/>
      <c r="AT597" s="33"/>
      <c r="AU597" s="33"/>
      <c r="AV597" s="33"/>
      <c r="AW597" s="33"/>
      <c r="AX597" s="33"/>
      <c r="AY597" s="33"/>
      <c r="AZ597" s="33"/>
      <c r="BA597" s="33"/>
      <c r="BB597" s="31"/>
      <c r="BC597" s="32"/>
      <c r="BD597" s="33"/>
      <c r="BE597" s="33"/>
      <c r="BF597" s="33"/>
      <c r="BG597" s="33"/>
      <c r="BH597" s="33"/>
      <c r="BI597" s="33"/>
      <c r="BJ597" s="33"/>
      <c r="BK597" s="33"/>
      <c r="BL597" s="33"/>
      <c r="BM597" s="33"/>
      <c r="BN597" s="33"/>
      <c r="BO597" s="31"/>
      <c r="BP597" s="32"/>
      <c r="BQ597" s="33"/>
      <c r="BR597" s="33"/>
      <c r="BS597" s="33"/>
      <c r="BT597" s="33"/>
      <c r="BU597" s="33"/>
      <c r="BV597" s="33"/>
      <c r="BW597" s="33"/>
      <c r="BX597" s="33"/>
      <c r="BY597" s="33"/>
      <c r="BZ597" s="33"/>
      <c r="CA597" s="33"/>
      <c r="CB597" s="31"/>
      <c r="CC597" s="32"/>
      <c r="CD597" s="33"/>
      <c r="CE597" s="33"/>
      <c r="CF597" s="33"/>
      <c r="CG597" s="33"/>
      <c r="CH597" s="33"/>
      <c r="CI597" s="33"/>
      <c r="CJ597" s="33"/>
      <c r="CK597" s="33"/>
      <c r="CL597" s="33"/>
      <c r="CM597" s="33"/>
      <c r="CN597" s="33"/>
      <c r="CO597" s="31"/>
      <c r="CP597" s="32"/>
      <c r="CQ597" s="33"/>
      <c r="CR597" s="33"/>
      <c r="CS597" s="33"/>
      <c r="CT597" s="33"/>
      <c r="CU597" s="33"/>
      <c r="CV597" s="33"/>
      <c r="CW597" s="33"/>
      <c r="CX597" s="33"/>
      <c r="CY597" s="33"/>
      <c r="CZ597" s="33"/>
      <c r="DA597" s="33"/>
      <c r="DB597" s="31"/>
      <c r="DC597" s="32"/>
      <c r="DD597" s="33"/>
      <c r="DE597" s="33"/>
      <c r="DF597" s="33"/>
      <c r="DG597" s="33"/>
      <c r="DH597" s="33"/>
      <c r="DI597" s="33"/>
      <c r="DJ597" s="33"/>
      <c r="DK597" s="33"/>
      <c r="DL597" s="33"/>
      <c r="DM597" s="33"/>
      <c r="DN597" s="33"/>
      <c r="DO597" s="31"/>
      <c r="DP597" s="32"/>
      <c r="DQ597" s="33"/>
      <c r="DR597" s="33"/>
      <c r="DS597" s="33"/>
      <c r="DT597" s="33"/>
      <c r="DU597" s="33"/>
      <c r="DV597" s="33"/>
      <c r="DW597" s="33"/>
      <c r="DX597" s="33"/>
      <c r="DY597" s="33"/>
      <c r="DZ597" s="33"/>
      <c r="EA597" s="33"/>
      <c r="EB597" s="31"/>
      <c r="EC597" s="32"/>
      <c r="ED597" s="33"/>
      <c r="EE597" s="33"/>
      <c r="EF597" s="33"/>
      <c r="EG597" s="33"/>
      <c r="EH597" s="33"/>
      <c r="EI597" s="33"/>
      <c r="EJ597" s="33"/>
      <c r="EK597" s="33"/>
      <c r="EL597" s="33"/>
      <c r="EM597" s="33"/>
      <c r="EN597" s="33"/>
      <c r="EO597" s="31"/>
      <c r="EP597" s="32"/>
      <c r="EQ597" s="33"/>
      <c r="ER597" s="33"/>
      <c r="ES597" s="33"/>
      <c r="ET597" s="33"/>
      <c r="EU597" s="33"/>
      <c r="EV597" s="33"/>
      <c r="EW597" s="33"/>
      <c r="EX597" s="33"/>
      <c r="EY597" s="33"/>
      <c r="EZ597" s="33"/>
      <c r="FA597" s="33"/>
      <c r="FB597" s="31"/>
      <c r="FC597" s="32"/>
      <c r="FD597" s="33"/>
      <c r="FE597" s="33"/>
      <c r="FF597" s="33"/>
      <c r="FG597" s="33"/>
      <c r="FH597" s="33"/>
      <c r="FI597" s="33"/>
      <c r="FJ597" s="33"/>
      <c r="FK597" s="33"/>
      <c r="FL597" s="33"/>
      <c r="FM597" s="33"/>
      <c r="FN597" s="33"/>
      <c r="FO597" s="34">
        <f t="shared" ref="FO597:FV597" si="590">IFERROR(R597*1,0)+IFERROR(AE597*1,0)+IFERROR(AR597*1,0)+IFERROR(BE597*1,0)+IFERROR(BR597*1,0)+IFERROR(CE597*1,0)+IFERROR(CR597*1,0)+IFERROR(DE597*1,0)+IFERROR(DR597*1,0)+IFERROR(EE597*1,0)+IFERROR(ER597*1,0)+IFERROR(FE597*1,0)</f>
        <v>0</v>
      </c>
      <c r="FP597" s="34">
        <f t="shared" si="590"/>
        <v>0</v>
      </c>
      <c r="FQ597" s="34">
        <f t="shared" si="590"/>
        <v>0</v>
      </c>
      <c r="FR597" s="34">
        <f t="shared" si="590"/>
        <v>0</v>
      </c>
      <c r="FS597" s="34">
        <f t="shared" si="590"/>
        <v>0</v>
      </c>
      <c r="FT597" s="34">
        <f t="shared" si="590"/>
        <v>0</v>
      </c>
      <c r="FU597" s="34">
        <f t="shared" si="590"/>
        <v>0</v>
      </c>
      <c r="FV597" s="34">
        <f t="shared" si="590"/>
        <v>0</v>
      </c>
      <c r="FW597" s="28"/>
      <c r="FX597" s="29">
        <f t="shared" si="3"/>
        <v>0</v>
      </c>
    </row>
    <row r="598" spans="1:180" ht="18" customHeight="1" x14ac:dyDescent="0.25">
      <c r="A598" s="3" t="str">
        <f>IF(C598&lt;&gt;"","DRG-"&amp;TEXT(593,"000"),"")</f>
        <v/>
      </c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38">
        <v>4</v>
      </c>
      <c r="M598" s="23" t="str">
        <f t="shared" si="0"/>
        <v>✘ Pending</v>
      </c>
      <c r="N598" s="23">
        <f t="shared" si="1"/>
        <v>0</v>
      </c>
      <c r="O598" s="25"/>
      <c r="P598" s="26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  <c r="AB598" s="25"/>
      <c r="AC598" s="26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5"/>
      <c r="AP598" s="26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5"/>
      <c r="BC598" s="26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5"/>
      <c r="BP598" s="26"/>
      <c r="BQ598" s="24"/>
      <c r="BR598" s="24"/>
      <c r="BS598" s="24"/>
      <c r="BT598" s="24"/>
      <c r="BU598" s="24"/>
      <c r="BV598" s="24"/>
      <c r="BW598" s="24"/>
      <c r="BX598" s="24"/>
      <c r="BY598" s="24"/>
      <c r="BZ598" s="24"/>
      <c r="CA598" s="24"/>
      <c r="CB598" s="25"/>
      <c r="CC598" s="26"/>
      <c r="CD598" s="24"/>
      <c r="CE598" s="24"/>
      <c r="CF598" s="24"/>
      <c r="CG598" s="24"/>
      <c r="CH598" s="24"/>
      <c r="CI598" s="24"/>
      <c r="CJ598" s="24"/>
      <c r="CK598" s="24"/>
      <c r="CL598" s="24"/>
      <c r="CM598" s="24"/>
      <c r="CN598" s="24"/>
      <c r="CO598" s="25"/>
      <c r="CP598" s="26"/>
      <c r="CQ598" s="24"/>
      <c r="CR598" s="24"/>
      <c r="CS598" s="24"/>
      <c r="CT598" s="24"/>
      <c r="CU598" s="24"/>
      <c r="CV598" s="24"/>
      <c r="CW598" s="24"/>
      <c r="CX598" s="24"/>
      <c r="CY598" s="24"/>
      <c r="CZ598" s="24"/>
      <c r="DA598" s="24"/>
      <c r="DB598" s="25"/>
      <c r="DC598" s="26"/>
      <c r="DD598" s="24"/>
      <c r="DE598" s="24"/>
      <c r="DF598" s="24"/>
      <c r="DG598" s="24"/>
      <c r="DH598" s="24"/>
      <c r="DI598" s="24"/>
      <c r="DJ598" s="24"/>
      <c r="DK598" s="24"/>
      <c r="DL598" s="24"/>
      <c r="DM598" s="24"/>
      <c r="DN598" s="24"/>
      <c r="DO598" s="25"/>
      <c r="DP598" s="26"/>
      <c r="DQ598" s="24"/>
      <c r="DR598" s="24"/>
      <c r="DS598" s="24"/>
      <c r="DT598" s="24"/>
      <c r="DU598" s="24"/>
      <c r="DV598" s="24"/>
      <c r="DW598" s="24"/>
      <c r="DX598" s="24"/>
      <c r="DY598" s="24"/>
      <c r="DZ598" s="24"/>
      <c r="EA598" s="24"/>
      <c r="EB598" s="25"/>
      <c r="EC598" s="26"/>
      <c r="ED598" s="24"/>
      <c r="EE598" s="24"/>
      <c r="EF598" s="24"/>
      <c r="EG598" s="24"/>
      <c r="EH598" s="24"/>
      <c r="EI598" s="24"/>
      <c r="EJ598" s="24"/>
      <c r="EK598" s="24"/>
      <c r="EL598" s="24"/>
      <c r="EM598" s="24"/>
      <c r="EN598" s="24"/>
      <c r="EO598" s="25"/>
      <c r="EP598" s="26"/>
      <c r="EQ598" s="24"/>
      <c r="ER598" s="24"/>
      <c r="ES598" s="24"/>
      <c r="ET598" s="24"/>
      <c r="EU598" s="24"/>
      <c r="EV598" s="24"/>
      <c r="EW598" s="24"/>
      <c r="EX598" s="24"/>
      <c r="EY598" s="24"/>
      <c r="EZ598" s="24"/>
      <c r="FA598" s="24"/>
      <c r="FB598" s="25"/>
      <c r="FC598" s="26"/>
      <c r="FD598" s="24"/>
      <c r="FE598" s="24"/>
      <c r="FF598" s="24"/>
      <c r="FG598" s="24"/>
      <c r="FH598" s="24"/>
      <c r="FI598" s="24"/>
      <c r="FJ598" s="24"/>
      <c r="FK598" s="24"/>
      <c r="FL598" s="24"/>
      <c r="FM598" s="24"/>
      <c r="FN598" s="24"/>
      <c r="FO598" s="27">
        <f t="shared" ref="FO598:FV598" si="591">IFERROR(R598*1,0)+IFERROR(AE598*1,0)+IFERROR(AR598*1,0)+IFERROR(BE598*1,0)+IFERROR(BR598*1,0)+IFERROR(CE598*1,0)+IFERROR(CR598*1,0)+IFERROR(DE598*1,0)+IFERROR(DR598*1,0)+IFERROR(EE598*1,0)+IFERROR(ER598*1,0)+IFERROR(FE598*1,0)</f>
        <v>0</v>
      </c>
      <c r="FP598" s="27">
        <f t="shared" si="591"/>
        <v>0</v>
      </c>
      <c r="FQ598" s="27">
        <f t="shared" si="591"/>
        <v>0</v>
      </c>
      <c r="FR598" s="27">
        <f t="shared" si="591"/>
        <v>0</v>
      </c>
      <c r="FS598" s="27">
        <f t="shared" si="591"/>
        <v>0</v>
      </c>
      <c r="FT598" s="27">
        <f t="shared" si="591"/>
        <v>0</v>
      </c>
      <c r="FU598" s="27">
        <f t="shared" si="591"/>
        <v>0</v>
      </c>
      <c r="FV598" s="27">
        <f t="shared" si="591"/>
        <v>0</v>
      </c>
      <c r="FW598" s="28"/>
      <c r="FX598" s="29">
        <f t="shared" si="3"/>
        <v>0</v>
      </c>
    </row>
    <row r="599" spans="1:180" ht="18" customHeight="1" x14ac:dyDescent="0.25">
      <c r="A599" s="3" t="str">
        <f>IF(C599&lt;&gt;"","DRG-"&amp;TEXT(594,"000"),"")</f>
        <v/>
      </c>
      <c r="B599" s="33"/>
      <c r="C599" s="33"/>
      <c r="D599" s="33"/>
      <c r="E599" s="33"/>
      <c r="F599" s="33"/>
      <c r="G599" s="33"/>
      <c r="H599" s="33"/>
      <c r="I599" s="33"/>
      <c r="J599" s="33"/>
      <c r="K599" s="33"/>
      <c r="L599" s="37">
        <v>4</v>
      </c>
      <c r="M599" s="30" t="str">
        <f t="shared" si="0"/>
        <v>✘ Pending</v>
      </c>
      <c r="N599" s="30">
        <f t="shared" si="1"/>
        <v>0</v>
      </c>
      <c r="O599" s="31"/>
      <c r="P599" s="32"/>
      <c r="Q599" s="33"/>
      <c r="R599" s="33"/>
      <c r="S599" s="33"/>
      <c r="T599" s="33"/>
      <c r="U599" s="33"/>
      <c r="V599" s="33"/>
      <c r="W599" s="33"/>
      <c r="X599" s="33"/>
      <c r="Y599" s="33"/>
      <c r="Z599" s="33"/>
      <c r="AA599" s="33"/>
      <c r="AB599" s="31"/>
      <c r="AC599" s="32"/>
      <c r="AD599" s="33"/>
      <c r="AE599" s="33"/>
      <c r="AF599" s="33"/>
      <c r="AG599" s="33"/>
      <c r="AH599" s="33"/>
      <c r="AI599" s="33"/>
      <c r="AJ599" s="33"/>
      <c r="AK599" s="33"/>
      <c r="AL599" s="33"/>
      <c r="AM599" s="33"/>
      <c r="AN599" s="33"/>
      <c r="AO599" s="31"/>
      <c r="AP599" s="32"/>
      <c r="AQ599" s="33"/>
      <c r="AR599" s="33"/>
      <c r="AS599" s="33"/>
      <c r="AT599" s="33"/>
      <c r="AU599" s="33"/>
      <c r="AV599" s="33"/>
      <c r="AW599" s="33"/>
      <c r="AX599" s="33"/>
      <c r="AY599" s="33"/>
      <c r="AZ599" s="33"/>
      <c r="BA599" s="33"/>
      <c r="BB599" s="31"/>
      <c r="BC599" s="32"/>
      <c r="BD599" s="33"/>
      <c r="BE599" s="33"/>
      <c r="BF599" s="33"/>
      <c r="BG599" s="33"/>
      <c r="BH599" s="33"/>
      <c r="BI599" s="33"/>
      <c r="BJ599" s="33"/>
      <c r="BK599" s="33"/>
      <c r="BL599" s="33"/>
      <c r="BM599" s="33"/>
      <c r="BN599" s="33"/>
      <c r="BO599" s="31"/>
      <c r="BP599" s="32"/>
      <c r="BQ599" s="33"/>
      <c r="BR599" s="33"/>
      <c r="BS599" s="33"/>
      <c r="BT599" s="33"/>
      <c r="BU599" s="33"/>
      <c r="BV599" s="33"/>
      <c r="BW599" s="33"/>
      <c r="BX599" s="33"/>
      <c r="BY599" s="33"/>
      <c r="BZ599" s="33"/>
      <c r="CA599" s="33"/>
      <c r="CB599" s="31"/>
      <c r="CC599" s="32"/>
      <c r="CD599" s="33"/>
      <c r="CE599" s="33"/>
      <c r="CF599" s="33"/>
      <c r="CG599" s="33"/>
      <c r="CH599" s="33"/>
      <c r="CI599" s="33"/>
      <c r="CJ599" s="33"/>
      <c r="CK599" s="33"/>
      <c r="CL599" s="33"/>
      <c r="CM599" s="33"/>
      <c r="CN599" s="33"/>
      <c r="CO599" s="31"/>
      <c r="CP599" s="32"/>
      <c r="CQ599" s="33"/>
      <c r="CR599" s="33"/>
      <c r="CS599" s="33"/>
      <c r="CT599" s="33"/>
      <c r="CU599" s="33"/>
      <c r="CV599" s="33"/>
      <c r="CW599" s="33"/>
      <c r="CX599" s="33"/>
      <c r="CY599" s="33"/>
      <c r="CZ599" s="33"/>
      <c r="DA599" s="33"/>
      <c r="DB599" s="31"/>
      <c r="DC599" s="32"/>
      <c r="DD599" s="33"/>
      <c r="DE599" s="33"/>
      <c r="DF599" s="33"/>
      <c r="DG599" s="33"/>
      <c r="DH599" s="33"/>
      <c r="DI599" s="33"/>
      <c r="DJ599" s="33"/>
      <c r="DK599" s="33"/>
      <c r="DL599" s="33"/>
      <c r="DM599" s="33"/>
      <c r="DN599" s="33"/>
      <c r="DO599" s="31"/>
      <c r="DP599" s="32"/>
      <c r="DQ599" s="33"/>
      <c r="DR599" s="33"/>
      <c r="DS599" s="33"/>
      <c r="DT599" s="33"/>
      <c r="DU599" s="33"/>
      <c r="DV599" s="33"/>
      <c r="DW599" s="33"/>
      <c r="DX599" s="33"/>
      <c r="DY599" s="33"/>
      <c r="DZ599" s="33"/>
      <c r="EA599" s="33"/>
      <c r="EB599" s="31"/>
      <c r="EC599" s="32"/>
      <c r="ED599" s="33"/>
      <c r="EE599" s="33"/>
      <c r="EF599" s="33"/>
      <c r="EG599" s="33"/>
      <c r="EH599" s="33"/>
      <c r="EI599" s="33"/>
      <c r="EJ599" s="33"/>
      <c r="EK599" s="33"/>
      <c r="EL599" s="33"/>
      <c r="EM599" s="33"/>
      <c r="EN599" s="33"/>
      <c r="EO599" s="31"/>
      <c r="EP599" s="32"/>
      <c r="EQ599" s="33"/>
      <c r="ER599" s="33"/>
      <c r="ES599" s="33"/>
      <c r="ET599" s="33"/>
      <c r="EU599" s="33"/>
      <c r="EV599" s="33"/>
      <c r="EW599" s="33"/>
      <c r="EX599" s="33"/>
      <c r="EY599" s="33"/>
      <c r="EZ599" s="33"/>
      <c r="FA599" s="33"/>
      <c r="FB599" s="31"/>
      <c r="FC599" s="32"/>
      <c r="FD599" s="33"/>
      <c r="FE599" s="33"/>
      <c r="FF599" s="33"/>
      <c r="FG599" s="33"/>
      <c r="FH599" s="33"/>
      <c r="FI599" s="33"/>
      <c r="FJ599" s="33"/>
      <c r="FK599" s="33"/>
      <c r="FL599" s="33"/>
      <c r="FM599" s="33"/>
      <c r="FN599" s="33"/>
      <c r="FO599" s="34">
        <f t="shared" ref="FO599:FV599" si="592">IFERROR(R599*1,0)+IFERROR(AE599*1,0)+IFERROR(AR599*1,0)+IFERROR(BE599*1,0)+IFERROR(BR599*1,0)+IFERROR(CE599*1,0)+IFERROR(CR599*1,0)+IFERROR(DE599*1,0)+IFERROR(DR599*1,0)+IFERROR(EE599*1,0)+IFERROR(ER599*1,0)+IFERROR(FE599*1,0)</f>
        <v>0</v>
      </c>
      <c r="FP599" s="34">
        <f t="shared" si="592"/>
        <v>0</v>
      </c>
      <c r="FQ599" s="34">
        <f t="shared" si="592"/>
        <v>0</v>
      </c>
      <c r="FR599" s="34">
        <f t="shared" si="592"/>
        <v>0</v>
      </c>
      <c r="FS599" s="34">
        <f t="shared" si="592"/>
        <v>0</v>
      </c>
      <c r="FT599" s="34">
        <f t="shared" si="592"/>
        <v>0</v>
      </c>
      <c r="FU599" s="34">
        <f t="shared" si="592"/>
        <v>0</v>
      </c>
      <c r="FV599" s="34">
        <f t="shared" si="592"/>
        <v>0</v>
      </c>
      <c r="FW599" s="28"/>
      <c r="FX599" s="29">
        <f t="shared" si="3"/>
        <v>0</v>
      </c>
    </row>
    <row r="600" spans="1:180" ht="18" customHeight="1" x14ac:dyDescent="0.25">
      <c r="A600" s="3" t="str">
        <f>IF(C600&lt;&gt;"","DRG-"&amp;TEXT(595,"000"),"")</f>
        <v/>
      </c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38">
        <v>4</v>
      </c>
      <c r="M600" s="23" t="str">
        <f t="shared" si="0"/>
        <v>✘ Pending</v>
      </c>
      <c r="N600" s="23">
        <f t="shared" si="1"/>
        <v>0</v>
      </c>
      <c r="O600" s="25"/>
      <c r="P600" s="26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  <c r="AB600" s="25"/>
      <c r="AC600" s="26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5"/>
      <c r="AP600" s="26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5"/>
      <c r="BC600" s="26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5"/>
      <c r="BP600" s="26"/>
      <c r="BQ600" s="24"/>
      <c r="BR600" s="24"/>
      <c r="BS600" s="24"/>
      <c r="BT600" s="24"/>
      <c r="BU600" s="24"/>
      <c r="BV600" s="24"/>
      <c r="BW600" s="24"/>
      <c r="BX600" s="24"/>
      <c r="BY600" s="24"/>
      <c r="BZ600" s="24"/>
      <c r="CA600" s="24"/>
      <c r="CB600" s="25"/>
      <c r="CC600" s="26"/>
      <c r="CD600" s="24"/>
      <c r="CE600" s="24"/>
      <c r="CF600" s="24"/>
      <c r="CG600" s="24"/>
      <c r="CH600" s="24"/>
      <c r="CI600" s="24"/>
      <c r="CJ600" s="24"/>
      <c r="CK600" s="24"/>
      <c r="CL600" s="24"/>
      <c r="CM600" s="24"/>
      <c r="CN600" s="24"/>
      <c r="CO600" s="25"/>
      <c r="CP600" s="26"/>
      <c r="CQ600" s="24"/>
      <c r="CR600" s="24"/>
      <c r="CS600" s="24"/>
      <c r="CT600" s="24"/>
      <c r="CU600" s="24"/>
      <c r="CV600" s="24"/>
      <c r="CW600" s="24"/>
      <c r="CX600" s="24"/>
      <c r="CY600" s="24"/>
      <c r="CZ600" s="24"/>
      <c r="DA600" s="24"/>
      <c r="DB600" s="25"/>
      <c r="DC600" s="26"/>
      <c r="DD600" s="24"/>
      <c r="DE600" s="24"/>
      <c r="DF600" s="24"/>
      <c r="DG600" s="24"/>
      <c r="DH600" s="24"/>
      <c r="DI600" s="24"/>
      <c r="DJ600" s="24"/>
      <c r="DK600" s="24"/>
      <c r="DL600" s="24"/>
      <c r="DM600" s="24"/>
      <c r="DN600" s="24"/>
      <c r="DO600" s="25"/>
      <c r="DP600" s="26"/>
      <c r="DQ600" s="24"/>
      <c r="DR600" s="24"/>
      <c r="DS600" s="24"/>
      <c r="DT600" s="24"/>
      <c r="DU600" s="24"/>
      <c r="DV600" s="24"/>
      <c r="DW600" s="24"/>
      <c r="DX600" s="24"/>
      <c r="DY600" s="24"/>
      <c r="DZ600" s="24"/>
      <c r="EA600" s="24"/>
      <c r="EB600" s="25"/>
      <c r="EC600" s="26"/>
      <c r="ED600" s="24"/>
      <c r="EE600" s="24"/>
      <c r="EF600" s="24"/>
      <c r="EG600" s="24"/>
      <c r="EH600" s="24"/>
      <c r="EI600" s="24"/>
      <c r="EJ600" s="24"/>
      <c r="EK600" s="24"/>
      <c r="EL600" s="24"/>
      <c r="EM600" s="24"/>
      <c r="EN600" s="24"/>
      <c r="EO600" s="25"/>
      <c r="EP600" s="26"/>
      <c r="EQ600" s="24"/>
      <c r="ER600" s="24"/>
      <c r="ES600" s="24"/>
      <c r="ET600" s="24"/>
      <c r="EU600" s="24"/>
      <c r="EV600" s="24"/>
      <c r="EW600" s="24"/>
      <c r="EX600" s="24"/>
      <c r="EY600" s="24"/>
      <c r="EZ600" s="24"/>
      <c r="FA600" s="24"/>
      <c r="FB600" s="25"/>
      <c r="FC600" s="26"/>
      <c r="FD600" s="24"/>
      <c r="FE600" s="24"/>
      <c r="FF600" s="24"/>
      <c r="FG600" s="24"/>
      <c r="FH600" s="24"/>
      <c r="FI600" s="24"/>
      <c r="FJ600" s="24"/>
      <c r="FK600" s="24"/>
      <c r="FL600" s="24"/>
      <c r="FM600" s="24"/>
      <c r="FN600" s="24"/>
      <c r="FO600" s="27">
        <f t="shared" ref="FO600:FV600" si="593">IFERROR(R600*1,0)+IFERROR(AE600*1,0)+IFERROR(AR600*1,0)+IFERROR(BE600*1,0)+IFERROR(BR600*1,0)+IFERROR(CE600*1,0)+IFERROR(CR600*1,0)+IFERROR(DE600*1,0)+IFERROR(DR600*1,0)+IFERROR(EE600*1,0)+IFERROR(ER600*1,0)+IFERROR(FE600*1,0)</f>
        <v>0</v>
      </c>
      <c r="FP600" s="27">
        <f t="shared" si="593"/>
        <v>0</v>
      </c>
      <c r="FQ600" s="27">
        <f t="shared" si="593"/>
        <v>0</v>
      </c>
      <c r="FR600" s="27">
        <f t="shared" si="593"/>
        <v>0</v>
      </c>
      <c r="FS600" s="27">
        <f t="shared" si="593"/>
        <v>0</v>
      </c>
      <c r="FT600" s="27">
        <f t="shared" si="593"/>
        <v>0</v>
      </c>
      <c r="FU600" s="27">
        <f t="shared" si="593"/>
        <v>0</v>
      </c>
      <c r="FV600" s="27">
        <f t="shared" si="593"/>
        <v>0</v>
      </c>
      <c r="FW600" s="28"/>
      <c r="FX600" s="29">
        <f t="shared" si="3"/>
        <v>0</v>
      </c>
    </row>
    <row r="601" spans="1:180" ht="18" customHeight="1" x14ac:dyDescent="0.25">
      <c r="A601" s="3" t="str">
        <f>IF(C601&lt;&gt;"","DRG-"&amp;TEXT(596,"000"),"")</f>
        <v/>
      </c>
      <c r="B601" s="33"/>
      <c r="C601" s="33"/>
      <c r="D601" s="33"/>
      <c r="E601" s="33"/>
      <c r="F601" s="33"/>
      <c r="G601" s="33"/>
      <c r="H601" s="33"/>
      <c r="I601" s="33"/>
      <c r="J601" s="33"/>
      <c r="K601" s="33"/>
      <c r="L601" s="37">
        <v>4</v>
      </c>
      <c r="M601" s="30" t="str">
        <f t="shared" si="0"/>
        <v>✘ Pending</v>
      </c>
      <c r="N601" s="30">
        <f t="shared" si="1"/>
        <v>0</v>
      </c>
      <c r="O601" s="31"/>
      <c r="P601" s="32"/>
      <c r="Q601" s="33"/>
      <c r="R601" s="33"/>
      <c r="S601" s="33"/>
      <c r="T601" s="33"/>
      <c r="U601" s="33"/>
      <c r="V601" s="33"/>
      <c r="W601" s="33"/>
      <c r="X601" s="33"/>
      <c r="Y601" s="33"/>
      <c r="Z601" s="33"/>
      <c r="AA601" s="33"/>
      <c r="AB601" s="31"/>
      <c r="AC601" s="32"/>
      <c r="AD601" s="33"/>
      <c r="AE601" s="33"/>
      <c r="AF601" s="33"/>
      <c r="AG601" s="33"/>
      <c r="AH601" s="33"/>
      <c r="AI601" s="33"/>
      <c r="AJ601" s="33"/>
      <c r="AK601" s="33"/>
      <c r="AL601" s="33"/>
      <c r="AM601" s="33"/>
      <c r="AN601" s="33"/>
      <c r="AO601" s="31"/>
      <c r="AP601" s="32"/>
      <c r="AQ601" s="33"/>
      <c r="AR601" s="33"/>
      <c r="AS601" s="33"/>
      <c r="AT601" s="33"/>
      <c r="AU601" s="33"/>
      <c r="AV601" s="33"/>
      <c r="AW601" s="33"/>
      <c r="AX601" s="33"/>
      <c r="AY601" s="33"/>
      <c r="AZ601" s="33"/>
      <c r="BA601" s="33"/>
      <c r="BB601" s="31"/>
      <c r="BC601" s="32"/>
      <c r="BD601" s="33"/>
      <c r="BE601" s="33"/>
      <c r="BF601" s="33"/>
      <c r="BG601" s="33"/>
      <c r="BH601" s="33"/>
      <c r="BI601" s="33"/>
      <c r="BJ601" s="33"/>
      <c r="BK601" s="33"/>
      <c r="BL601" s="33"/>
      <c r="BM601" s="33"/>
      <c r="BN601" s="33"/>
      <c r="BO601" s="31"/>
      <c r="BP601" s="32"/>
      <c r="BQ601" s="33"/>
      <c r="BR601" s="33"/>
      <c r="BS601" s="33"/>
      <c r="BT601" s="33"/>
      <c r="BU601" s="33"/>
      <c r="BV601" s="33"/>
      <c r="BW601" s="33"/>
      <c r="BX601" s="33"/>
      <c r="BY601" s="33"/>
      <c r="BZ601" s="33"/>
      <c r="CA601" s="33"/>
      <c r="CB601" s="31"/>
      <c r="CC601" s="32"/>
      <c r="CD601" s="33"/>
      <c r="CE601" s="33"/>
      <c r="CF601" s="33"/>
      <c r="CG601" s="33"/>
      <c r="CH601" s="33"/>
      <c r="CI601" s="33"/>
      <c r="CJ601" s="33"/>
      <c r="CK601" s="33"/>
      <c r="CL601" s="33"/>
      <c r="CM601" s="33"/>
      <c r="CN601" s="33"/>
      <c r="CO601" s="31"/>
      <c r="CP601" s="32"/>
      <c r="CQ601" s="33"/>
      <c r="CR601" s="33"/>
      <c r="CS601" s="33"/>
      <c r="CT601" s="33"/>
      <c r="CU601" s="33"/>
      <c r="CV601" s="33"/>
      <c r="CW601" s="33"/>
      <c r="CX601" s="33"/>
      <c r="CY601" s="33"/>
      <c r="CZ601" s="33"/>
      <c r="DA601" s="33"/>
      <c r="DB601" s="31"/>
      <c r="DC601" s="32"/>
      <c r="DD601" s="33"/>
      <c r="DE601" s="33"/>
      <c r="DF601" s="33"/>
      <c r="DG601" s="33"/>
      <c r="DH601" s="33"/>
      <c r="DI601" s="33"/>
      <c r="DJ601" s="33"/>
      <c r="DK601" s="33"/>
      <c r="DL601" s="33"/>
      <c r="DM601" s="33"/>
      <c r="DN601" s="33"/>
      <c r="DO601" s="31"/>
      <c r="DP601" s="32"/>
      <c r="DQ601" s="33"/>
      <c r="DR601" s="33"/>
      <c r="DS601" s="33"/>
      <c r="DT601" s="33"/>
      <c r="DU601" s="33"/>
      <c r="DV601" s="33"/>
      <c r="DW601" s="33"/>
      <c r="DX601" s="33"/>
      <c r="DY601" s="33"/>
      <c r="DZ601" s="33"/>
      <c r="EA601" s="33"/>
      <c r="EB601" s="31"/>
      <c r="EC601" s="32"/>
      <c r="ED601" s="33"/>
      <c r="EE601" s="33"/>
      <c r="EF601" s="33"/>
      <c r="EG601" s="33"/>
      <c r="EH601" s="33"/>
      <c r="EI601" s="33"/>
      <c r="EJ601" s="33"/>
      <c r="EK601" s="33"/>
      <c r="EL601" s="33"/>
      <c r="EM601" s="33"/>
      <c r="EN601" s="33"/>
      <c r="EO601" s="31"/>
      <c r="EP601" s="32"/>
      <c r="EQ601" s="33"/>
      <c r="ER601" s="33"/>
      <c r="ES601" s="33"/>
      <c r="ET601" s="33"/>
      <c r="EU601" s="33"/>
      <c r="EV601" s="33"/>
      <c r="EW601" s="33"/>
      <c r="EX601" s="33"/>
      <c r="EY601" s="33"/>
      <c r="EZ601" s="33"/>
      <c r="FA601" s="33"/>
      <c r="FB601" s="31"/>
      <c r="FC601" s="32"/>
      <c r="FD601" s="33"/>
      <c r="FE601" s="33"/>
      <c r="FF601" s="33"/>
      <c r="FG601" s="33"/>
      <c r="FH601" s="33"/>
      <c r="FI601" s="33"/>
      <c r="FJ601" s="33"/>
      <c r="FK601" s="33"/>
      <c r="FL601" s="33"/>
      <c r="FM601" s="33"/>
      <c r="FN601" s="33"/>
      <c r="FO601" s="34">
        <f t="shared" ref="FO601:FV601" si="594">IFERROR(R601*1,0)+IFERROR(AE601*1,0)+IFERROR(AR601*1,0)+IFERROR(BE601*1,0)+IFERROR(BR601*1,0)+IFERROR(CE601*1,0)+IFERROR(CR601*1,0)+IFERROR(DE601*1,0)+IFERROR(DR601*1,0)+IFERROR(EE601*1,0)+IFERROR(ER601*1,0)+IFERROR(FE601*1,0)</f>
        <v>0</v>
      </c>
      <c r="FP601" s="34">
        <f t="shared" si="594"/>
        <v>0</v>
      </c>
      <c r="FQ601" s="34">
        <f t="shared" si="594"/>
        <v>0</v>
      </c>
      <c r="FR601" s="34">
        <f t="shared" si="594"/>
        <v>0</v>
      </c>
      <c r="FS601" s="34">
        <f t="shared" si="594"/>
        <v>0</v>
      </c>
      <c r="FT601" s="34">
        <f t="shared" si="594"/>
        <v>0</v>
      </c>
      <c r="FU601" s="34">
        <f t="shared" si="594"/>
        <v>0</v>
      </c>
      <c r="FV601" s="34">
        <f t="shared" si="594"/>
        <v>0</v>
      </c>
      <c r="FW601" s="28"/>
      <c r="FX601" s="29">
        <f t="shared" si="3"/>
        <v>0</v>
      </c>
    </row>
    <row r="602" spans="1:180" ht="18" customHeight="1" x14ac:dyDescent="0.25">
      <c r="A602" s="3" t="str">
        <f>IF(C602&lt;&gt;"","DRG-"&amp;TEXT(597,"000"),"")</f>
        <v/>
      </c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38">
        <v>4</v>
      </c>
      <c r="M602" s="23" t="str">
        <f t="shared" si="0"/>
        <v>✘ Pending</v>
      </c>
      <c r="N602" s="23">
        <f t="shared" si="1"/>
        <v>0</v>
      </c>
      <c r="O602" s="25"/>
      <c r="P602" s="26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  <c r="AB602" s="25"/>
      <c r="AC602" s="26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5"/>
      <c r="AP602" s="26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5"/>
      <c r="BC602" s="26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5"/>
      <c r="BP602" s="26"/>
      <c r="BQ602" s="24"/>
      <c r="BR602" s="24"/>
      <c r="BS602" s="24"/>
      <c r="BT602" s="24"/>
      <c r="BU602" s="24"/>
      <c r="BV602" s="24"/>
      <c r="BW602" s="24"/>
      <c r="BX602" s="24"/>
      <c r="BY602" s="24"/>
      <c r="BZ602" s="24"/>
      <c r="CA602" s="24"/>
      <c r="CB602" s="25"/>
      <c r="CC602" s="26"/>
      <c r="CD602" s="24"/>
      <c r="CE602" s="24"/>
      <c r="CF602" s="24"/>
      <c r="CG602" s="24"/>
      <c r="CH602" s="24"/>
      <c r="CI602" s="24"/>
      <c r="CJ602" s="24"/>
      <c r="CK602" s="24"/>
      <c r="CL602" s="24"/>
      <c r="CM602" s="24"/>
      <c r="CN602" s="24"/>
      <c r="CO602" s="25"/>
      <c r="CP602" s="26"/>
      <c r="CQ602" s="24"/>
      <c r="CR602" s="24"/>
      <c r="CS602" s="24"/>
      <c r="CT602" s="24"/>
      <c r="CU602" s="24"/>
      <c r="CV602" s="24"/>
      <c r="CW602" s="24"/>
      <c r="CX602" s="24"/>
      <c r="CY602" s="24"/>
      <c r="CZ602" s="24"/>
      <c r="DA602" s="24"/>
      <c r="DB602" s="25"/>
      <c r="DC602" s="26"/>
      <c r="DD602" s="24"/>
      <c r="DE602" s="24"/>
      <c r="DF602" s="24"/>
      <c r="DG602" s="24"/>
      <c r="DH602" s="24"/>
      <c r="DI602" s="24"/>
      <c r="DJ602" s="24"/>
      <c r="DK602" s="24"/>
      <c r="DL602" s="24"/>
      <c r="DM602" s="24"/>
      <c r="DN602" s="24"/>
      <c r="DO602" s="25"/>
      <c r="DP602" s="26"/>
      <c r="DQ602" s="24"/>
      <c r="DR602" s="24"/>
      <c r="DS602" s="24"/>
      <c r="DT602" s="24"/>
      <c r="DU602" s="24"/>
      <c r="DV602" s="24"/>
      <c r="DW602" s="24"/>
      <c r="DX602" s="24"/>
      <c r="DY602" s="24"/>
      <c r="DZ602" s="24"/>
      <c r="EA602" s="24"/>
      <c r="EB602" s="25"/>
      <c r="EC602" s="26"/>
      <c r="ED602" s="24"/>
      <c r="EE602" s="24"/>
      <c r="EF602" s="24"/>
      <c r="EG602" s="24"/>
      <c r="EH602" s="24"/>
      <c r="EI602" s="24"/>
      <c r="EJ602" s="24"/>
      <c r="EK602" s="24"/>
      <c r="EL602" s="24"/>
      <c r="EM602" s="24"/>
      <c r="EN602" s="24"/>
      <c r="EO602" s="25"/>
      <c r="EP602" s="26"/>
      <c r="EQ602" s="24"/>
      <c r="ER602" s="24"/>
      <c r="ES602" s="24"/>
      <c r="ET602" s="24"/>
      <c r="EU602" s="24"/>
      <c r="EV602" s="24"/>
      <c r="EW602" s="24"/>
      <c r="EX602" s="24"/>
      <c r="EY602" s="24"/>
      <c r="EZ602" s="24"/>
      <c r="FA602" s="24"/>
      <c r="FB602" s="25"/>
      <c r="FC602" s="26"/>
      <c r="FD602" s="24"/>
      <c r="FE602" s="24"/>
      <c r="FF602" s="24"/>
      <c r="FG602" s="24"/>
      <c r="FH602" s="24"/>
      <c r="FI602" s="24"/>
      <c r="FJ602" s="24"/>
      <c r="FK602" s="24"/>
      <c r="FL602" s="24"/>
      <c r="FM602" s="24"/>
      <c r="FN602" s="24"/>
      <c r="FO602" s="27">
        <f t="shared" ref="FO602:FV602" si="595">IFERROR(R602*1,0)+IFERROR(AE602*1,0)+IFERROR(AR602*1,0)+IFERROR(BE602*1,0)+IFERROR(BR602*1,0)+IFERROR(CE602*1,0)+IFERROR(CR602*1,0)+IFERROR(DE602*1,0)+IFERROR(DR602*1,0)+IFERROR(EE602*1,0)+IFERROR(ER602*1,0)+IFERROR(FE602*1,0)</f>
        <v>0</v>
      </c>
      <c r="FP602" s="27">
        <f t="shared" si="595"/>
        <v>0</v>
      </c>
      <c r="FQ602" s="27">
        <f t="shared" si="595"/>
        <v>0</v>
      </c>
      <c r="FR602" s="27">
        <f t="shared" si="595"/>
        <v>0</v>
      </c>
      <c r="FS602" s="27">
        <f t="shared" si="595"/>
        <v>0</v>
      </c>
      <c r="FT602" s="27">
        <f t="shared" si="595"/>
        <v>0</v>
      </c>
      <c r="FU602" s="27">
        <f t="shared" si="595"/>
        <v>0</v>
      </c>
      <c r="FV602" s="27">
        <f t="shared" si="595"/>
        <v>0</v>
      </c>
      <c r="FW602" s="28"/>
      <c r="FX602" s="29">
        <f t="shared" si="3"/>
        <v>0</v>
      </c>
    </row>
    <row r="603" spans="1:180" ht="18" customHeight="1" x14ac:dyDescent="0.25">
      <c r="A603" s="3" t="str">
        <f>IF(C603&lt;&gt;"","DRG-"&amp;TEXT(598,"000"),"")</f>
        <v/>
      </c>
      <c r="B603" s="33"/>
      <c r="C603" s="33"/>
      <c r="D603" s="33"/>
      <c r="E603" s="33"/>
      <c r="F603" s="33"/>
      <c r="G603" s="33"/>
      <c r="H603" s="33"/>
      <c r="I603" s="33"/>
      <c r="J603" s="33"/>
      <c r="K603" s="33"/>
      <c r="L603" s="37">
        <v>4</v>
      </c>
      <c r="M603" s="30" t="str">
        <f t="shared" si="0"/>
        <v>✘ Pending</v>
      </c>
      <c r="N603" s="30">
        <f t="shared" si="1"/>
        <v>0</v>
      </c>
      <c r="O603" s="31"/>
      <c r="P603" s="32"/>
      <c r="Q603" s="33"/>
      <c r="R603" s="33"/>
      <c r="S603" s="33"/>
      <c r="T603" s="33"/>
      <c r="U603" s="33"/>
      <c r="V603" s="33"/>
      <c r="W603" s="33"/>
      <c r="X603" s="33"/>
      <c r="Y603" s="33"/>
      <c r="Z603" s="33"/>
      <c r="AA603" s="33"/>
      <c r="AB603" s="31"/>
      <c r="AC603" s="32"/>
      <c r="AD603" s="33"/>
      <c r="AE603" s="33"/>
      <c r="AF603" s="33"/>
      <c r="AG603" s="33"/>
      <c r="AH603" s="33"/>
      <c r="AI603" s="33"/>
      <c r="AJ603" s="33"/>
      <c r="AK603" s="33"/>
      <c r="AL603" s="33"/>
      <c r="AM603" s="33"/>
      <c r="AN603" s="33"/>
      <c r="AO603" s="31"/>
      <c r="AP603" s="32"/>
      <c r="AQ603" s="33"/>
      <c r="AR603" s="33"/>
      <c r="AS603" s="33"/>
      <c r="AT603" s="33"/>
      <c r="AU603" s="33"/>
      <c r="AV603" s="33"/>
      <c r="AW603" s="33"/>
      <c r="AX603" s="33"/>
      <c r="AY603" s="33"/>
      <c r="AZ603" s="33"/>
      <c r="BA603" s="33"/>
      <c r="BB603" s="31"/>
      <c r="BC603" s="32"/>
      <c r="BD603" s="33"/>
      <c r="BE603" s="33"/>
      <c r="BF603" s="33"/>
      <c r="BG603" s="33"/>
      <c r="BH603" s="33"/>
      <c r="BI603" s="33"/>
      <c r="BJ603" s="33"/>
      <c r="BK603" s="33"/>
      <c r="BL603" s="33"/>
      <c r="BM603" s="33"/>
      <c r="BN603" s="33"/>
      <c r="BO603" s="31"/>
      <c r="BP603" s="32"/>
      <c r="BQ603" s="33"/>
      <c r="BR603" s="33"/>
      <c r="BS603" s="33"/>
      <c r="BT603" s="33"/>
      <c r="BU603" s="33"/>
      <c r="BV603" s="33"/>
      <c r="BW603" s="33"/>
      <c r="BX603" s="33"/>
      <c r="BY603" s="33"/>
      <c r="BZ603" s="33"/>
      <c r="CA603" s="33"/>
      <c r="CB603" s="31"/>
      <c r="CC603" s="32"/>
      <c r="CD603" s="33"/>
      <c r="CE603" s="33"/>
      <c r="CF603" s="33"/>
      <c r="CG603" s="33"/>
      <c r="CH603" s="33"/>
      <c r="CI603" s="33"/>
      <c r="CJ603" s="33"/>
      <c r="CK603" s="33"/>
      <c r="CL603" s="33"/>
      <c r="CM603" s="33"/>
      <c r="CN603" s="33"/>
      <c r="CO603" s="31"/>
      <c r="CP603" s="32"/>
      <c r="CQ603" s="33"/>
      <c r="CR603" s="33"/>
      <c r="CS603" s="33"/>
      <c r="CT603" s="33"/>
      <c r="CU603" s="33"/>
      <c r="CV603" s="33"/>
      <c r="CW603" s="33"/>
      <c r="CX603" s="33"/>
      <c r="CY603" s="33"/>
      <c r="CZ603" s="33"/>
      <c r="DA603" s="33"/>
      <c r="DB603" s="31"/>
      <c r="DC603" s="32"/>
      <c r="DD603" s="33"/>
      <c r="DE603" s="33"/>
      <c r="DF603" s="33"/>
      <c r="DG603" s="33"/>
      <c r="DH603" s="33"/>
      <c r="DI603" s="33"/>
      <c r="DJ603" s="33"/>
      <c r="DK603" s="33"/>
      <c r="DL603" s="33"/>
      <c r="DM603" s="33"/>
      <c r="DN603" s="33"/>
      <c r="DO603" s="31"/>
      <c r="DP603" s="32"/>
      <c r="DQ603" s="33"/>
      <c r="DR603" s="33"/>
      <c r="DS603" s="33"/>
      <c r="DT603" s="33"/>
      <c r="DU603" s="33"/>
      <c r="DV603" s="33"/>
      <c r="DW603" s="33"/>
      <c r="DX603" s="33"/>
      <c r="DY603" s="33"/>
      <c r="DZ603" s="33"/>
      <c r="EA603" s="33"/>
      <c r="EB603" s="31"/>
      <c r="EC603" s="32"/>
      <c r="ED603" s="33"/>
      <c r="EE603" s="33"/>
      <c r="EF603" s="33"/>
      <c r="EG603" s="33"/>
      <c r="EH603" s="33"/>
      <c r="EI603" s="33"/>
      <c r="EJ603" s="33"/>
      <c r="EK603" s="33"/>
      <c r="EL603" s="33"/>
      <c r="EM603" s="33"/>
      <c r="EN603" s="33"/>
      <c r="EO603" s="31"/>
      <c r="EP603" s="32"/>
      <c r="EQ603" s="33"/>
      <c r="ER603" s="33"/>
      <c r="ES603" s="33"/>
      <c r="ET603" s="33"/>
      <c r="EU603" s="33"/>
      <c r="EV603" s="33"/>
      <c r="EW603" s="33"/>
      <c r="EX603" s="33"/>
      <c r="EY603" s="33"/>
      <c r="EZ603" s="33"/>
      <c r="FA603" s="33"/>
      <c r="FB603" s="31"/>
      <c r="FC603" s="32"/>
      <c r="FD603" s="33"/>
      <c r="FE603" s="33"/>
      <c r="FF603" s="33"/>
      <c r="FG603" s="33"/>
      <c r="FH603" s="33"/>
      <c r="FI603" s="33"/>
      <c r="FJ603" s="33"/>
      <c r="FK603" s="33"/>
      <c r="FL603" s="33"/>
      <c r="FM603" s="33"/>
      <c r="FN603" s="33"/>
      <c r="FO603" s="34">
        <f t="shared" ref="FO603:FV603" si="596">IFERROR(R603*1,0)+IFERROR(AE603*1,0)+IFERROR(AR603*1,0)+IFERROR(BE603*1,0)+IFERROR(BR603*1,0)+IFERROR(CE603*1,0)+IFERROR(CR603*1,0)+IFERROR(DE603*1,0)+IFERROR(DR603*1,0)+IFERROR(EE603*1,0)+IFERROR(ER603*1,0)+IFERROR(FE603*1,0)</f>
        <v>0</v>
      </c>
      <c r="FP603" s="34">
        <f t="shared" si="596"/>
        <v>0</v>
      </c>
      <c r="FQ603" s="34">
        <f t="shared" si="596"/>
        <v>0</v>
      </c>
      <c r="FR603" s="34">
        <f t="shared" si="596"/>
        <v>0</v>
      </c>
      <c r="FS603" s="34">
        <f t="shared" si="596"/>
        <v>0</v>
      </c>
      <c r="FT603" s="34">
        <f t="shared" si="596"/>
        <v>0</v>
      </c>
      <c r="FU603" s="34">
        <f t="shared" si="596"/>
        <v>0</v>
      </c>
      <c r="FV603" s="34">
        <f t="shared" si="596"/>
        <v>0</v>
      </c>
      <c r="FW603" s="28"/>
      <c r="FX603" s="29">
        <f t="shared" si="3"/>
        <v>0</v>
      </c>
    </row>
    <row r="604" spans="1:180" ht="18" customHeight="1" x14ac:dyDescent="0.25">
      <c r="A604" s="3" t="str">
        <f>IF(C604&lt;&gt;"","DRG-"&amp;TEXT(599,"000"),"")</f>
        <v/>
      </c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38">
        <v>4</v>
      </c>
      <c r="M604" s="23" t="str">
        <f t="shared" si="0"/>
        <v>✘ Pending</v>
      </c>
      <c r="N604" s="23">
        <f t="shared" si="1"/>
        <v>0</v>
      </c>
      <c r="O604" s="25"/>
      <c r="P604" s="26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  <c r="AB604" s="25"/>
      <c r="AC604" s="26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5"/>
      <c r="AP604" s="26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5"/>
      <c r="BC604" s="26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5"/>
      <c r="BP604" s="26"/>
      <c r="BQ604" s="24"/>
      <c r="BR604" s="24"/>
      <c r="BS604" s="24"/>
      <c r="BT604" s="24"/>
      <c r="BU604" s="24"/>
      <c r="BV604" s="24"/>
      <c r="BW604" s="24"/>
      <c r="BX604" s="24"/>
      <c r="BY604" s="24"/>
      <c r="BZ604" s="24"/>
      <c r="CA604" s="24"/>
      <c r="CB604" s="25"/>
      <c r="CC604" s="26"/>
      <c r="CD604" s="24"/>
      <c r="CE604" s="24"/>
      <c r="CF604" s="24"/>
      <c r="CG604" s="24"/>
      <c r="CH604" s="24"/>
      <c r="CI604" s="24"/>
      <c r="CJ604" s="24"/>
      <c r="CK604" s="24"/>
      <c r="CL604" s="24"/>
      <c r="CM604" s="24"/>
      <c r="CN604" s="24"/>
      <c r="CO604" s="25"/>
      <c r="CP604" s="26"/>
      <c r="CQ604" s="24"/>
      <c r="CR604" s="24"/>
      <c r="CS604" s="24"/>
      <c r="CT604" s="24"/>
      <c r="CU604" s="24"/>
      <c r="CV604" s="24"/>
      <c r="CW604" s="24"/>
      <c r="CX604" s="24"/>
      <c r="CY604" s="24"/>
      <c r="CZ604" s="24"/>
      <c r="DA604" s="24"/>
      <c r="DB604" s="25"/>
      <c r="DC604" s="26"/>
      <c r="DD604" s="24"/>
      <c r="DE604" s="24"/>
      <c r="DF604" s="24"/>
      <c r="DG604" s="24"/>
      <c r="DH604" s="24"/>
      <c r="DI604" s="24"/>
      <c r="DJ604" s="24"/>
      <c r="DK604" s="24"/>
      <c r="DL604" s="24"/>
      <c r="DM604" s="24"/>
      <c r="DN604" s="24"/>
      <c r="DO604" s="25"/>
      <c r="DP604" s="26"/>
      <c r="DQ604" s="24"/>
      <c r="DR604" s="24"/>
      <c r="DS604" s="24"/>
      <c r="DT604" s="24"/>
      <c r="DU604" s="24"/>
      <c r="DV604" s="24"/>
      <c r="DW604" s="24"/>
      <c r="DX604" s="24"/>
      <c r="DY604" s="24"/>
      <c r="DZ604" s="24"/>
      <c r="EA604" s="24"/>
      <c r="EB604" s="25"/>
      <c r="EC604" s="26"/>
      <c r="ED604" s="24"/>
      <c r="EE604" s="24"/>
      <c r="EF604" s="24"/>
      <c r="EG604" s="24"/>
      <c r="EH604" s="24"/>
      <c r="EI604" s="24"/>
      <c r="EJ604" s="24"/>
      <c r="EK604" s="24"/>
      <c r="EL604" s="24"/>
      <c r="EM604" s="24"/>
      <c r="EN604" s="24"/>
      <c r="EO604" s="25"/>
      <c r="EP604" s="26"/>
      <c r="EQ604" s="24"/>
      <c r="ER604" s="24"/>
      <c r="ES604" s="24"/>
      <c r="ET604" s="24"/>
      <c r="EU604" s="24"/>
      <c r="EV604" s="24"/>
      <c r="EW604" s="24"/>
      <c r="EX604" s="24"/>
      <c r="EY604" s="24"/>
      <c r="EZ604" s="24"/>
      <c r="FA604" s="24"/>
      <c r="FB604" s="25"/>
      <c r="FC604" s="26"/>
      <c r="FD604" s="24"/>
      <c r="FE604" s="24"/>
      <c r="FF604" s="24"/>
      <c r="FG604" s="24"/>
      <c r="FH604" s="24"/>
      <c r="FI604" s="24"/>
      <c r="FJ604" s="24"/>
      <c r="FK604" s="24"/>
      <c r="FL604" s="24"/>
      <c r="FM604" s="24"/>
      <c r="FN604" s="24"/>
      <c r="FO604" s="27">
        <f t="shared" ref="FO604:FV604" si="597">IFERROR(R604*1,0)+IFERROR(AE604*1,0)+IFERROR(AR604*1,0)+IFERROR(BE604*1,0)+IFERROR(BR604*1,0)+IFERROR(CE604*1,0)+IFERROR(CR604*1,0)+IFERROR(DE604*1,0)+IFERROR(DR604*1,0)+IFERROR(EE604*1,0)+IFERROR(ER604*1,0)+IFERROR(FE604*1,0)</f>
        <v>0</v>
      </c>
      <c r="FP604" s="27">
        <f t="shared" si="597"/>
        <v>0</v>
      </c>
      <c r="FQ604" s="27">
        <f t="shared" si="597"/>
        <v>0</v>
      </c>
      <c r="FR604" s="27">
        <f t="shared" si="597"/>
        <v>0</v>
      </c>
      <c r="FS604" s="27">
        <f t="shared" si="597"/>
        <v>0</v>
      </c>
      <c r="FT604" s="27">
        <f t="shared" si="597"/>
        <v>0</v>
      </c>
      <c r="FU604" s="27">
        <f t="shared" si="597"/>
        <v>0</v>
      </c>
      <c r="FV604" s="27">
        <f t="shared" si="597"/>
        <v>0</v>
      </c>
      <c r="FW604" s="28"/>
      <c r="FX604" s="29">
        <f t="shared" si="3"/>
        <v>0</v>
      </c>
    </row>
    <row r="605" spans="1:180" ht="18" customHeight="1" x14ac:dyDescent="0.25">
      <c r="A605" s="3" t="str">
        <f>IF(C605&lt;&gt;"","DRG-"&amp;TEXT(600,"000"),"")</f>
        <v/>
      </c>
      <c r="B605" s="33"/>
      <c r="C605" s="33"/>
      <c r="D605" s="33"/>
      <c r="E605" s="33"/>
      <c r="F605" s="33"/>
      <c r="G605" s="33"/>
      <c r="H605" s="33"/>
      <c r="I605" s="33"/>
      <c r="J605" s="33"/>
      <c r="K605" s="33"/>
      <c r="L605" s="37">
        <v>4</v>
      </c>
      <c r="M605" s="30" t="str">
        <f t="shared" si="0"/>
        <v>✘ Pending</v>
      </c>
      <c r="N605" s="30">
        <f t="shared" si="1"/>
        <v>0</v>
      </c>
      <c r="O605" s="31"/>
      <c r="P605" s="32"/>
      <c r="Q605" s="33"/>
      <c r="R605" s="33"/>
      <c r="S605" s="33"/>
      <c r="T605" s="33"/>
      <c r="U605" s="33"/>
      <c r="V605" s="33"/>
      <c r="W605" s="33"/>
      <c r="X605" s="33"/>
      <c r="Y605" s="33"/>
      <c r="Z605" s="33"/>
      <c r="AA605" s="33"/>
      <c r="AB605" s="31"/>
      <c r="AC605" s="32"/>
      <c r="AD605" s="33"/>
      <c r="AE605" s="33"/>
      <c r="AF605" s="33"/>
      <c r="AG605" s="33"/>
      <c r="AH605" s="33"/>
      <c r="AI605" s="33"/>
      <c r="AJ605" s="33"/>
      <c r="AK605" s="33"/>
      <c r="AL605" s="33"/>
      <c r="AM605" s="33"/>
      <c r="AN605" s="33"/>
      <c r="AO605" s="31"/>
      <c r="AP605" s="32"/>
      <c r="AQ605" s="33"/>
      <c r="AR605" s="33"/>
      <c r="AS605" s="33"/>
      <c r="AT605" s="33"/>
      <c r="AU605" s="33"/>
      <c r="AV605" s="33"/>
      <c r="AW605" s="33"/>
      <c r="AX605" s="33"/>
      <c r="AY605" s="33"/>
      <c r="AZ605" s="33"/>
      <c r="BA605" s="33"/>
      <c r="BB605" s="31"/>
      <c r="BC605" s="32"/>
      <c r="BD605" s="33"/>
      <c r="BE605" s="33"/>
      <c r="BF605" s="33"/>
      <c r="BG605" s="33"/>
      <c r="BH605" s="33"/>
      <c r="BI605" s="33"/>
      <c r="BJ605" s="33"/>
      <c r="BK605" s="33"/>
      <c r="BL605" s="33"/>
      <c r="BM605" s="33"/>
      <c r="BN605" s="33"/>
      <c r="BO605" s="31"/>
      <c r="BP605" s="32"/>
      <c r="BQ605" s="33"/>
      <c r="BR605" s="33"/>
      <c r="BS605" s="33"/>
      <c r="BT605" s="33"/>
      <c r="BU605" s="33"/>
      <c r="BV605" s="33"/>
      <c r="BW605" s="33"/>
      <c r="BX605" s="33"/>
      <c r="BY605" s="33"/>
      <c r="BZ605" s="33"/>
      <c r="CA605" s="33"/>
      <c r="CB605" s="31"/>
      <c r="CC605" s="32"/>
      <c r="CD605" s="33"/>
      <c r="CE605" s="33"/>
      <c r="CF605" s="33"/>
      <c r="CG605" s="33"/>
      <c r="CH605" s="33"/>
      <c r="CI605" s="33"/>
      <c r="CJ605" s="33"/>
      <c r="CK605" s="33"/>
      <c r="CL605" s="33"/>
      <c r="CM605" s="33"/>
      <c r="CN605" s="33"/>
      <c r="CO605" s="31"/>
      <c r="CP605" s="32"/>
      <c r="CQ605" s="33"/>
      <c r="CR605" s="33"/>
      <c r="CS605" s="33"/>
      <c r="CT605" s="33"/>
      <c r="CU605" s="33"/>
      <c r="CV605" s="33"/>
      <c r="CW605" s="33"/>
      <c r="CX605" s="33"/>
      <c r="CY605" s="33"/>
      <c r="CZ605" s="33"/>
      <c r="DA605" s="33"/>
      <c r="DB605" s="31"/>
      <c r="DC605" s="32"/>
      <c r="DD605" s="33"/>
      <c r="DE605" s="33"/>
      <c r="DF605" s="33"/>
      <c r="DG605" s="33"/>
      <c r="DH605" s="33"/>
      <c r="DI605" s="33"/>
      <c r="DJ605" s="33"/>
      <c r="DK605" s="33"/>
      <c r="DL605" s="33"/>
      <c r="DM605" s="33"/>
      <c r="DN605" s="33"/>
      <c r="DO605" s="31"/>
      <c r="DP605" s="32"/>
      <c r="DQ605" s="33"/>
      <c r="DR605" s="33"/>
      <c r="DS605" s="33"/>
      <c r="DT605" s="33"/>
      <c r="DU605" s="33"/>
      <c r="DV605" s="33"/>
      <c r="DW605" s="33"/>
      <c r="DX605" s="33"/>
      <c r="DY605" s="33"/>
      <c r="DZ605" s="33"/>
      <c r="EA605" s="33"/>
      <c r="EB605" s="31"/>
      <c r="EC605" s="32"/>
      <c r="ED605" s="33"/>
      <c r="EE605" s="33"/>
      <c r="EF605" s="33"/>
      <c r="EG605" s="33"/>
      <c r="EH605" s="33"/>
      <c r="EI605" s="33"/>
      <c r="EJ605" s="33"/>
      <c r="EK605" s="33"/>
      <c r="EL605" s="33"/>
      <c r="EM605" s="33"/>
      <c r="EN605" s="33"/>
      <c r="EO605" s="31"/>
      <c r="EP605" s="32"/>
      <c r="EQ605" s="33"/>
      <c r="ER605" s="33"/>
      <c r="ES605" s="33"/>
      <c r="ET605" s="33"/>
      <c r="EU605" s="33"/>
      <c r="EV605" s="33"/>
      <c r="EW605" s="33"/>
      <c r="EX605" s="33"/>
      <c r="EY605" s="33"/>
      <c r="EZ605" s="33"/>
      <c r="FA605" s="33"/>
      <c r="FB605" s="31"/>
      <c r="FC605" s="32"/>
      <c r="FD605" s="33"/>
      <c r="FE605" s="33"/>
      <c r="FF605" s="33"/>
      <c r="FG605" s="33"/>
      <c r="FH605" s="33"/>
      <c r="FI605" s="33"/>
      <c r="FJ605" s="33"/>
      <c r="FK605" s="33"/>
      <c r="FL605" s="33"/>
      <c r="FM605" s="33"/>
      <c r="FN605" s="33"/>
      <c r="FO605" s="34">
        <f t="shared" ref="FO605:FV605" si="598">IFERROR(R605*1,0)+IFERROR(AE605*1,0)+IFERROR(AR605*1,0)+IFERROR(BE605*1,0)+IFERROR(BR605*1,0)+IFERROR(CE605*1,0)+IFERROR(CR605*1,0)+IFERROR(DE605*1,0)+IFERROR(DR605*1,0)+IFERROR(EE605*1,0)+IFERROR(ER605*1,0)+IFERROR(FE605*1,0)</f>
        <v>0</v>
      </c>
      <c r="FP605" s="34">
        <f t="shared" si="598"/>
        <v>0</v>
      </c>
      <c r="FQ605" s="34">
        <f t="shared" si="598"/>
        <v>0</v>
      </c>
      <c r="FR605" s="34">
        <f t="shared" si="598"/>
        <v>0</v>
      </c>
      <c r="FS605" s="34">
        <f t="shared" si="598"/>
        <v>0</v>
      </c>
      <c r="FT605" s="34">
        <f t="shared" si="598"/>
        <v>0</v>
      </c>
      <c r="FU605" s="34">
        <f t="shared" si="598"/>
        <v>0</v>
      </c>
      <c r="FV605" s="34">
        <f t="shared" si="598"/>
        <v>0</v>
      </c>
      <c r="FW605" s="28"/>
      <c r="FX605" s="29">
        <f t="shared" si="3"/>
        <v>0</v>
      </c>
    </row>
  </sheetData>
  <autoFilter ref="B1:B605"/>
  <mergeCells count="15">
    <mergeCell ref="A1:FX1"/>
    <mergeCell ref="A2:L2"/>
    <mergeCell ref="EO2:FA2"/>
    <mergeCell ref="FB2:FN2"/>
    <mergeCell ref="FO2:FV2"/>
    <mergeCell ref="O2:AA2"/>
    <mergeCell ref="AB2:AN2"/>
    <mergeCell ref="AO2:BA2"/>
    <mergeCell ref="BB2:BN2"/>
    <mergeCell ref="BO2:CA2"/>
    <mergeCell ref="CB2:CN2"/>
    <mergeCell ref="CO2:DA2"/>
    <mergeCell ref="DB2:DN2"/>
    <mergeCell ref="DO2:EA2"/>
    <mergeCell ref="EB2:EN2"/>
  </mergeCells>
  <conditionalFormatting sqref="M4:M605">
    <cfRule type="expression" dxfId="2" priority="1">
      <formula>ISNUMBER(SEARCH("Completed",M4))</formula>
    </cfRule>
  </conditionalFormatting>
  <conditionalFormatting sqref="M4:M605">
    <cfRule type="expression" dxfId="1" priority="2">
      <formula>ISNUMBER(SEARCH("Pending",M4))</formula>
    </cfRule>
  </conditionalFormatting>
  <conditionalFormatting sqref="P4:P605 AC4:AC605 AP4:AP605 BC4:BC605 BP4:BP605 CC4:CC605 CP4:CP605 DC4:DC605 DP4:DP605 EC4:EC605 EP4:EP605 FC4:FC605">
    <cfRule type="expression" dxfId="0" priority="3">
      <formula>P4="✔"</formula>
    </cfRule>
  </conditionalFormatting>
  <dataValidations count="4">
    <dataValidation type="list" allowBlank="1" sqref="I4:I121 I123:I605">
      <formula1>"06:00,07:00,08:00,09:00,10:00,11:00,12:00,13:00,14:00,15:00,16:00,17:00,18:00,19:00,20:00,21:00,22:00,23:00,00:00,5:00,4:00,3:00,2:00,1:00"</formula1>
    </dataValidation>
    <dataValidation type="list" allowBlank="1" sqref="G4:G605">
      <formula1>"Saturday,Sunday,Monday,Tuesday,Wednesday,Thursday,Friday"</formula1>
    </dataValidation>
    <dataValidation type="list" allowBlank="1" sqref="FC4:FC605 EP4:EP605 EC4:EC605 DP4:DP605 DC4:DC605 CP4:CP605 CC4:CC605 BP4:BP605 BC4:BC605 AP4:AP605 AC4:AC605 P4:P605">
      <formula1>"✔"</formula1>
    </dataValidation>
    <dataValidation type="list" allowBlank="1" sqref="H4:H605">
      <formula1>"1,2,3,4,5,6,7,8,9,10,11,12,13,14,15,16,17,18,19,20,21,22,23,24,25,26,27,28,29,30,31"</formula1>
    </dataValidation>
  </dataValidation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showGridLines="0" workbookViewId="0">
      <pane ySplit="4" topLeftCell="A5" activePane="bottomLeft" state="frozen"/>
      <selection pane="bottomLeft" activeCell="B6" sqref="B6"/>
    </sheetView>
  </sheetViews>
  <sheetFormatPr defaultColWidth="14.42578125" defaultRowHeight="15" customHeight="1" x14ac:dyDescent="0.25"/>
  <cols>
    <col min="1" max="1" width="22.140625" customWidth="1"/>
    <col min="2" max="2" width="14" customWidth="1"/>
    <col min="3" max="3" width="30" customWidth="1"/>
    <col min="4" max="26" width="8.7109375" customWidth="1"/>
  </cols>
  <sheetData>
    <row r="1" spans="1:3" ht="27.75" customHeight="1" x14ac:dyDescent="0.25">
      <c r="A1" s="66" t="s">
        <v>237</v>
      </c>
      <c r="B1" s="67"/>
      <c r="C1" s="68"/>
    </row>
    <row r="2" spans="1:3" ht="24" customHeight="1" x14ac:dyDescent="0.25">
      <c r="A2" s="39" t="s">
        <v>238</v>
      </c>
      <c r="B2" s="40" t="s">
        <v>239</v>
      </c>
      <c r="C2" s="41"/>
    </row>
    <row r="3" spans="1:3" ht="6" customHeight="1" x14ac:dyDescent="0.25"/>
    <row r="4" spans="1:3" ht="19.5" customHeight="1" x14ac:dyDescent="0.25">
      <c r="A4" s="69" t="s">
        <v>240</v>
      </c>
      <c r="B4" s="67"/>
      <c r="C4" s="68"/>
    </row>
    <row r="5" spans="1:3" ht="18" customHeight="1" x14ac:dyDescent="0.25">
      <c r="A5" s="42" t="s">
        <v>19</v>
      </c>
      <c r="B5" s="70" t="str">
        <f>IFERROR(VLOOKUP($B$2,'Client Tracker'!$A$4:$FX605,0,0),"-")</f>
        <v>-</v>
      </c>
      <c r="C5" s="71"/>
    </row>
    <row r="6" spans="1:3" ht="18" customHeight="1" x14ac:dyDescent="0.25">
      <c r="A6" s="43" t="s">
        <v>241</v>
      </c>
      <c r="B6" s="72" t="str">
        <f>IFERROR(VLOOKUP($B$2,'Client Tracker'!$A$4:$FX605,1,0),"-")</f>
        <v>DRG-008</v>
      </c>
      <c r="C6" s="71"/>
    </row>
    <row r="7" spans="1:3" ht="18" customHeight="1" x14ac:dyDescent="0.25">
      <c r="A7" s="42" t="s">
        <v>21</v>
      </c>
      <c r="B7" s="70" t="str">
        <f>IFERROR(VLOOKUP($B$2,'Client Tracker'!$A$4:$FX605,2,0),"-")</f>
        <v>Exception</v>
      </c>
      <c r="C7" s="71"/>
    </row>
    <row r="8" spans="1:3" ht="18" customHeight="1" x14ac:dyDescent="0.25">
      <c r="A8" s="43" t="s">
        <v>242</v>
      </c>
      <c r="B8" s="72" t="str">
        <f>IFERROR(VLOOKUP($B$2,'Client Tracker'!$A$4:$FX605,3,0),"-")</f>
        <v>Exception</v>
      </c>
      <c r="C8" s="71"/>
    </row>
    <row r="9" spans="1:3" ht="18" customHeight="1" x14ac:dyDescent="0.25">
      <c r="A9" s="42" t="s">
        <v>243</v>
      </c>
      <c r="B9" s="70" t="str">
        <f>IFERROR(VLOOKUP($B$2,'Client Tracker'!$A$4:$FX605,4,0),"-")</f>
        <v>Brunche</v>
      </c>
      <c r="C9" s="71"/>
    </row>
    <row r="10" spans="1:3" ht="18" customHeight="1" x14ac:dyDescent="0.25">
      <c r="A10" s="43" t="s">
        <v>244</v>
      </c>
      <c r="B10" s="72" t="str">
        <f>IFERROR(VLOOKUP($B$2,'Client Tracker'!$A$4:$FX605,5,0),"-")</f>
        <v>هضبه س</v>
      </c>
      <c r="C10" s="71"/>
    </row>
    <row r="11" spans="1:3" ht="18" customHeight="1" x14ac:dyDescent="0.25">
      <c r="A11" s="42" t="s">
        <v>245</v>
      </c>
      <c r="B11" s="70" t="str">
        <f>IFERROR(VLOOKUP($B$2,'Client Tracker'!$A$4:$FX605,6,0),"-")</f>
        <v>Cairo</v>
      </c>
      <c r="C11" s="71"/>
    </row>
    <row r="12" spans="1:3" ht="18" customHeight="1" x14ac:dyDescent="0.25">
      <c r="A12" s="43" t="s">
        <v>246</v>
      </c>
      <c r="B12" s="72">
        <f>IFERROR(VLOOKUP($B$2,'Client Tracker'!$A$4:$FX605,7,0),"-")</f>
        <v>0</v>
      </c>
      <c r="C12" s="71"/>
    </row>
    <row r="13" spans="1:3" ht="18" customHeight="1" x14ac:dyDescent="0.25">
      <c r="A13" s="42" t="s">
        <v>247</v>
      </c>
      <c r="B13" s="70">
        <f>IFERROR(VLOOKUP($B$2,'Client Tracker'!$A$4:$FX605,8,0),"-")</f>
        <v>0</v>
      </c>
      <c r="C13" s="71"/>
    </row>
    <row r="14" spans="1:3" ht="18" customHeight="1" x14ac:dyDescent="0.25">
      <c r="A14" s="43" t="s">
        <v>248</v>
      </c>
      <c r="B14" s="72">
        <f>IFERROR(VLOOKUP($B$2,'Client Tracker'!$A$4:$FX605,9,0),"-")</f>
        <v>0.95833333333333337</v>
      </c>
      <c r="C14" s="71"/>
    </row>
    <row r="15" spans="1:3" ht="18" customHeight="1" x14ac:dyDescent="0.25">
      <c r="A15" s="42" t="s">
        <v>249</v>
      </c>
      <c r="B15" s="70">
        <f>IFERROR(VLOOKUP($B$2,'Client Tracker'!$A$4:$FX605,10,0),"-")</f>
        <v>0</v>
      </c>
      <c r="C15" s="71"/>
    </row>
    <row r="16" spans="1:3" ht="18" customHeight="1" x14ac:dyDescent="0.25">
      <c r="A16" s="43" t="s">
        <v>250</v>
      </c>
      <c r="B16" s="72">
        <f>IFERROR(VLOOKUP($B$2,'Client Tracker'!$A$4:$FX605,11,0),"-")</f>
        <v>0</v>
      </c>
      <c r="C16" s="71"/>
    </row>
    <row r="17" spans="1:3" ht="18" customHeight="1" x14ac:dyDescent="0.25">
      <c r="A17" s="42" t="s">
        <v>251</v>
      </c>
      <c r="B17" s="70">
        <f>IFERROR(VLOOKUP($B$2,'Client Tracker'!$A$4:$FX605,12,0),"-")</f>
        <v>4</v>
      </c>
      <c r="C17" s="71"/>
    </row>
    <row r="18" spans="1:3" ht="18" customHeight="1" x14ac:dyDescent="0.25">
      <c r="A18" s="43" t="s">
        <v>252</v>
      </c>
      <c r="B18" s="72" t="str">
        <f>IFERROR(VLOOKUP($B$2,'Client Tracker'!$A$4:$FX605,13,0),"-")</f>
        <v>✘ Pending</v>
      </c>
      <c r="C18" s="71"/>
    </row>
    <row r="19" spans="1:3" ht="6" customHeight="1" x14ac:dyDescent="0.25"/>
    <row r="20" spans="1:3" ht="19.5" customHeight="1" x14ac:dyDescent="0.25">
      <c r="A20" s="73" t="s">
        <v>253</v>
      </c>
      <c r="B20" s="67"/>
      <c r="C20" s="68"/>
    </row>
    <row r="21" spans="1:3" ht="18" customHeight="1" x14ac:dyDescent="0.25">
      <c r="A21" s="42" t="s">
        <v>254</v>
      </c>
      <c r="B21" s="70">
        <f>IFERROR(VLOOKUP($B$2,'Client Tracker'!$A$4:$FX605,170,0),"-")</f>
        <v>0</v>
      </c>
      <c r="C21" s="71"/>
    </row>
    <row r="22" spans="1:3" ht="18" customHeight="1" x14ac:dyDescent="0.25">
      <c r="A22" s="43" t="s">
        <v>255</v>
      </c>
      <c r="B22" s="72">
        <f>IFERROR(VLOOKUP($B$2,'Client Tracker'!$A$4:$FX605,171,0),"-")</f>
        <v>0</v>
      </c>
      <c r="C22" s="71"/>
    </row>
    <row r="23" spans="1:3" ht="18" customHeight="1" x14ac:dyDescent="0.25">
      <c r="A23" s="42" t="s">
        <v>256</v>
      </c>
      <c r="B23" s="70">
        <f>IFERROR(VLOOKUP($B$2,'Client Tracker'!$A$4:$FX605,172,0),"-")</f>
        <v>0</v>
      </c>
      <c r="C23" s="71"/>
    </row>
    <row r="24" spans="1:3" ht="18" customHeight="1" x14ac:dyDescent="0.25">
      <c r="A24" s="43" t="s">
        <v>257</v>
      </c>
      <c r="B24" s="72">
        <f>IFERROR(VLOOKUP($B$2,'Client Tracker'!$A$4:$FX605,173,0),"-")</f>
        <v>0</v>
      </c>
      <c r="C24" s="71"/>
    </row>
    <row r="25" spans="1:3" ht="18" customHeight="1" x14ac:dyDescent="0.25">
      <c r="A25" s="42" t="s">
        <v>258</v>
      </c>
      <c r="B25" s="70">
        <f>IFERROR(VLOOKUP($B$2,'Client Tracker'!$A$4:$FX605,174,0),"-")</f>
        <v>0</v>
      </c>
      <c r="C25" s="71"/>
    </row>
    <row r="26" spans="1:3" ht="18" customHeight="1" x14ac:dyDescent="0.25">
      <c r="A26" s="43" t="s">
        <v>259</v>
      </c>
      <c r="B26" s="72">
        <f>IFERROR(VLOOKUP($B$2,'Client Tracker'!$A$4:$FX605,175,0),"-")</f>
        <v>0</v>
      </c>
      <c r="C26" s="71"/>
    </row>
    <row r="27" spans="1:3" ht="18" customHeight="1" x14ac:dyDescent="0.25">
      <c r="A27" s="42" t="s">
        <v>260</v>
      </c>
      <c r="B27" s="70">
        <f>IFERROR(VLOOKUP($B$2,'Client Tracker'!$A$4:$FX605,176,0),"-")</f>
        <v>0</v>
      </c>
      <c r="C27" s="71"/>
    </row>
    <row r="28" spans="1:3" ht="18" customHeight="1" x14ac:dyDescent="0.25">
      <c r="A28" s="43" t="s">
        <v>261</v>
      </c>
      <c r="B28" s="72">
        <f>IFERROR(VLOOKUP($B$2,'Client Tracker'!$A$4:$FX605,177,0),"-")</f>
        <v>0</v>
      </c>
      <c r="C28" s="71"/>
    </row>
    <row r="29" spans="1:3" ht="18" customHeight="1" x14ac:dyDescent="0.25">
      <c r="A29" s="42" t="s">
        <v>262</v>
      </c>
      <c r="B29" s="70">
        <f>IFERROR(VLOOKUP($B$2,'Client Tracker'!$A$4:$FX605,178,0),"-")</f>
        <v>0</v>
      </c>
      <c r="C29" s="71"/>
    </row>
    <row r="30" spans="1:3" ht="18" customHeight="1" x14ac:dyDescent="0.25">
      <c r="A30" s="43" t="s">
        <v>263</v>
      </c>
      <c r="B30" s="72">
        <f>IFERROR(VLOOKUP($B$2,'Client Tracker'!$A$4:$FX605,179,0),"-")</f>
        <v>0</v>
      </c>
      <c r="C30" s="71"/>
    </row>
    <row r="31" spans="1:3" ht="6" customHeight="1" x14ac:dyDescent="0.25"/>
    <row r="32" spans="1:3" ht="19.5" customHeight="1" x14ac:dyDescent="0.25">
      <c r="A32" s="74" t="s">
        <v>264</v>
      </c>
      <c r="B32" s="67"/>
      <c r="C32" s="68"/>
    </row>
    <row r="33" spans="1:3" ht="18" customHeight="1" x14ac:dyDescent="0.25">
      <c r="A33" s="44" t="s">
        <v>265</v>
      </c>
      <c r="B33" s="75" t="str">
        <f>IFERROR(TEXT(VLOOKUP($B$2,'Client Tracker'!$A$4:$FX605,15,0),"DD/MM/YYYY"),"-")</f>
        <v>00/01/1900</v>
      </c>
      <c r="C33" s="71"/>
    </row>
    <row r="34" spans="1:3" ht="18" customHeight="1" x14ac:dyDescent="0.25">
      <c r="A34" s="45" t="s">
        <v>266</v>
      </c>
      <c r="B34" s="70" t="str">
        <f>IFERROR(TEXT(VLOOKUP($B$2,'Client Tracker'!$A$4:$FX605,28,0),"DD/MM/YYYY"),"-")</f>
        <v>00/01/1900</v>
      </c>
      <c r="C34" s="71"/>
    </row>
    <row r="35" spans="1:3" ht="18" customHeight="1" x14ac:dyDescent="0.25">
      <c r="A35" s="44" t="s">
        <v>267</v>
      </c>
      <c r="B35" s="75" t="str">
        <f>IFERROR(TEXT(VLOOKUP($B$2,'Client Tracker'!$A$4:$FX605,41,0),"DD/MM/YYYY"),"-")</f>
        <v>00/01/1900</v>
      </c>
      <c r="C35" s="71"/>
    </row>
    <row r="36" spans="1:3" ht="18" customHeight="1" x14ac:dyDescent="0.25">
      <c r="A36" s="45" t="s">
        <v>268</v>
      </c>
      <c r="B36" s="70" t="str">
        <f>IFERROR(TEXT(VLOOKUP($B$2,'Client Tracker'!$A$4:$FX605,54,0),"DD/MM/YYYY"),"-")</f>
        <v>00/01/1900</v>
      </c>
      <c r="C36" s="71"/>
    </row>
    <row r="37" spans="1:3" ht="18" customHeight="1" x14ac:dyDescent="0.25">
      <c r="A37" s="44" t="s">
        <v>269</v>
      </c>
      <c r="B37" s="75" t="str">
        <f>IFERROR(TEXT(VLOOKUP($B$2,'Client Tracker'!$A$4:$FX605,67,0),"DD/MM/YYYY"),"-")</f>
        <v>00/01/1900</v>
      </c>
      <c r="C37" s="71"/>
    </row>
    <row r="38" spans="1:3" ht="18" customHeight="1" x14ac:dyDescent="0.25">
      <c r="A38" s="45" t="s">
        <v>270</v>
      </c>
      <c r="B38" s="70" t="str">
        <f>IFERROR(TEXT(VLOOKUP($B$2,'Client Tracker'!$A$4:$FX605,80,0),"DD/MM/YYYY"),"-")</f>
        <v>00/01/1900</v>
      </c>
      <c r="C38" s="71"/>
    </row>
    <row r="39" spans="1:3" ht="18" customHeight="1" x14ac:dyDescent="0.25">
      <c r="A39" s="44" t="s">
        <v>271</v>
      </c>
      <c r="B39" s="75" t="str">
        <f>IFERROR(TEXT(VLOOKUP($B$2,'Client Tracker'!$A$4:$FX605,93,0),"DD/MM/YYYY"),"-")</f>
        <v>00/01/1900</v>
      </c>
      <c r="C39" s="71"/>
    </row>
    <row r="40" spans="1:3" ht="18" customHeight="1" x14ac:dyDescent="0.25">
      <c r="A40" s="45" t="s">
        <v>272</v>
      </c>
      <c r="B40" s="70" t="str">
        <f>IFERROR(TEXT(VLOOKUP($B$2,'Client Tracker'!$A$4:$FX605,106,0),"DD/MM/YYYY"),"-")</f>
        <v>00/01/1900</v>
      </c>
      <c r="C40" s="71"/>
    </row>
    <row r="41" spans="1:3" ht="18" customHeight="1" x14ac:dyDescent="0.25">
      <c r="A41" s="44" t="s">
        <v>273</v>
      </c>
      <c r="B41" s="75" t="str">
        <f>IFERROR(TEXT(VLOOKUP($B$2,'Client Tracker'!$A$4:$FX605,119,0),"DD/MM/YYYY"),"-")</f>
        <v>00/01/1900</v>
      </c>
      <c r="C41" s="71"/>
    </row>
    <row r="42" spans="1:3" ht="18" customHeight="1" x14ac:dyDescent="0.25">
      <c r="A42" s="45" t="s">
        <v>274</v>
      </c>
      <c r="B42" s="70" t="str">
        <f>IFERROR(TEXT(VLOOKUP($B$2,'Client Tracker'!$A$4:$FX605,132,0),"DD/MM/YYYY"),"-")</f>
        <v>00/01/1900</v>
      </c>
      <c r="C42" s="71"/>
    </row>
    <row r="43" spans="1:3" ht="18" customHeight="1" x14ac:dyDescent="0.25">
      <c r="A43" s="44" t="s">
        <v>275</v>
      </c>
      <c r="B43" s="75" t="str">
        <f>IFERROR(TEXT(VLOOKUP($B$2,'Client Tracker'!$A$4:$FX605,145,0),"DD/MM/YYYY"),"-")</f>
        <v>00/01/1900</v>
      </c>
      <c r="C43" s="71"/>
    </row>
    <row r="44" spans="1:3" ht="18" customHeight="1" x14ac:dyDescent="0.25">
      <c r="A44" s="45" t="s">
        <v>276</v>
      </c>
      <c r="B44" s="70" t="str">
        <f>IFERROR(TEXT(VLOOKUP($B$2,'Client Tracker'!$A$4:$FX605,158,0),"DD/MM/YYYY"),"-")</f>
        <v>00/01/1900</v>
      </c>
      <c r="C44" s="71"/>
    </row>
    <row r="45" spans="1:3" ht="14.25" customHeight="1" x14ac:dyDescent="0.25"/>
    <row r="46" spans="1:3" ht="14.25" customHeight="1" x14ac:dyDescent="0.25"/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40">
    <mergeCell ref="B42:C42"/>
    <mergeCell ref="B43:C43"/>
    <mergeCell ref="B44:C44"/>
    <mergeCell ref="B33:C33"/>
    <mergeCell ref="B34:C34"/>
    <mergeCell ref="B35:C35"/>
    <mergeCell ref="B36:C36"/>
    <mergeCell ref="B37:C37"/>
    <mergeCell ref="B38:C38"/>
    <mergeCell ref="B39:C39"/>
    <mergeCell ref="B29:C29"/>
    <mergeCell ref="B30:C30"/>
    <mergeCell ref="A32:C32"/>
    <mergeCell ref="B40:C40"/>
    <mergeCell ref="B41:C41"/>
    <mergeCell ref="B24:C24"/>
    <mergeCell ref="B25:C25"/>
    <mergeCell ref="B26:C26"/>
    <mergeCell ref="B27:C27"/>
    <mergeCell ref="B28:C28"/>
    <mergeCell ref="B18:C18"/>
    <mergeCell ref="A20:C20"/>
    <mergeCell ref="B21:C21"/>
    <mergeCell ref="B22:C22"/>
    <mergeCell ref="B23:C23"/>
    <mergeCell ref="B13:C13"/>
    <mergeCell ref="B14:C14"/>
    <mergeCell ref="B15:C15"/>
    <mergeCell ref="B16:C16"/>
    <mergeCell ref="B17:C17"/>
    <mergeCell ref="B8:C8"/>
    <mergeCell ref="B9:C9"/>
    <mergeCell ref="B10:C10"/>
    <mergeCell ref="B11:C11"/>
    <mergeCell ref="B12:C12"/>
    <mergeCell ref="A1:C1"/>
    <mergeCell ref="A4:C4"/>
    <mergeCell ref="B5:C5"/>
    <mergeCell ref="B6:C6"/>
    <mergeCell ref="B7:C7"/>
  </mergeCells>
  <pageMargins left="0.75" right="0.75" top="1" bottom="1" header="0" footer="0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>
          <x14:formula1>
            <xm:f>'Client Tracker'!$A$4:$A$605</xm:f>
          </x14:formula1>
          <xm:sqref>B2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workbookViewId="0"/>
  </sheetViews>
  <sheetFormatPr defaultColWidth="14.42578125" defaultRowHeight="15" customHeight="1" x14ac:dyDescent="0.25"/>
  <cols>
    <col min="1" max="1" width="26" customWidth="1"/>
    <col min="2" max="2" width="58" customWidth="1"/>
    <col min="3" max="26" width="8.7109375" customWidth="1"/>
  </cols>
  <sheetData>
    <row r="1" spans="1:2" ht="27.75" customHeight="1" x14ac:dyDescent="0.25">
      <c r="A1" s="66" t="s">
        <v>277</v>
      </c>
      <c r="B1" s="68"/>
    </row>
    <row r="2" spans="1:2" ht="18" customHeight="1" x14ac:dyDescent="0.25">
      <c r="A2" s="46" t="s">
        <v>278</v>
      </c>
      <c r="B2" s="46" t="s">
        <v>279</v>
      </c>
    </row>
    <row r="3" spans="1:2" ht="18" customHeight="1" x14ac:dyDescent="0.25">
      <c r="A3" s="47" t="s">
        <v>19</v>
      </c>
      <c r="B3" s="48" t="s">
        <v>280</v>
      </c>
    </row>
    <row r="4" spans="1:2" ht="18" customHeight="1" x14ac:dyDescent="0.25">
      <c r="A4" s="49" t="s">
        <v>241</v>
      </c>
      <c r="B4" s="50" t="s">
        <v>281</v>
      </c>
    </row>
    <row r="5" spans="1:2" ht="18" customHeight="1" x14ac:dyDescent="0.25">
      <c r="A5" s="47" t="s">
        <v>21</v>
      </c>
      <c r="B5" s="48" t="s">
        <v>282</v>
      </c>
    </row>
    <row r="6" spans="1:2" ht="18" customHeight="1" x14ac:dyDescent="0.25">
      <c r="A6" s="49" t="s">
        <v>242</v>
      </c>
      <c r="B6" s="50" t="s">
        <v>283</v>
      </c>
    </row>
    <row r="7" spans="1:2" ht="18" customHeight="1" x14ac:dyDescent="0.25">
      <c r="A7" s="47" t="s">
        <v>243</v>
      </c>
      <c r="B7" s="48" t="s">
        <v>284</v>
      </c>
    </row>
    <row r="8" spans="1:2" ht="18" customHeight="1" x14ac:dyDescent="0.25">
      <c r="A8" s="49" t="s">
        <v>244</v>
      </c>
      <c r="B8" s="50" t="s">
        <v>285</v>
      </c>
    </row>
    <row r="9" spans="1:2" ht="18" customHeight="1" x14ac:dyDescent="0.25">
      <c r="A9" s="47" t="s">
        <v>245</v>
      </c>
      <c r="B9" s="48" t="s">
        <v>286</v>
      </c>
    </row>
    <row r="10" spans="1:2" ht="18" customHeight="1" x14ac:dyDescent="0.25">
      <c r="A10" s="49" t="s">
        <v>246</v>
      </c>
      <c r="B10" s="50" t="s">
        <v>287</v>
      </c>
    </row>
    <row r="11" spans="1:2" ht="18" customHeight="1" x14ac:dyDescent="0.25">
      <c r="A11" s="47" t="s">
        <v>247</v>
      </c>
      <c r="B11" s="48" t="s">
        <v>288</v>
      </c>
    </row>
    <row r="12" spans="1:2" ht="18" customHeight="1" x14ac:dyDescent="0.25">
      <c r="A12" s="49" t="s">
        <v>248</v>
      </c>
      <c r="B12" s="50" t="s">
        <v>289</v>
      </c>
    </row>
    <row r="13" spans="1:2" ht="18" customHeight="1" x14ac:dyDescent="0.25">
      <c r="A13" s="47" t="s">
        <v>249</v>
      </c>
      <c r="B13" s="48" t="s">
        <v>290</v>
      </c>
    </row>
    <row r="14" spans="1:2" ht="18" customHeight="1" x14ac:dyDescent="0.25">
      <c r="A14" s="49" t="s">
        <v>250</v>
      </c>
      <c r="B14" s="50" t="s">
        <v>291</v>
      </c>
    </row>
    <row r="15" spans="1:2" ht="18" customHeight="1" x14ac:dyDescent="0.25">
      <c r="A15" s="47" t="s">
        <v>251</v>
      </c>
      <c r="B15" s="48" t="s">
        <v>292</v>
      </c>
    </row>
    <row r="16" spans="1:2" ht="18" customHeight="1" x14ac:dyDescent="0.25">
      <c r="A16" s="49" t="s">
        <v>252</v>
      </c>
      <c r="B16" s="50" t="s">
        <v>293</v>
      </c>
    </row>
    <row r="17" spans="1:2" ht="18" customHeight="1" x14ac:dyDescent="0.25">
      <c r="A17" s="47" t="s">
        <v>294</v>
      </c>
      <c r="B17" s="48" t="s">
        <v>295</v>
      </c>
    </row>
    <row r="18" spans="1:2" ht="18" customHeight="1" x14ac:dyDescent="0.25">
      <c r="A18" s="49" t="s">
        <v>296</v>
      </c>
      <c r="B18" s="50" t="s">
        <v>297</v>
      </c>
    </row>
    <row r="19" spans="1:2" ht="18" customHeight="1" x14ac:dyDescent="0.25">
      <c r="A19" s="47" t="s">
        <v>298</v>
      </c>
      <c r="B19" s="48" t="s">
        <v>299</v>
      </c>
    </row>
    <row r="20" spans="1:2" ht="18" customHeight="1" x14ac:dyDescent="0.25">
      <c r="A20" s="49" t="s">
        <v>300</v>
      </c>
      <c r="B20" s="50" t="s">
        <v>301</v>
      </c>
    </row>
    <row r="21" spans="1:2" ht="18" customHeight="1" x14ac:dyDescent="0.25">
      <c r="A21" s="47" t="s">
        <v>302</v>
      </c>
      <c r="B21" s="48" t="s">
        <v>303</v>
      </c>
    </row>
    <row r="22" spans="1:2" ht="18" customHeight="1" x14ac:dyDescent="0.25">
      <c r="A22" s="49" t="s">
        <v>304</v>
      </c>
      <c r="B22" s="50" t="s">
        <v>305</v>
      </c>
    </row>
    <row r="23" spans="1:2" ht="18" customHeight="1" x14ac:dyDescent="0.25">
      <c r="A23" s="47" t="s">
        <v>306</v>
      </c>
      <c r="B23" s="48" t="s">
        <v>307</v>
      </c>
    </row>
    <row r="24" spans="1:2" ht="18" customHeight="1" x14ac:dyDescent="0.25">
      <c r="A24" s="49" t="s">
        <v>308</v>
      </c>
      <c r="B24" s="50" t="s">
        <v>309</v>
      </c>
    </row>
    <row r="25" spans="1:2" ht="18" customHeight="1" x14ac:dyDescent="0.25">
      <c r="A25" s="47" t="s">
        <v>44</v>
      </c>
      <c r="B25" s="48" t="s">
        <v>310</v>
      </c>
    </row>
    <row r="26" spans="1:2" ht="18" customHeight="1" x14ac:dyDescent="0.25">
      <c r="A26" s="49" t="s">
        <v>262</v>
      </c>
      <c r="B26" s="50" t="s">
        <v>311</v>
      </c>
    </row>
    <row r="27" spans="1:2" ht="18" customHeight="1" x14ac:dyDescent="0.25">
      <c r="A27" s="47" t="s">
        <v>263</v>
      </c>
      <c r="B27" s="48" t="s">
        <v>312</v>
      </c>
    </row>
    <row r="28" spans="1:2" ht="18" customHeight="1" x14ac:dyDescent="0.25">
      <c r="A28" s="49" t="s">
        <v>313</v>
      </c>
      <c r="B28" s="50" t="s">
        <v>314</v>
      </c>
    </row>
    <row r="29" spans="1:2" ht="18" customHeight="1" x14ac:dyDescent="0.25">
      <c r="A29" s="47" t="s">
        <v>315</v>
      </c>
      <c r="B29" s="48" t="s">
        <v>316</v>
      </c>
    </row>
    <row r="30" spans="1:2" ht="14.25" customHeight="1" x14ac:dyDescent="0.25"/>
    <row r="31" spans="1:2" ht="14.25" customHeight="1" x14ac:dyDescent="0.25"/>
    <row r="32" spans="1: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mergeCells count="1">
    <mergeCell ref="A1:B1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Client Tracker</vt:lpstr>
      <vt:lpstr>Site Dashboard</vt:lpstr>
      <vt:lpstr>How to Use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Drudge</cp:lastModifiedBy>
  <dcterms:created xsi:type="dcterms:W3CDTF">2026-05-13T22:51:05Z</dcterms:created>
  <dcterms:modified xsi:type="dcterms:W3CDTF">2026-06-18T15:05:35Z</dcterms:modified>
</cp:coreProperties>
</file>